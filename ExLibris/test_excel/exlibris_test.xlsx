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3AA317F5-F581-4347-9A4A-71A15988A1B5}" xr6:coauthVersionLast="47" xr6:coauthVersionMax="47" xr10:uidLastSave="{00000000-0000-0000-0000-000000000000}"/>
  <bookViews>
    <workbookView xWindow="-120" yWindow="-120" windowWidth="29040" windowHeight="15840" activeTab="1" xr2:uid="{705CD0B7-27A9-4291-85BD-6034C0FEE3E4}"/>
  </bookViews>
  <sheets>
    <sheet name="json_test" sheetId="1" r:id="rId1"/>
    <sheet name="websocket" sheetId="3" r:id="rId2"/>
    <sheet name="configuration" sheetId="2" r:id="rId3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" l="1"/>
  <c r="I11" i="1" s="1"/>
  <c r="I12" i="1" s="1"/>
  <c r="I13" i="1" s="1"/>
  <c r="I14" i="1" s="1"/>
  <c r="G9" i="1"/>
  <c r="E9" i="1" s="1"/>
  <c r="E4" i="3" a="1"/>
  <c r="C2" i="2" a="1"/>
  <c r="E4" i="3" l="1"/>
  <c r="C2" i="2"/>
  <c r="K1" i="1" s="1"/>
  <c r="F10" i="1"/>
  <c r="G10" i="1" s="1"/>
  <c r="F11" i="1" s="1"/>
  <c r="G11" i="1" s="1"/>
  <c r="F12" i="1" s="1"/>
  <c r="G12" i="1" s="1"/>
  <c r="E12" i="1" s="1"/>
  <c r="E6" i="3" a="1"/>
  <c r="E6" i="2" a="1"/>
  <c r="E7" i="3" a="1"/>
  <c r="E7" i="3" l="1"/>
  <c r="E6" i="3"/>
  <c r="F13" i="1"/>
  <c r="G13" i="1" s="1"/>
  <c r="F14" i="1" s="1"/>
  <c r="G14" i="1" s="1"/>
  <c r="E14" i="1" s="1"/>
  <c r="E10" i="1"/>
  <c r="E11" i="1"/>
  <c r="E6" i="2"/>
  <c r="E9" i="3" a="1"/>
  <c r="E9" i="3" l="1"/>
  <c r="E13" i="1"/>
  <c r="E10" i="3" a="1"/>
  <c r="F6" i="1" a="1"/>
  <c r="E10" i="3" l="1"/>
  <c r="F6" i="1"/>
  <c r="F1" i="1" a="1"/>
  <c r="E11" i="3" a="1"/>
  <c r="E11" i="3" l="1"/>
  <c r="F1" i="1"/>
  <c r="E12" i="3" a="1"/>
  <c r="I19" i="1" a="1"/>
  <c r="M6" i="1" a="1"/>
  <c r="E19" i="1" a="1"/>
  <c r="G38" i="1" a="1"/>
  <c r="G23" i="1" a="1"/>
  <c r="G20" i="1" a="1"/>
  <c r="G21" i="1" a="1"/>
  <c r="G27" i="1" a="1"/>
  <c r="G35" i="1" a="1"/>
  <c r="G22" i="1" a="1"/>
  <c r="G36" i="1" a="1"/>
  <c r="G40" i="1" a="1"/>
  <c r="G52" i="1" a="1"/>
  <c r="G26" i="1" a="1"/>
  <c r="G41" i="1" a="1"/>
  <c r="G34" i="1" a="1"/>
  <c r="G33" i="1" a="1"/>
  <c r="G55" i="1" a="1"/>
  <c r="G49" i="1" a="1"/>
  <c r="G24" i="1" a="1"/>
  <c r="G44" i="1" a="1"/>
  <c r="G29" i="1" a="1"/>
  <c r="G57" i="1" a="1"/>
  <c r="G42" i="1" a="1"/>
  <c r="G56" i="1" a="1"/>
  <c r="G50" i="1" a="1"/>
  <c r="G53" i="1" a="1"/>
  <c r="G28" i="1" a="1"/>
  <c r="G25" i="1" a="1"/>
  <c r="G39" i="1" a="1"/>
  <c r="G46" i="1" a="1"/>
  <c r="G32" i="1" a="1"/>
  <c r="G51" i="1" a="1"/>
  <c r="G54" i="1" a="1"/>
  <c r="G31" i="1" a="1"/>
  <c r="G45" i="1" a="1"/>
  <c r="G30" i="1" a="1"/>
  <c r="G43" i="1" a="1"/>
  <c r="G37" i="1" a="1"/>
  <c r="G48" i="1" a="1"/>
  <c r="G47" i="1" a="1"/>
  <c r="E12" i="3" l="1"/>
  <c r="G51" i="1"/>
  <c r="G27" i="1"/>
  <c r="G39" i="1"/>
  <c r="G34" i="1"/>
  <c r="G23" i="1"/>
  <c r="G26" i="1"/>
  <c r="G29" i="1"/>
  <c r="G33" i="1"/>
  <c r="G22" i="1"/>
  <c r="G25" i="1"/>
  <c r="G46" i="1"/>
  <c r="G49" i="1"/>
  <c r="G20" i="1"/>
  <c r="G50" i="1"/>
  <c r="G37" i="1"/>
  <c r="G54" i="1"/>
  <c r="G48" i="1"/>
  <c r="G57" i="1"/>
  <c r="G21" i="1"/>
  <c r="G55" i="1"/>
  <c r="G40" i="1"/>
  <c r="G45" i="1"/>
  <c r="G30" i="1"/>
  <c r="G24" i="1"/>
  <c r="G38" i="1"/>
  <c r="G41" i="1"/>
  <c r="G32" i="1"/>
  <c r="G52" i="1"/>
  <c r="G47" i="1"/>
  <c r="G43" i="1"/>
  <c r="G28" i="1"/>
  <c r="G35" i="1"/>
  <c r="G31" i="1"/>
  <c r="G44" i="1"/>
  <c r="G56" i="1"/>
  <c r="G53" i="1"/>
  <c r="G42" i="1"/>
  <c r="G36" i="1"/>
  <c r="AA27" i="1"/>
  <c r="AB42" i="1"/>
  <c r="AB46" i="1"/>
  <c r="AC55" i="1"/>
  <c r="AB51" i="1"/>
  <c r="AB22" i="1"/>
  <c r="AB28" i="1"/>
  <c r="AA39" i="1"/>
  <c r="AA24" i="1"/>
  <c r="AB57" i="1"/>
  <c r="AB45" i="1"/>
  <c r="AC28" i="1"/>
  <c r="AB26" i="1"/>
  <c r="AA44" i="1"/>
  <c r="AC21" i="1"/>
  <c r="AB55" i="1"/>
  <c r="AA53" i="1"/>
  <c r="AA51" i="1"/>
  <c r="AA29" i="1"/>
  <c r="AA46" i="1"/>
  <c r="AB48" i="1"/>
  <c r="AC26" i="1"/>
  <c r="AC45" i="1"/>
  <c r="AA41" i="1"/>
  <c r="AB30" i="1"/>
  <c r="AB35" i="1"/>
  <c r="AA36" i="1"/>
  <c r="AA56" i="1"/>
  <c r="AC22" i="1"/>
  <c r="AA21" i="1"/>
  <c r="AB43" i="1"/>
  <c r="AB20" i="1"/>
  <c r="AA28" i="1"/>
  <c r="AC40" i="1"/>
  <c r="AA32" i="1"/>
  <c r="AC57" i="1"/>
  <c r="AC52" i="1"/>
  <c r="AA43" i="1"/>
  <c r="AC49" i="1"/>
  <c r="AC36" i="1"/>
  <c r="AC43" i="1"/>
  <c r="AB32" i="1"/>
  <c r="AB33" i="1"/>
  <c r="AB27" i="1"/>
  <c r="AA34" i="1"/>
  <c r="AA48" i="1"/>
  <c r="AC32" i="1"/>
  <c r="AC42" i="1"/>
  <c r="AA50" i="1"/>
  <c r="AC41" i="1"/>
  <c r="AC20" i="1"/>
  <c r="AC30" i="1"/>
  <c r="AC19" i="1"/>
  <c r="AB34" i="1"/>
  <c r="AB53" i="1"/>
  <c r="AA23" i="1"/>
  <c r="AA55" i="1"/>
  <c r="AC37" i="1"/>
  <c r="AB23" i="1"/>
  <c r="AA54" i="1"/>
  <c r="AA42" i="1"/>
  <c r="AC48" i="1"/>
  <c r="AA45" i="1"/>
  <c r="AB31" i="1"/>
  <c r="AC46" i="1"/>
  <c r="AB50" i="1"/>
  <c r="AC47" i="1"/>
  <c r="AA37" i="1"/>
  <c r="AB47" i="1"/>
  <c r="AA49" i="1"/>
  <c r="AB41" i="1"/>
  <c r="AA25" i="1"/>
  <c r="AC51" i="1"/>
  <c r="AB52" i="1"/>
  <c r="AB25" i="1"/>
  <c r="AB56" i="1"/>
  <c r="AA26" i="1"/>
  <c r="AB37" i="1"/>
  <c r="AC29" i="1"/>
  <c r="AC38" i="1"/>
  <c r="E19" i="1"/>
  <c r="AA35" i="1"/>
  <c r="AA57" i="1"/>
  <c r="AB38" i="1"/>
  <c r="AC34" i="1"/>
  <c r="AB54" i="1"/>
  <c r="AB21" i="1"/>
  <c r="AC44" i="1"/>
  <c r="AC31" i="1"/>
  <c r="AC39" i="1"/>
  <c r="AC54" i="1"/>
  <c r="AB29" i="1"/>
  <c r="AB39" i="1"/>
  <c r="AC27" i="1"/>
  <c r="AA40" i="1"/>
  <c r="AB40" i="1"/>
  <c r="AA33" i="1"/>
  <c r="AC35" i="1"/>
  <c r="AC33" i="1"/>
  <c r="AA30" i="1"/>
  <c r="AB36" i="1"/>
  <c r="AB49" i="1"/>
  <c r="AA47" i="1"/>
  <c r="AC53" i="1"/>
  <c r="AC23" i="1"/>
  <c r="AA31" i="1"/>
  <c r="AC56" i="1"/>
  <c r="AC25" i="1"/>
  <c r="AA38" i="1"/>
  <c r="AC24" i="1"/>
  <c r="AA22" i="1"/>
  <c r="AB44" i="1"/>
  <c r="AB24" i="1"/>
  <c r="AA52" i="1"/>
  <c r="AA20" i="1"/>
  <c r="AC50" i="1"/>
  <c r="M6" i="1"/>
  <c r="C5" i="1" s="1"/>
  <c r="I19" i="1"/>
  <c r="I28" i="1" a="1"/>
  <c r="G19" i="1" a="1"/>
  <c r="E13" i="3" a="1"/>
  <c r="I20" i="1" a="1"/>
  <c r="E13" i="3" l="1"/>
  <c r="G19" i="1"/>
  <c r="AJ22" i="1"/>
  <c r="AI23" i="1"/>
  <c r="AG24" i="1"/>
  <c r="AJ26" i="1"/>
  <c r="AJ24" i="1"/>
  <c r="AH26" i="1"/>
  <c r="AF24" i="1"/>
  <c r="AF26" i="1"/>
  <c r="AE21" i="1"/>
  <c r="AF23" i="1"/>
  <c r="AI24" i="1"/>
  <c r="AJ20" i="1"/>
  <c r="AG26" i="1"/>
  <c r="AI22" i="1"/>
  <c r="AJ25" i="1"/>
  <c r="AH21" i="1"/>
  <c r="AJ21" i="1"/>
  <c r="AE26" i="1"/>
  <c r="AG23" i="1"/>
  <c r="AE24" i="1"/>
  <c r="AH23" i="1"/>
  <c r="AH24" i="1"/>
  <c r="AF21" i="1"/>
  <c r="AF22" i="1"/>
  <c r="AF20" i="1"/>
  <c r="AE23" i="1"/>
  <c r="AI20" i="1"/>
  <c r="AH25" i="1"/>
  <c r="AI26" i="1"/>
  <c r="I20" i="1"/>
  <c r="AE20" i="1" s="1"/>
  <c r="C4" i="1" s="1"/>
  <c r="AH20" i="1"/>
  <c r="AH22" i="1"/>
  <c r="AE22" i="1"/>
  <c r="AJ23" i="1"/>
  <c r="AI25" i="1"/>
  <c r="AI21" i="1"/>
  <c r="AG20" i="1"/>
  <c r="AG22" i="1"/>
  <c r="AF25" i="1"/>
  <c r="AG21" i="1"/>
  <c r="AG25" i="1"/>
  <c r="AE25" i="1"/>
  <c r="I28" i="1"/>
  <c r="AB19" i="1"/>
  <c r="AA19" i="1"/>
  <c r="C3" i="1" s="1"/>
  <c r="I29" i="1" a="1"/>
  <c r="E14" i="3" a="1"/>
  <c r="E14" i="3" l="1"/>
  <c r="AF29" i="1"/>
  <c r="AG30" i="1"/>
  <c r="AJ30" i="1"/>
  <c r="AG29" i="1"/>
  <c r="AH29" i="1"/>
  <c r="AI30" i="1"/>
  <c r="AJ29" i="1"/>
  <c r="AH30" i="1"/>
  <c r="AF30" i="1"/>
  <c r="AI29" i="1"/>
  <c r="I29" i="1"/>
  <c r="AE29" i="1" s="1"/>
  <c r="AE30" i="1"/>
  <c r="E15" i="3" a="1"/>
  <c r="E15" i="3" l="1"/>
  <c r="C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<sst xmlns="http://schemas.openxmlformats.org/spreadsheetml/2006/main" count="205" uniqueCount="112">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</sst>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da30af61cf3e4a5a94195f27fdd074ca">
      <tp>
        <v>1</v>
        <stp/>
        <stp>8215b3c4-c6dd-45ca-955f-7abcf8c59b10</stp>
        <tr r="G43" s="1"/>
      </tp>
    </main>
    <main first="rtdsrv.da30af61cf3e4a5a94195f27fdd074ca">
      <tp>
        <v>1</v>
        <stp/>
        <stp>9b0f7522-fb02-492c-b49e-ee514a0afb74</stp>
        <tr r="I19" s="1"/>
      </tp>
      <tp>
        <v>1</v>
        <stp/>
        <stp>b2906bc6-1c00-408e-b9af-029ad8a22c8a</stp>
        <tr r="G45" s="1"/>
      </tp>
    </main>
    <main first="rtdsrv.da30af61cf3e4a5a94195f27fdd074ca">
      <tp>
        <v>1</v>
        <stp/>
        <stp>d41359cf-4f1b-4c32-b7a6-ae72bc604c0c</stp>
        <tr r="E4" s="3"/>
      </tp>
      <tp>
        <v>1</v>
        <stp/>
        <stp>d0e61287-ce66-4238-973b-50d98efec0b0</stp>
        <tr r="G21" s="1"/>
      </tp>
    </main>
    <main first="rtdsrv.da30af61cf3e4a5a94195f27fdd074ca">
      <tp>
        <v>1</v>
        <stp/>
        <stp>8f86837d-5995-4ea9-b8df-554737d4a4c4</stp>
        <tr r="G23" s="1"/>
      </tp>
    </main>
    <main first="rtdsrv.da30af61cf3e4a5a94195f27fdd074ca">
      <tp>
        <v>1</v>
        <stp/>
        <stp>09a9dcdd-c4f5-4f8d-972c-09e588239e14</stp>
        <tr r="G57" s="1"/>
      </tp>
    </main>
    <main first="rtdsrv.da30af61cf3e4a5a94195f27fdd074ca">
      <tp>
        <v>1</v>
        <stp/>
        <stp>908e95de-4bbf-44e4-9ba9-cb11708173c0</stp>
        <tr r="G50" s="1"/>
      </tp>
    </main>
    <main first="rtdsrv.da30af61cf3e4a5a94195f27fdd074ca">
      <tp>
        <v>1</v>
        <stp/>
        <stp>fe13b170-c101-4957-b8f0-2344d475cd18</stp>
        <tr r="G55" s="1"/>
      </tp>
    </main>
    <main first="rtdsrv.da30af61cf3e4a5a94195f27fdd074ca">
      <tp>
        <v>1</v>
        <stp/>
        <stp>2dcfdd96-f37f-4170-82b6-ff69bd97a210</stp>
        <tr r="G35" s="1"/>
      </tp>
    </main>
    <main first="rtdsrv.da30af61cf3e4a5a94195f27fdd074ca">
      <tp>
        <v>1</v>
        <stp/>
        <stp>5dc1d79c-6026-4851-abc6-80c7ee5b8ffa</stp>
        <tr r="G26" s="1"/>
      </tp>
    </main>
    <main first="rtdsrv.da30af61cf3e4a5a94195f27fdd074ca">
      <tp>
        <v>1</v>
        <stp/>
        <stp>82df0738-be39-4c04-82c3-4481c4d2f4f8</stp>
        <tr r="G22" s="1"/>
      </tp>
    </main>
    <main first="rtdsrv.da30af61cf3e4a5a94195f27fdd074ca">
      <tp>
        <v>1</v>
        <stp/>
        <stp>f7de2308-d966-4801-a61c-58826fc62941</stp>
        <tr r="G31" s="1"/>
      </tp>
      <tp>
        <v>1</v>
        <stp/>
        <stp>a34588c1-98f5-481d-b7d7-5337dc465e85</stp>
        <tr r="G25" s="1"/>
      </tp>
    </main>
    <main first="rtdsrv.da30af61cf3e4a5a94195f27fdd074ca">
      <tp>
        <v>1</v>
        <stp/>
        <stp>670267aa-3ac1-46f0-ac72-02bce736a7db</stp>
        <tr r="G20" s="1"/>
      </tp>
    </main>
    <main first="rtdsrv.da30af61cf3e4a5a94195f27fdd074ca">
      <tp>
        <v>1</v>
        <stp/>
        <stp>ac050767-4cd9-4979-a898-5d8733ee87cf</stp>
        <tr r="G40" s="1"/>
      </tp>
      <tp>
        <v>1</v>
        <stp/>
        <stp>ddeffaa2-ae8d-425d-9c29-c186f1411270</stp>
        <tr r="G36" s="1"/>
      </tp>
      <tp>
        <v>1</v>
        <stp/>
        <stp>05defc1e-b383-4186-8ac9-cd415369b65f</stp>
        <tr r="I28" s="1"/>
      </tp>
      <tp>
        <v>1</v>
        <stp/>
        <stp>2955d900-acde-459e-acc1-fd4531d0f232</stp>
        <tr r="G38" s="1"/>
      </tp>
      <tp>
        <v>1</v>
        <stp/>
        <stp>0d440dbe-5192-41d7-8815-9fbdd79aeb45</stp>
        <tr r="G49" s="1"/>
      </tp>
      <tp>
        <v>1</v>
        <stp/>
        <stp>6a3f0ae0-3bb0-4ddd-a9b0-a4e36d650f44</stp>
        <tr r="G34" s="1"/>
      </tp>
      <tp>
        <v>1</v>
        <stp/>
        <stp>76dc2e7d-4326-486e-8454-c0d1d05834c7</stp>
        <tr r="G47" s="1"/>
      </tp>
    </main>
    <main first="rtdsrv.da30af61cf3e4a5a94195f27fdd074ca">
      <tp>
        <v>1</v>
        <stp/>
        <stp>7b64e19d-80a1-4c63-80d7-c0bb18ec56ba</stp>
        <tr r="G42" s="1"/>
      </tp>
    </main>
    <main first="rtdsrv.da30af61cf3e4a5a94195f27fdd074ca">
      <tp>
        <v>1</v>
        <stp/>
        <stp>40186b44-8817-45bd-b30c-66a836a08b81</stp>
        <tr r="C2" s="2"/>
      </tp>
      <tp>
        <v>1</v>
        <stp/>
        <stp>1b1fadc6-7e5c-4ad1-939f-63f1a4d15a17</stp>
        <tr r="G30" s="1"/>
      </tp>
      <tp>
        <v>1</v>
        <stp/>
        <stp>fd326be5-bf91-4ef0-b1fa-f21fa8946f08</stp>
        <tr r="G19" s="1"/>
      </tp>
      <tp>
        <v>1</v>
        <stp/>
        <stp>6850bd1c-6e8c-40a3-8534-f66c8738c5ba</stp>
        <tr r="G46" s="1"/>
      </tp>
      <tp>
        <v>1</v>
        <stp/>
        <stp>e8e3f255-6c48-4e13-a2c3-966ed6bf42fc</stp>
        <tr r="G39" s="1"/>
      </tp>
      <tp>
        <v>10</v>
        <stp/>
        <stp>37de08e9-0167-4fbc-8c01-65486a4edf0f</stp>
        <tr r="E7" s="3"/>
      </tp>
    </main>
    <main first="rtdsrv.da30af61cf3e4a5a94195f27fdd074ca">
      <tp>
        <v>1</v>
        <stp/>
        <stp>98a7fab1-a0a9-4330-a4eb-12261bc61dd8</stp>
        <tr r="G44" s="1"/>
      </tp>
      <tp>
        <v>1</v>
        <stp/>
        <stp>fed5a1d5-22bf-445e-b6a4-249329dcc638</stp>
        <tr r="G27" s="1"/>
      </tp>
    </main>
    <main first="rtdsrv.da30af61cf3e4a5a94195f27fdd074ca">
      <tp>
        <v>1</v>
        <stp/>
        <stp>ce470760-a3c9-441d-885a-375979c3d4d3</stp>
        <tr r="G28" s="1"/>
      </tp>
    </main>
    <main first="rtdsrv.da30af61cf3e4a5a94195f27fdd074ca">
      <tp>
        <v>1</v>
        <stp/>
        <stp>4835f6a1-87a1-4740-a8cb-692464f720b9</stp>
        <tr r="G24" s="1"/>
      </tp>
    </main>
    <main first="rtdsrv.da30af61cf3e4a5a94195f27fdd074ca">
      <tp>
        <v>1</v>
        <stp/>
        <stp>6ce81161-9f0d-4c2f-be8c-d82e6a33a714</stp>
        <tr r="F6" s="1"/>
      </tp>
    </main>
    <main first="rtdsrv.da30af61cf3e4a5a94195f27fdd074ca">
      <tp>
        <v>1</v>
        <stp/>
        <stp>73ae7014-afde-41b8-b204-a3274c78da62</stp>
        <tr r="G51" s="1"/>
      </tp>
    </main>
    <main first="rtdsrv.da30af61cf3e4a5a94195f27fdd074ca">
      <tp>
        <v>1</v>
        <stp/>
        <stp>aee4a2c5-6ce5-4bf4-97df-3dbc85d1b6b2</stp>
        <tr r="G32" s="1"/>
      </tp>
      <tp>
        <v>1</v>
        <stp/>
        <stp>a7d8db76-c84c-4464-80fe-a54eac2b5d35</stp>
        <tr r="G54" s="1"/>
      </tp>
    </main>
    <main first="rtdsrv.da30af61cf3e4a5a94195f27fdd074ca">
      <tp>
        <v>1</v>
        <stp/>
        <stp>2c6e798c-8edd-432e-a52d-ae56d324d222</stp>
        <tr r="G41" s="1"/>
      </tp>
    </main>
    <main first="rtdsrv.da30af61cf3e4a5a94195f27fdd074ca">
      <tp>
        <v>1</v>
        <stp/>
        <stp>9ff95a53-ffbd-4161-b650-60bd0c030f8d</stp>
        <tr r="G33" s="1"/>
      </tp>
      <tp>
        <v>1</v>
        <stp/>
        <stp>b0e8efc0-1416-4f37-a3ca-10473dbcc75b</stp>
        <tr r="G48" s="1"/>
      </tp>
      <tp>
        <v>1</v>
        <stp/>
        <stp>dccd6470-d289-48aa-bc03-b321c62a37c1</stp>
        <tr r="G29" s="1"/>
      </tp>
      <tp>
        <v>1</v>
        <stp/>
        <stp>225fcc00-4787-49f2-a7a9-7370849adbf3</stp>
        <tr r="F1" s="1"/>
      </tp>
      <tp>
        <v>1</v>
        <stp/>
        <stp>f5a74a31-566f-4441-b55b-97dc9d4a5e8d</stp>
        <tr r="G52" s="1"/>
      </tp>
    </main>
    <main first="rtdsrv.da30af61cf3e4a5a94195f27fdd074ca">
      <tp>
        <v>1</v>
        <stp/>
        <stp>9016b188-060e-413c-9ea9-7ecc70f0d504</stp>
        <tr r="G56" s="1"/>
      </tp>
      <tp>
        <v>2</v>
        <stp/>
        <stp>0fa64373-1b60-4726-8d69-53d71fdacb5e</stp>
        <tr r="E6" s="3"/>
      </tp>
      <tp>
        <v>1</v>
        <stp/>
        <stp>d1e9d6b5-9d39-4b5b-999d-4a2a9ea26375</stp>
        <tr r="G53" s="1"/>
      </tp>
    </main>
    <main first="rtdsrv.da30af61cf3e4a5a94195f27fdd074ca">
      <tp>
        <v>1</v>
        <stp/>
        <stp>7edd312f-2579-4474-9061-b6595b0a7bab</stp>
        <tr r="G3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J57"/>
  <sheetViews>
    <sheetView zoomScaleNormal="100" workbookViewId="0"/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JsonObject:4CBE4E84-D038-4955-8393-CE04A80A3583</v>
      </c>
      <c r="K1" t="str">
        <f>EXLIBRIS_CONFIGURATION</f>
        <v>ExLibris.Core.ExLibrisConfiguration:E8DCA9AB-6EBC-4C98-8C3A-029399E3EB11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JsonObject:B058ED14-E401-4142-AB75-B5F6A0D6467C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v>
      </c>
    </row>
    <row r="7" spans="2:25" x14ac:dyDescent="0.4">
      <c r="L7" t="s">
        <v>74</v>
      </c>
      <c r="M7" t="s">
        <v>100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JsonObject:F3637329-E835-40D6-98B6-1A8D47A1CCA3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B57" si="5">E19=P19</f>
        <v>1</v>
      </c>
      <c r="AC19" t="b">
        <f t="shared" ref="AC19:AC57" si="6">F19=Q19</f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11000000</v>
      </c>
      <c r="N22">
        <v>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12000000</v>
      </c>
      <c r="N23">
        <v>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13000000</v>
      </c>
      <c r="N24">
        <v>1E-3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JsonObject:FEEEC164-0563-4FDB-931A-8D59613C5F83</v>
      </c>
      <c r="P28" t="s">
        <v>38</v>
      </c>
      <c r="Q28" t="s">
        <v>95</v>
      </c>
      <c r="R28" t="s">
        <v>95</v>
      </c>
      <c r="AA28" t="b">
        <f t="shared" si="4"/>
        <v>1</v>
      </c>
      <c r="AB28" t="b">
        <f t="shared" si="5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12000000</v>
      </c>
      <c r="N30">
        <v>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_xll.ExLibris.Json.GetJsonValue($F$1,E32, EXLIBRIS_CONFIGURATION)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6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_xll.ExLibris.Json.GetJsonValue($F$1,E33, EXLIBRIS_CONFIGURATION)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6"/>
        <v>1</v>
      </c>
    </row>
    <row r="34" spans="5:29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P34" t="s">
        <v>44</v>
      </c>
      <c r="Q34" t="s">
        <v>96</v>
      </c>
      <c r="R34" t="s">
        <v>96</v>
      </c>
      <c r="AA34" t="b">
        <f t="shared" si="4"/>
        <v>1</v>
      </c>
      <c r="AB34" t="b">
        <f t="shared" si="5"/>
        <v>1</v>
      </c>
      <c r="AC34" t="b">
        <f t="shared" si="6"/>
        <v>1</v>
      </c>
    </row>
    <row r="35" spans="5:29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P35" t="s">
        <v>45</v>
      </c>
      <c r="Q35" t="s">
        <v>95</v>
      </c>
      <c r="R35" t="s">
        <v>95</v>
      </c>
      <c r="AA35" t="b">
        <f t="shared" si="4"/>
        <v>1</v>
      </c>
      <c r="AB35" t="b">
        <f t="shared" si="5"/>
        <v>1</v>
      </c>
      <c r="AC35" t="b">
        <f t="shared" si="6"/>
        <v>1</v>
      </c>
    </row>
    <row r="36" spans="5:29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P36" t="s">
        <v>46</v>
      </c>
      <c r="Q36" t="s">
        <v>96</v>
      </c>
      <c r="R36" t="s">
        <v>96</v>
      </c>
      <c r="AA36" t="b">
        <f t="shared" si="4"/>
        <v>1</v>
      </c>
      <c r="AB36" t="b">
        <f t="shared" si="5"/>
        <v>1</v>
      </c>
      <c r="AC36" t="b">
        <f t="shared" si="6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6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_xll.ExLibris.Json.GetJsonValue($F$1,E38, EXLIBRIS_CONFIGURATION)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6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_xll.ExLibris.Json.GetJsonValue($F$1,E39, EXLIBRIS_CONFIGURATION)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6"/>
        <v>1</v>
      </c>
    </row>
    <row r="40" spans="5:29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P40" t="s">
        <v>50</v>
      </c>
      <c r="Q40" t="s">
        <v>97</v>
      </c>
      <c r="R40" t="s">
        <v>97</v>
      </c>
      <c r="AA40" t="b">
        <f t="shared" si="4"/>
        <v>1</v>
      </c>
      <c r="AB40" t="b">
        <f t="shared" si="5"/>
        <v>1</v>
      </c>
      <c r="AC40" t="b">
        <f t="shared" si="6"/>
        <v>1</v>
      </c>
    </row>
    <row r="41" spans="5:29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4"/>
        <v>1</v>
      </c>
      <c r="AB41" t="b">
        <f t="shared" si="5"/>
        <v>1</v>
      </c>
      <c r="AC41" t="b">
        <f t="shared" si="6"/>
        <v>1</v>
      </c>
    </row>
    <row r="42" spans="5:29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P42" t="s">
        <v>52</v>
      </c>
      <c r="Q42" t="s">
        <v>97</v>
      </c>
      <c r="R42" t="s">
        <v>97</v>
      </c>
      <c r="AA42" t="b">
        <f t="shared" si="4"/>
        <v>1</v>
      </c>
      <c r="AB42" t="b">
        <f t="shared" si="5"/>
        <v>1</v>
      </c>
      <c r="AC42" t="b">
        <f t="shared" si="6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6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_xll.ExLibris.Json.GetJsonValue($F$1,E44, EXLIBRIS_CONFIGURATION)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6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_xll.ExLibris.Json.GetJsonValue($F$1,E45, EXLIBRIS_CONFIGURATION)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6"/>
        <v>1</v>
      </c>
    </row>
    <row r="46" spans="5:29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4"/>
        <v>1</v>
      </c>
      <c r="AB46" t="b">
        <f t="shared" si="5"/>
        <v>1</v>
      </c>
      <c r="AC46" t="b">
        <f t="shared" si="6"/>
        <v>1</v>
      </c>
    </row>
    <row r="47" spans="5:29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4"/>
        <v>1</v>
      </c>
      <c r="AB47" t="b">
        <f t="shared" si="5"/>
        <v>1</v>
      </c>
      <c r="AC47" t="b">
        <f t="shared" si="6"/>
        <v>1</v>
      </c>
    </row>
    <row r="48" spans="5:29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4"/>
        <v>1</v>
      </c>
      <c r="AB48" t="b">
        <f t="shared" si="5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_xll.ExLibris.Json.GetJsonValue($F$1,E50, EXLIBRIS_CONFIGURATION)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_xll.ExLibris.Json.GetJsonValue($F$1,E51, EXLIBRIS_CONFIGURATION)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4"/>
        <v>1</v>
      </c>
      <c r="AB52" t="b">
        <f t="shared" si="5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4"/>
        <v>1</v>
      </c>
      <c r="AB53" t="b">
        <f t="shared" si="5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4"/>
        <v>1</v>
      </c>
      <c r="AB54" t="b">
        <f t="shared" si="5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_xll.ExLibris.Json.GetJsonValue($F$1,E56, EXLIBRIS_CONFIGURATION)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_xll.ExLibris.Json.GetJsonValue($F$1,E57, EXLIBRIS_CONFIGURATION)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15"/>
  <sheetViews>
    <sheetView tabSelected="1" workbookViewId="0">
      <selection activeCell="B2" sqref="B2"/>
    </sheetView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101</v>
      </c>
    </row>
    <row r="4" spans="2:5" x14ac:dyDescent="0.4">
      <c r="D4" t="s">
        <v>111</v>
      </c>
      <c r="E4" t="str" cm="1">
        <f t="array" ref="E4">_xll.ExLibris.WebSockets.OpenWebSocket("ws://localhost:10101",D4)</f>
        <v>ExLibris.Core.WebSockets.WebsocketClient:4DF9B095-61CC-4272-AF17-953246EC0EF5</v>
      </c>
    </row>
    <row r="6" spans="2:5" x14ac:dyDescent="0.4">
      <c r="D6" t="s">
        <v>102</v>
      </c>
      <c r="E6" t="str" cm="1">
        <f t="array" ref="E6">_xll.ExLibris.WebSockets.ObserveWebSocketStatus(E4,1000)</f>
        <v>Open</v>
      </c>
    </row>
    <row r="7" spans="2:5" x14ac:dyDescent="0.4">
      <c r="D7" t="s">
        <v>103</v>
      </c>
      <c r="E7" t="str" cm="1">
        <f t="array" ref="E7">_xll.ExLibris.WebSockets.ObserveWebSocketMessage(E4)</f>
        <v>push_event 23:42:24</v>
      </c>
    </row>
    <row r="9" spans="2:5" x14ac:dyDescent="0.4">
      <c r="D9" t="s">
        <v>104</v>
      </c>
      <c r="E9" t="str" cm="1">
        <f t="array" ref="E9">_xll.ExLibris.WebSockets.SendWebSocketMessage(E4,"test "&amp;D9,E6="Open")</f>
        <v>message sent : 2021-09-15T11:42:08.610</v>
      </c>
    </row>
    <row r="10" spans="2:5" x14ac:dyDescent="0.4">
      <c r="D10" t="s">
        <v>105</v>
      </c>
      <c r="E10" t="str" cm="1">
        <f t="array" ref="E10">_xll.ExLibris.WebSockets.SendWebSocketMessage($E$4,"test next "&amp;D10,E9)</f>
        <v>message sent : 2021-09-15T11:42:08.610</v>
      </c>
    </row>
    <row r="11" spans="2:5" x14ac:dyDescent="0.4">
      <c r="D11" t="s">
        <v>106</v>
      </c>
      <c r="E11" t="str" cm="1">
        <f t="array" ref="E11">_xll.ExLibris.WebSockets.SendWebSocketMessage($E$4,"test next "&amp;D11,E10)</f>
        <v>message sent : 2021-09-15T11:42:08.610</v>
      </c>
    </row>
    <row r="12" spans="2:5" x14ac:dyDescent="0.4">
      <c r="D12" t="s">
        <v>107</v>
      </c>
      <c r="E12" t="str" cm="1">
        <f t="array" ref="E12">_xll.ExLibris.WebSockets.SendWebSocketMessage($E$4,"test next "&amp;D12,E11)</f>
        <v>message sent : 2021-09-15T11:42:08.610</v>
      </c>
    </row>
    <row r="13" spans="2:5" x14ac:dyDescent="0.4">
      <c r="D13" t="s">
        <v>108</v>
      </c>
      <c r="E13" t="str" cm="1">
        <f t="array" ref="E13">_xll.ExLibris.WebSockets.SendWebSocketMessage($E$4,"test next "&amp;D13,E12)</f>
        <v>message sent : 2021-09-15T11:42:08.611</v>
      </c>
    </row>
    <row r="14" spans="2:5" x14ac:dyDescent="0.4">
      <c r="D14" t="s">
        <v>109</v>
      </c>
      <c r="E14" t="str" cm="1">
        <f t="array" ref="E14">_xll.ExLibris.WebSockets.SendWebSocketMessage($E$4,"test next "&amp;D14,E13)</f>
        <v>message sent : 2021-09-15T11:42:08.611</v>
      </c>
    </row>
    <row r="15" spans="2:5" x14ac:dyDescent="0.4">
      <c r="D15" t="s">
        <v>110</v>
      </c>
      <c r="E15" t="str" cm="1">
        <f t="array" ref="E15">_xll.ExLibris.WebSockets.SendWebSocketMessage($E$4,"test next "&amp;D15,E14)</f>
        <v>message sent : 2021-09-15T11:42:08.611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_xll.ExLibris.LoadConfiguration(B6:C15)</f>
        <v>ExLibris.Core.ExLibrisConfiguration:E8DCA9AB-6EBC-4C98-8C3A-029399E3EB11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_xll.DumpObject(EXLIBRIS_CONFIGURATION)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json_test</vt:lpstr>
      <vt:lpstr>websocket</vt:lpstr>
      <vt:lpstr>configuration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2021-09-15T14:42:25Z</dcterms:modified>
</cp:coreProperties>
</file>