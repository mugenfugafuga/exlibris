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C7A9D4C6-E1E8-4109-B587-F06BB0143598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5" l="1"/>
  <c r="I10" i="7"/>
  <c r="I11" i="7" s="1"/>
  <c r="I12" i="7" s="1"/>
  <c r="I13" i="7" s="1"/>
  <c r="I14" i="7" s="1"/>
  <c r="G9" i="7"/>
  <c r="F10" i="7" s="1"/>
  <c r="G10" i="7" s="1"/>
  <c r="D49" i="5"/>
  <c r="E49" i="5" s="1"/>
  <c r="H5" i="5" a="1"/>
  <c r="D4" i="3" a="1"/>
  <c r="D8" i="3" a="1"/>
  <c r="D5" i="3" a="1"/>
  <c r="D50" i="5" a="1"/>
  <c r="B2" i="6" a="1"/>
  <c r="F6" i="1" a="1"/>
  <c r="D6" i="3" a="1"/>
  <c r="C2" i="2" a="1"/>
  <c r="B5" i="5" a="1"/>
  <c r="D7" i="3" a="1"/>
  <c r="F6" i="7" a="1"/>
  <c r="F6" i="7" l="1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50" i="5"/>
  <c r="G6" i="3" a="1"/>
  <c r="F1" i="7" a="1"/>
  <c r="D51" i="5" a="1"/>
  <c r="G7" i="3" a="1"/>
  <c r="F5" i="3" a="1"/>
  <c r="F6" i="4" a="1"/>
  <c r="F7" i="3" a="1"/>
  <c r="G8" i="3" a="1"/>
  <c r="F6" i="3" a="1"/>
  <c r="G5" i="3" a="1"/>
  <c r="D52" i="5" a="1"/>
  <c r="F8" i="3" a="1"/>
  <c r="E6" i="2" a="1"/>
  <c r="F1" i="7" l="1"/>
  <c r="F12" i="7"/>
  <c r="G12" i="7" s="1"/>
  <c r="E11" i="7"/>
  <c r="F5" i="3"/>
  <c r="G5" i="3"/>
  <c r="F8" i="3"/>
  <c r="G8" i="3"/>
  <c r="F6" i="3"/>
  <c r="G6" i="3"/>
  <c r="G7" i="3"/>
  <c r="F7" i="3"/>
  <c r="D52" i="5"/>
  <c r="E52" i="5" s="1"/>
  <c r="F6" i="4"/>
  <c r="E6" i="2"/>
  <c r="D51" i="5"/>
  <c r="E51" i="5" s="1"/>
  <c r="C5" i="6"/>
  <c r="D34" i="5"/>
  <c r="E34" i="5" s="1"/>
  <c r="D29" i="5"/>
  <c r="E29" i="5" s="1"/>
  <c r="D24" i="5"/>
  <c r="E24" i="5" s="1"/>
  <c r="D19" i="5"/>
  <c r="E19" i="5" s="1"/>
  <c r="E14" i="5"/>
  <c r="D44" i="5" a="1"/>
  <c r="D39" i="5" a="1"/>
  <c r="I19" i="7" a="1"/>
  <c r="P19" i="7" a="1"/>
  <c r="E19" i="7" a="1"/>
  <c r="G52" i="7" a="1"/>
  <c r="G33" i="7" a="1"/>
  <c r="G41" i="7" a="1"/>
  <c r="G53" i="7" a="1"/>
  <c r="G50" i="7" a="1"/>
  <c r="G32" i="7" a="1"/>
  <c r="G42" i="7" a="1"/>
  <c r="G22" i="7" a="1"/>
  <c r="D15" i="5" a="1"/>
  <c r="G51" i="7" a="1"/>
  <c r="G34" i="7" a="1"/>
  <c r="G38" i="7" a="1"/>
  <c r="G29" i="7" a="1"/>
  <c r="G49" i="7" a="1"/>
  <c r="G46" i="7" a="1"/>
  <c r="G25" i="7" a="1"/>
  <c r="G31" i="7" a="1"/>
  <c r="G54" i="7" a="1"/>
  <c r="G57" i="7" a="1"/>
  <c r="D20" i="5" a="1"/>
  <c r="G35" i="7" a="1"/>
  <c r="G20" i="7" a="1"/>
  <c r="G27" i="7" a="1"/>
  <c r="G47" i="7" a="1"/>
  <c r="M6" i="7" a="1"/>
  <c r="G48" i="7" a="1"/>
  <c r="G40" i="7" a="1"/>
  <c r="G26" i="7" a="1"/>
  <c r="G24" i="7" a="1"/>
  <c r="G23" i="7" a="1"/>
  <c r="G45" i="7" a="1"/>
  <c r="G36" i="7" a="1"/>
  <c r="G39" i="7" a="1"/>
  <c r="G44" i="7" a="1"/>
  <c r="G28" i="7" a="1"/>
  <c r="G43" i="7" a="1"/>
  <c r="G21" i="7" a="1"/>
  <c r="G30" i="7" a="1"/>
  <c r="G37" i="7" a="1"/>
  <c r="G55" i="7" a="1"/>
  <c r="G56" i="7" a="1"/>
  <c r="G30" i="7" l="1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P19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9" i="5"/>
  <c r="E39" i="5" s="1"/>
  <c r="D44" i="5"/>
  <c r="E44" i="5" s="1"/>
  <c r="D20" i="5"/>
  <c r="D15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P29" i="7" a="1"/>
  <c r="D16" i="5" a="1"/>
  <c r="D21" i="5" a="1"/>
  <c r="C6" i="6" a="1"/>
  <c r="D45" i="5" a="1"/>
  <c r="D17" i="5" a="1"/>
  <c r="I28" i="7" a="1"/>
  <c r="G19" i="7" a="1"/>
  <c r="D22" i="5" a="1"/>
  <c r="P29" i="7" l="1"/>
  <c r="D17" i="5"/>
  <c r="E17" i="5" s="1"/>
  <c r="I28" i="7"/>
  <c r="G19" i="7"/>
  <c r="E13" i="7"/>
  <c r="F14" i="7"/>
  <c r="G14" i="7" s="1"/>
  <c r="E14" i="7" s="1"/>
  <c r="D22" i="5"/>
  <c r="E22" i="5" s="1"/>
  <c r="C6" i="6"/>
  <c r="D45" i="5"/>
  <c r="D21" i="5"/>
  <c r="E21" i="5" s="1"/>
  <c r="D16" i="5"/>
  <c r="E16" i="5" s="1"/>
  <c r="F10" i="4"/>
  <c r="G10" i="4" s="1"/>
  <c r="F10" i="1"/>
  <c r="G10" i="1" s="1"/>
  <c r="F11" i="1" s="1"/>
  <c r="G11" i="1" s="1"/>
  <c r="F12" i="1" s="1"/>
  <c r="G12" i="1" s="1"/>
  <c r="E12" i="1" s="1"/>
  <c r="D46" i="5" a="1"/>
  <c r="F4" i="3" a="1"/>
  <c r="C7" i="6" a="1"/>
  <c r="D30" i="5" a="1"/>
  <c r="G4" i="3" a="1"/>
  <c r="C8" i="6" a="1"/>
  <c r="D25" i="5" a="1"/>
  <c r="D40" i="5" a="1"/>
  <c r="D47" i="5" a="1"/>
  <c r="D35" i="5" a="1"/>
  <c r="D47" i="5" l="1"/>
  <c r="E47" i="5" s="1"/>
  <c r="C8" i="6"/>
  <c r="D25" i="5"/>
  <c r="C7" i="6"/>
  <c r="D46" i="5"/>
  <c r="E46" i="5" s="1"/>
  <c r="D40" i="5"/>
  <c r="D30" i="5"/>
  <c r="D35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H5" i="3" a="1"/>
  <c r="H6" i="3" a="1"/>
  <c r="D31" i="5" a="1"/>
  <c r="C10" i="6" a="1"/>
  <c r="H8" i="3" a="1"/>
  <c r="H7" i="3" a="1"/>
  <c r="D41" i="5" a="1"/>
  <c r="D37" i="5" a="1"/>
  <c r="D27" i="5" a="1"/>
  <c r="D26" i="5" a="1"/>
  <c r="D36" i="5" a="1"/>
  <c r="D42" i="5" a="1"/>
  <c r="D32" i="5" a="1"/>
  <c r="H4" i="3" a="1"/>
  <c r="H7" i="3" l="1"/>
  <c r="H6" i="3"/>
  <c r="H5" i="3"/>
  <c r="H8" i="3"/>
  <c r="H4" i="3"/>
  <c r="D37" i="5"/>
  <c r="E37" i="5" s="1"/>
  <c r="D42" i="5"/>
  <c r="E42" i="5" s="1"/>
  <c r="D27" i="5"/>
  <c r="E27" i="5" s="1"/>
  <c r="D32" i="5"/>
  <c r="E32" i="5" s="1"/>
  <c r="C10" i="6"/>
  <c r="D36" i="5"/>
  <c r="E36" i="5" s="1"/>
  <c r="D31" i="5"/>
  <c r="E31" i="5" s="1"/>
  <c r="D41" i="5"/>
  <c r="E41" i="5" s="1"/>
  <c r="D26" i="5"/>
  <c r="E26" i="5" s="1"/>
  <c r="E11" i="4"/>
  <c r="F12" i="4"/>
  <c r="G12" i="4" s="1"/>
  <c r="E13" i="1"/>
  <c r="I8" i="3" a="1"/>
  <c r="C11" i="6" a="1"/>
  <c r="I5" i="3" a="1"/>
  <c r="I6" i="3" a="1"/>
  <c r="I7" i="3" a="1"/>
  <c r="I4" i="3" a="1"/>
  <c r="B12" i="5" l="1"/>
  <c r="I5" i="3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J7" i="3" a="1"/>
  <c r="J4" i="3" a="1"/>
  <c r="J6" i="3" a="1"/>
  <c r="J8" i="3" a="1"/>
  <c r="J5" i="3" a="1"/>
  <c r="F1" i="1" a="1"/>
  <c r="P30" i="7" a="1"/>
  <c r="I20" i="7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I20" i="7"/>
  <c r="AK20" i="7" s="1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G22" i="1" a="1"/>
  <c r="G39" i="1" a="1"/>
  <c r="G35" i="1" a="1"/>
  <c r="G44" i="1" a="1"/>
  <c r="G43" i="1" a="1"/>
  <c r="G24" i="1" a="1"/>
  <c r="G27" i="1" a="1"/>
  <c r="P19" i="1" a="1"/>
  <c r="G56" i="1" a="1"/>
  <c r="E19" i="1" a="1"/>
  <c r="M6" i="1" a="1"/>
  <c r="G31" i="1" a="1"/>
  <c r="G28" i="1" a="1"/>
  <c r="G54" i="1" a="1"/>
  <c r="G38" i="1" a="1"/>
  <c r="G47" i="1" a="1"/>
  <c r="I29" i="7" a="1"/>
  <c r="G29" i="1" a="1"/>
  <c r="G36" i="1" a="1"/>
  <c r="G41" i="1" a="1"/>
  <c r="G40" i="1" a="1"/>
  <c r="G21" i="1" a="1"/>
  <c r="G26" i="1" a="1"/>
  <c r="G51" i="1" a="1"/>
  <c r="G49" i="1" a="1"/>
  <c r="G52" i="1" a="1"/>
  <c r="G57" i="1" a="1"/>
  <c r="G42" i="1" a="1"/>
  <c r="G30" i="1" a="1"/>
  <c r="G48" i="1" a="1"/>
  <c r="G53" i="1" a="1"/>
  <c r="G20" i="1" a="1"/>
  <c r="G45" i="1" a="1"/>
  <c r="G34" i="1" a="1"/>
  <c r="I19" i="1" a="1"/>
  <c r="G25" i="1" a="1"/>
  <c r="G33" i="1" a="1"/>
  <c r="G50" i="1" a="1"/>
  <c r="G32" i="1" a="1"/>
  <c r="G37" i="1" a="1"/>
  <c r="G23" i="1" a="1"/>
  <c r="G46" i="1" a="1"/>
  <c r="G55" i="1" a="1"/>
  <c r="M6" i="1" l="1"/>
  <c r="C5" i="1" s="1"/>
  <c r="AO30" i="7"/>
  <c r="AL29" i="7"/>
  <c r="AN30" i="7"/>
  <c r="AM30" i="7"/>
  <c r="AN29" i="7"/>
  <c r="AL30" i="7"/>
  <c r="AK30" i="7"/>
  <c r="AP29" i="7"/>
  <c r="AO29" i="7"/>
  <c r="AP30" i="7"/>
  <c r="AM29" i="7"/>
  <c r="I29" i="7"/>
  <c r="AK29" i="7" s="1"/>
  <c r="C8" i="7"/>
  <c r="C3" i="7"/>
  <c r="C4" i="7"/>
  <c r="G48" i="1"/>
  <c r="G55" i="1"/>
  <c r="G39" i="1"/>
  <c r="G26" i="1"/>
  <c r="G33" i="1"/>
  <c r="P19" i="1"/>
  <c r="AR19" i="1" s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P29" i="1" a="1"/>
  <c r="G19" i="1" a="1"/>
  <c r="F1" i="4" a="1"/>
  <c r="I20" i="1" a="1"/>
  <c r="I28" i="1" a="1"/>
  <c r="P29" i="1" l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G21" i="4" a="1"/>
  <c r="G24" i="4" a="1"/>
  <c r="G52" i="4" a="1"/>
  <c r="G42" i="4" a="1"/>
  <c r="G29" i="4" a="1"/>
  <c r="P30" i="1" a="1"/>
  <c r="G53" i="4" a="1"/>
  <c r="G44" i="4" a="1"/>
  <c r="G39" i="4" a="1"/>
  <c r="G34" i="4" a="1"/>
  <c r="G54" i="4" a="1"/>
  <c r="G33" i="4" a="1"/>
  <c r="I29" i="1" a="1"/>
  <c r="G38" i="4" a="1"/>
  <c r="G56" i="4" a="1"/>
  <c r="G28" i="4" a="1"/>
  <c r="G36" i="4" a="1"/>
  <c r="G48" i="4" a="1"/>
  <c r="G49" i="4" a="1"/>
  <c r="G20" i="4" a="1"/>
  <c r="G45" i="4" a="1"/>
  <c r="G47" i="4" a="1"/>
  <c r="G41" i="4" a="1"/>
  <c r="G22" i="4" a="1"/>
  <c r="G32" i="4" a="1"/>
  <c r="G37" i="4" a="1"/>
  <c r="G43" i="4" a="1"/>
  <c r="G50" i="4" a="1"/>
  <c r="E19" i="4" a="1"/>
  <c r="G30" i="4" a="1"/>
  <c r="G26" i="4" a="1"/>
  <c r="G40" i="4" a="1"/>
  <c r="G27" i="4" a="1"/>
  <c r="G55" i="4" a="1"/>
  <c r="G46" i="4" a="1"/>
  <c r="I32" i="4" a="1"/>
  <c r="G25" i="4" a="1"/>
  <c r="I19" i="4" a="1"/>
  <c r="M6" i="4" a="1"/>
  <c r="G35" i="4" a="1"/>
  <c r="G23" i="4" a="1"/>
  <c r="G57" i="4" a="1"/>
  <c r="G51" i="4" a="1"/>
  <c r="G31" i="4" a="1"/>
  <c r="P30" i="1" l="1"/>
  <c r="AR30" i="1" s="1"/>
  <c r="M6" i="4"/>
  <c r="C5" i="4" s="1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E19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AL29" i="1"/>
  <c r="AM30" i="1"/>
  <c r="AP30" i="1"/>
  <c r="AM29" i="1"/>
  <c r="AN29" i="1"/>
  <c r="AO30" i="1"/>
  <c r="AP29" i="1"/>
  <c r="AN30" i="1"/>
  <c r="AL30" i="1"/>
  <c r="AO29" i="1"/>
  <c r="AK30" i="1"/>
  <c r="G19" i="4" a="1"/>
  <c r="I28" i="4" a="1"/>
  <c r="I38" i="4" a="1"/>
  <c r="I42" i="4" a="1"/>
  <c r="I20" i="4" a="1"/>
  <c r="I33" i="4" a="1"/>
  <c r="G19" i="4" l="1"/>
  <c r="I28" i="4"/>
  <c r="I20" i="4"/>
  <c r="AE20" i="4" s="1"/>
  <c r="I42" i="4"/>
  <c r="I38" i="4"/>
  <c r="I33" i="4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I43" i="4" a="1"/>
  <c r="I29" i="4" a="1"/>
  <c r="I39" i="4" a="1"/>
  <c r="I34" i="4" a="1"/>
  <c r="I39" i="4" l="1"/>
  <c r="AE39" i="4" s="1"/>
  <c r="I43" i="4"/>
  <c r="AE43" i="4" s="1"/>
  <c r="C9" i="4" s="1"/>
  <c r="I34" i="4"/>
  <c r="AE34" i="4" s="1"/>
  <c r="I29" i="4"/>
  <c r="AE2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<sst xmlns="http://schemas.openxmlformats.org/spreadsheetml/2006/main" count="661" uniqueCount="181">
  <si>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</si>
  <si>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</si>
  <si>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</si>
  <si>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</si>
  <si>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</si>
  <si>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</si>
  <si>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</si>
  <si>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</si>
  <si>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</si>
  <si>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</si>
  <si>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</si>
  <si>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</si>
  <si>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</si>
  <si>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</si>
  <si>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</si>
  <si>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</si>
  <si>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</si>
  <si>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</si>
  <si>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</si>
  <si>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</si>
  <si>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</si>
  <si>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</si>
  <si>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</si>
  <si>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</si>
  <si>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</si>
  <si>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</si>
  <si>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</si>
  <si>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</si>
  <si>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</si>
  <si>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</si>
  <si>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</si>
  <si>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</si>
  <si>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</si>
  <si>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</si>
  <si>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</si>
  <si>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</si>
  <si>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</si>
  <si>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</si>
  <si>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</si>
  <si>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</si>
  <si>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</si>
  <si>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</si>
  <si>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</si>
  <si>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</si>
  <si>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</si>
  <si>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</si>
  <si>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</si>
  <si>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</si>
  <si>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</si>
  <si>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</si>
  <si>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</si>
  <si>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</si>
  <si>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</si>
  <si>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</si>
  <si>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</si>
  <si>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</si>
  <si>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</si>
  <si>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</si>
  <si>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</si>
  <si>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</si>
  <si>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</si>
  <si>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</si>
  <si>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</si>
  <si>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</si>
  <si>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</si>
  <si>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</si>
  <si>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</si>
  <si>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</si>
  <si>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</si>
  <si>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</si>
  <si>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</si>
  <si>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</si>
  <si>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</si>
  <si>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</si>
  <si>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</si>
  <si>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</si>
  <si>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</si>
  <si>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</si>
  <si>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</si>
  <si>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</si>
  <si>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</si>
  <si>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</si>
  <si>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</si>
  <si>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</si>
  <si>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</si>
  <si>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</si>
  <si>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</si>
  <si>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</si>
  <si>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</si>
  <si>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</si>
  <si>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</si>
  <si>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</si>
  <si>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</si>
  <si>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</si>
  <si>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</si>
  <si>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</si>
  <si>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</si>
  <si>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</si>
  <si>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</si>
  <si>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</si>
  <si>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</si>
  <si>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</si>
  <si>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</si>
  <si>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</si>
  <si>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</si>
  <si>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</si>
  <si>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</si>
  <si>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</si>
  <si>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</si>
  <si>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</si>
  <si>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</si>
  <si>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</si>
  <si>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</si>
  <si>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</si>
  <si>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</si>
  <si>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</si>
  <si>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</si>
  <si>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</si>
  <si>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</si>
  <si>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</si>
  <si>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</si>
  <si>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</si>
  <si>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</si>
  <si>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</si>
  <si>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</si>
  <si>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</si>
  <si>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</si>
  <si>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</si>
  <si>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</si>
  <si>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</si>
  <si>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</si>
  <si>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</si>
  <si>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</si>
  <si>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</si>
  <si>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</si>
  <si>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</si>
  <si>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</si>
  <si>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</si>
  <si>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</si>
  <si>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</si>
  <si>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</si>
  <si>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</si>
  <si>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</si>
  <si>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</si>
  <si>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</si>
  <si>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</si>
  <si>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</si>
  <si>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</si>
  <si>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</si>
  <si>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</si>
  <si>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</si>
  <si>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</si>
  <si>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</si>
  <si>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</si>
  <si>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</si>
  <si>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</si>
  <si>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</si>
  <si>
    <t>docker run -p 80:80 kennethreitz/httpbin</t>
  </si>
  <si>
    <t>http://localhost:80/get</t>
  </si>
  <si>
    <t>ExLibris.Core.WebAPIs.Response:0F1A2DAA-0698-4A05-83B0-2DBCCA39985A</t>
  </si>
  <si>
    <t>http://localhost:80/post</t>
  </si>
  <si>
    <t>ExLibris.Core.WebAPIs.Response:5407E2E5-A3DE-4431-8264-B500336C6C03</t>
  </si>
  <si>
    <t>http://localhost:80/bearer</t>
  </si>
  <si>
    <t>ExLibris.Core.WebAPIs.Response:EF165471-5C1F-4F20-BD88-F0C49317B72E</t>
  </si>
  <si>
    <t xml:space="preserve">{
  "authenticated": true, 
  "token": "XXX11111222223333444444"
}
</t>
  </si>
  <si>
    <t>ExLibris.Core.WebAPIs.Response:9EF9FE5D-DFD7-4434-B0E6-25A1993F2B9A</t>
  </si>
  <si>
    <t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t>
  </si>
  <si>
    <t>ExLibris.Core.WebAPIs.Response:6699A287-7A23-43FB-823A-8AA3BC6F0EC5</t>
  </si>
  <si>
    <t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t>
  </si>
  <si>
    <t>http://localhost:80/post?currency_pair.left=USD&amp;currency_pair.right=JPY&amp;strike=108.5&amp;call_or_put=CALL&amp;buy_or_sell=SELL&amp;date=44463</t>
  </si>
  <si>
    <t>ExLibris.Core.WebAPIs.Response:115347C9-8C29-4BDA-90DC-C02A450124DE</t>
  </si>
  <si>
    <t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t>
  </si>
  <si>
    <t>http://localhost:80/get?currency_pair.left=USD&amp;currency_pair.right=JPY&amp;strike=108.5&amp;call_or_put=CALL&amp;buy_or_sell=SELL&amp;date=44463</t>
  </si>
  <si>
    <t>ExLibris.Core.WebAPIs.Response:92C25233-3764-4E1B-8C73-9DF86C200743</t>
  </si>
  <si>
    <t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t>
  </si>
  <si>
    <t>http://localhost:80/delay/10</t>
  </si>
  <si>
    <t>ExLibris.Core.WebAPIs.Response:188035AE-50E0-4C2F-964B-39CD30B3F673</t>
  </si>
  <si>
    <t>ok/ng</t>
    <phoneticPr fontId="1"/>
  </si>
  <si>
    <t xml:space="preserve">{
  "args": {}, 
  "headers": {
    "Host": "localhost"
  }, 
  "origin": "172.17.0.1", 
  "url": "http://localhost/get"
}
</t>
  </si>
  <si>
    <t xml:space="preserve">{
  "args": {}, 
  "data": "", 
  "files": {}, 
  "form": {}, 
  "headers": {
    "Host": "localhost"
  }, 
  "origin": "172.17.0.1", 
  "url": "http://localhost/delay/10"
}
</t>
  </si>
  <si>
    <t xml:space="preserve">{
  "args": {}, 
  "data": "", 
  "files": {}, 
  "form": {}, 
  "headers": {
    "Content-Length": "0", 
    "Host": "localhost"
  }, 
  "json": null, 
  "origin": "172.17.0.1", 
  "url": "http://localhost/post"
}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</si>
</sst>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bd326a1ff3048f09deeeab3f6074e1b">
      <tp>
        <v>2</v>
        <stp/>
        <stp>d7023421-5796-4fd3-96e7-ccf717c96be3</stp>
        <tr r="G54" s="4"/>
      </tp>
    </main>
    <main first="rtdsrv.abd326a1ff3048f09deeeab3f6074e1b">
      <tp>
        <v>2</v>
        <stp/>
        <stp>453798f7-ede4-4331-be5a-56ff682734a7</stp>
        <tr r="G39" s="4"/>
      </tp>
    </main>
    <main first="rtdsrv.abd326a1ff3048f09deeeab3f6074e1b">
      <tp>
        <v>2</v>
        <stp/>
        <stp>e4d976a7-31fc-4d2d-9111-4fda0a959567</stp>
        <tr r="G24" s="1"/>
      </tp>
    </main>
    <main first="rtdsrv.abd326a1ff3048f09deeeab3f6074e1b">
      <tp>
        <v>1</v>
        <stp/>
        <stp>54baa73b-f7bf-4dd3-806e-7574d5145628</stp>
        <tr r="G31" s="7"/>
      </tp>
    </main>
    <main first="rtdsrv.abd326a1ff3048f09deeeab3f6074e1b">
      <tp>
        <v>2</v>
        <stp/>
        <stp>b3842f66-79ba-4307-84ef-6ad137812046</stp>
        <tr r="G42" s="4"/>
      </tp>
    </main>
    <main first="rtdsrv.abd326a1ff3048f09deeeab3f6074e1b">
      <tp>
        <v>2</v>
        <stp/>
        <stp>c2edac65-3dbd-41a0-9159-ef7e531f1d77</stp>
        <tr r="G25" s="4"/>
      </tp>
    </main>
    <main first="rtdsrv.abd326a1ff3048f09deeeab3f6074e1b">
      <tp>
        <v>2</v>
        <stp/>
        <stp>1ddfddc2-079c-4c1f-a861-7243c7f71243</stp>
        <tr r="C6" s="6"/>
      </tp>
    </main>
    <main first="rtdsrv.abd326a1ff3048f09deeeab3f6074e1b">
      <tp>
        <v>1</v>
        <stp/>
        <stp>72c47385-410a-45ac-9073-2a8d3ce1b4af</stp>
        <tr r="F7" s="3"/>
      </tp>
    </main>
    <main first="rtdsrv.abd326a1ff3048f09deeeab3f6074e1b">
      <tp>
        <v>2</v>
        <stp/>
        <stp>d397a7d1-714d-49c3-aa4f-92b8ee32b421</stp>
        <tr r="G29" s="4"/>
      </tp>
    </main>
    <main first="rtdsrv.abd326a1ff3048f09deeeab3f6074e1b">
      <tp>
        <v>2</v>
        <stp/>
        <stp>32e415cc-9043-46cf-b889-fc0717fbbcbf</stp>
        <tr r="G45" s="4"/>
      </tp>
    </main>
    <main first="rtdsrv.abd326a1ff3048f09deeeab3f6074e1b">
      <tp>
        <v>1</v>
        <stp/>
        <stp>a288b4e8-f16c-45db-a37d-a4d3d7989b27</stp>
        <tr r="F1" s="7"/>
      </tp>
      <tp>
        <v>2</v>
        <stp/>
        <stp>ab1e64a7-a602-4434-8f61-f0c423c32b03</stp>
        <tr r="G38" s="1"/>
      </tp>
      <tp>
        <v>2</v>
        <stp/>
        <stp>2ccaa96f-bf17-43ac-a8ae-9327d85fde58</stp>
        <tr r="B2" s="6"/>
      </tp>
    </main>
    <main first="rtdsrv.abd326a1ff3048f09deeeab3f6074e1b">
      <tp>
        <v>1</v>
        <stp/>
        <stp>b0f8cc5c-2ba4-404a-88fe-c089ccd69ab5</stp>
        <tr r="G55" s="7"/>
      </tp>
      <tp>
        <v>1</v>
        <stp/>
        <stp>4e03f321-6121-48ed-ae49-49eaaea728e4</stp>
        <tr r="H8" s="3"/>
      </tp>
    </main>
    <main first="rtdsrv.abd326a1ff3048f09deeeab3f6074e1b">
      <tp>
        <v>2</v>
        <stp/>
        <stp>76331ac3-dc7c-42e2-a5d5-a25d4b057a11</stp>
        <tr r="G55" s="4"/>
      </tp>
    </main>
    <main first="rtdsrv.abd326a1ff3048f09deeeab3f6074e1b">
      <tp>
        <v>2</v>
        <stp/>
        <stp>3c767ac1-12bb-44ab-8052-25aa5c995f4f</stp>
        <tr r="G38" s="4"/>
      </tp>
    </main>
    <main first="rtdsrv.abd326a1ff3048f09deeeab3f6074e1b">
      <tp>
        <v>1</v>
        <stp/>
        <stp>6e6697ca-e15e-41d6-80e3-5234b3467028</stp>
        <tr r="G26" s="7"/>
      </tp>
    </main>
    <main first="rtdsrv.abd326a1ff3048f09deeeab3f6074e1b">
      <tp>
        <v>2</v>
        <stp/>
        <stp>9cbe153d-ae12-45fc-a667-485e774a18c3</stp>
        <tr r="G33" s="1"/>
      </tp>
    </main>
    <main first="rtdsrv.abd326a1ff3048f09deeeab3f6074e1b">
      <tp>
        <v>1</v>
        <stp/>
        <stp>21af52ec-ab3f-4502-8351-7fa51b39e476</stp>
        <tr r="G37" s="7"/>
      </tp>
      <tp>
        <v>2</v>
        <stp/>
        <stp>944bb882-bdb7-482f-8681-d38a4b2fb4a6</stp>
        <tr r="G45" s="1"/>
      </tp>
    </main>
    <main first="rtdsrv.abd326a1ff3048f09deeeab3f6074e1b">
      <tp>
        <v>1</v>
        <stp/>
        <stp>70979f90-ef5e-4e57-8add-331f79d7b83a</stp>
        <tr r="I28" s="7"/>
      </tp>
    </main>
    <main first="rtdsrv.abd326a1ff3048f09deeeab3f6074e1b">
      <tp>
        <v>2</v>
        <stp/>
        <stp>5b947f82-5517-4daa-b629-0375c51c86c7</stp>
        <tr r="G40" s="4"/>
      </tp>
    </main>
    <main first="rtdsrv.abd326a1ff3048f09deeeab3f6074e1b">
      <tp>
        <v>2</v>
        <stp/>
        <stp>5e977934-7ca5-4112-9d6d-6686f2d7d9ae</stp>
        <tr r="G56" s="4"/>
      </tp>
    </main>
    <main first="rtdsrv.abd326a1ff3048f09deeeab3f6074e1b">
      <tp>
        <v>2</v>
        <stp/>
        <stp>b6b02172-d9cc-420e-9928-83648dae80c5</stp>
        <tr r="D40" s="5"/>
      </tp>
    </main>
    <main first="rtdsrv.abd326a1ff3048f09deeeab3f6074e1b">
      <tp>
        <v>49</v>
        <stp/>
        <stp>222e1e58-c336-4087-a8b9-b0b77fdc0daf</stp>
        <tr r="G4" s="3"/>
      </tp>
    </main>
    <main first="rtdsrv.abd326a1ff3048f09deeeab3f6074e1b">
      <tp>
        <v>1</v>
        <stp/>
        <stp>9cab7cce-3902-4fe5-840a-62c91524eb83</stp>
        <tr r="F4" s="3"/>
      </tp>
    </main>
    <main first="rtdsrv.abd326a1ff3048f09deeeab3f6074e1b">
      <tp>
        <v>1</v>
        <stp/>
        <stp>fc5a66ac-396a-41fe-87d3-c47abee63e8e</stp>
        <tr r="G29" s="7"/>
      </tp>
    </main>
    <main first="rtdsrv.abd326a1ff3048f09deeeab3f6074e1b">
      <tp>
        <v>2</v>
        <stp/>
        <stp>226c55bb-9c19-4e75-8bd0-6403023e390d</stp>
        <tr r="G23" s="4"/>
      </tp>
    </main>
    <main first="rtdsrv.abd326a1ff3048f09deeeab3f6074e1b">
      <tp>
        <v>2</v>
        <stp/>
        <stp>4ca5db84-d797-402f-b5c1-ee1fcfdbb353</stp>
        <tr r="D5" s="3"/>
      </tp>
    </main>
    <main first="rtdsrv.abd326a1ff3048f09deeeab3f6074e1b">
      <tp>
        <v>49</v>
        <stp/>
        <stp>608f25a2-af77-4d3c-8763-3712dfc441d5</stp>
        <tr r="G6" s="3"/>
      </tp>
    </main>
    <main first="rtdsrv.abd326a1ff3048f09deeeab3f6074e1b">
      <tp>
        <v>1</v>
        <stp/>
        <stp>e7c55376-598d-411c-9450-0446ac5a4acf</stp>
        <tr r="H6" s="3"/>
      </tp>
    </main>
    <main first="rtdsrv.abd326a1ff3048f09deeeab3f6074e1b">
      <tp>
        <v>1</v>
        <stp/>
        <stp>4c96e82e-ff47-4df7-b244-a9e58faaf0ac</stp>
        <tr r="G41" s="7"/>
      </tp>
    </main>
    <main first="rtdsrv.abd326a1ff3048f09deeeab3f6074e1b">
      <tp>
        <v>1</v>
        <stp/>
        <stp>d734a59e-7d3a-4e4f-b8e8-e5688843ee76</stp>
        <tr r="G57" s="7"/>
      </tp>
    </main>
    <main first="rtdsrv.abd326a1ff3048f09deeeab3f6074e1b">
      <tp>
        <v>2</v>
        <stp/>
        <stp>db35dc13-e254-4826-88f6-cd5de84976a9</stp>
        <tr r="G40" s="1"/>
      </tp>
    </main>
    <main first="rtdsrv.abd326a1ff3048f09deeeab3f6074e1b">
      <tp>
        <v>1</v>
        <stp/>
        <stp>8412595e-252a-4725-820e-dd1f1155c177</stp>
        <tr r="G28" s="7"/>
      </tp>
    </main>
    <main first="rtdsrv.abd326a1ff3048f09deeeab3f6074e1b">
      <tp>
        <v>49</v>
        <stp/>
        <stp>bdd17085-15b9-475a-bd49-bc1e89859416</stp>
        <tr r="G8" s="3"/>
      </tp>
    </main>
    <main first="rtdsrv.abd326a1ff3048f09deeeab3f6074e1b">
      <tp>
        <v>1</v>
        <stp/>
        <stp>534d216d-7a5e-47b3-a947-becc59c3516e</stp>
        <tr r="P29" s="7"/>
      </tp>
      <tp>
        <v>1</v>
        <stp/>
        <stp>cabd9503-820e-49fc-b217-31e0adf4b474</stp>
        <tr r="H4" s="3"/>
      </tp>
    </main>
    <main first="rtdsrv.abd326a1ff3048f09deeeab3f6074e1b">
      <tp>
        <v>2</v>
        <stp/>
        <stp>7437c65b-46a2-4e19-83d6-39b4145d4989</stp>
        <tr r="G25" s="1"/>
      </tp>
    </main>
    <main first="rtdsrv.abd326a1ff3048f09deeeab3f6074e1b">
      <tp>
        <v>2</v>
        <stp/>
        <stp>eacedddf-d0a8-4418-8034-f211e3d49491</stp>
        <tr r="G33" s="4"/>
      </tp>
    </main>
    <main first="rtdsrv.abd326a1ff3048f09deeeab3f6074e1b">
      <tp>
        <v>2</v>
        <stp/>
        <stp>fd2962de-c46a-4d63-b853-0b4ed6dfb821</stp>
        <tr r="I33" s="4"/>
      </tp>
    </main>
    <main first="rtdsrv.abd326a1ff3048f09deeeab3f6074e1b">
      <tp>
        <v>2</v>
        <stp/>
        <stp>51b4efd8-83e2-4e0d-8d71-2757fc9a472b</stp>
        <tr r="G56" s="1"/>
      </tp>
    </main>
    <main first="rtdsrv.abd326a1ff3048f09deeeab3f6074e1b">
      <tp>
        <v>2</v>
        <stp/>
        <stp>6597881b-60cd-4070-b1a3-bcd9d56e4ca0</stp>
        <tr r="G54" s="1"/>
      </tp>
    </main>
    <main first="rtdsrv.abd326a1ff3048f09deeeab3f6074e1b">
      <tp>
        <v>1</v>
        <stp/>
        <stp>abf4460c-381b-40d5-a31f-c159c868f565</stp>
        <tr r="G20" s="7"/>
      </tp>
    </main>
    <main first="rtdsrv.abd326a1ff3048f09deeeab3f6074e1b">
      <tp>
        <v>2</v>
        <stp/>
        <stp>e652771c-5f47-459b-b23d-396b37d2175c</stp>
        <tr r="D8" s="3"/>
      </tp>
    </main>
    <main first="rtdsrv.abd326a1ff3048f09deeeab3f6074e1b">
      <tp>
        <v>2</v>
        <stp/>
        <stp>4d0f13a6-f233-4360-8b98-3383a1c1cfd3</stp>
        <tr r="G28" s="4"/>
      </tp>
    </main>
    <main first="rtdsrv.abd326a1ff3048f09deeeab3f6074e1b">
      <tp>
        <v>1</v>
        <stp/>
        <stp>cf201a12-da83-4a0e-ba18-417f598b6c0c</stp>
        <tr r="G45" s="7"/>
      </tp>
    </main>
    <main first="rtdsrv.abd326a1ff3048f09deeeab3f6074e1b">
      <tp>
        <v>2</v>
        <stp/>
        <stp>86964c65-0373-407c-bf57-49d5aeaca3cc</stp>
        <tr r="G52" s="4"/>
      </tp>
    </main>
    <main first="rtdsrv.abd326a1ff3048f09deeeab3f6074e1b">
      <tp>
        <v>1</v>
        <stp/>
        <stp>374de599-e4d9-4399-a062-6322036604b5</stp>
        <tr r="G36" s="7"/>
      </tp>
    </main>
    <main first="rtdsrv.abd326a1ff3048f09deeeab3f6074e1b">
      <tp>
        <v>2</v>
        <stp/>
        <stp>192427a8-4765-4cb4-9a34-80ce304d5a5b</stp>
        <tr r="G44" s="1"/>
      </tp>
    </main>
    <main first="rtdsrv.abd326a1ff3048f09deeeab3f6074e1b">
      <tp>
        <v>2</v>
        <stp/>
        <stp>dde195ba-1ed3-45ef-8527-0402a8bb2d3a</stp>
        <tr r="G51" s="1"/>
      </tp>
    </main>
    <main first="rtdsrv.abd326a1ff3048f09deeeab3f6074e1b">
      <tp>
        <v>1</v>
        <stp/>
        <stp>a41afd4c-f25d-4958-935a-cd9f1b72faa3</stp>
        <tr r="G25" s="7"/>
      </tp>
    </main>
    <main first="rtdsrv.abd326a1ff3048f09deeeab3f6074e1b">
      <tp>
        <v>1</v>
        <stp/>
        <stp>f8743318-315f-479f-8dbc-1b3a7085637f</stp>
        <tr r="G56" s="7"/>
      </tp>
    </main>
    <main first="rtdsrv.abd326a1ff3048f09deeeab3f6074e1b">
      <tp>
        <v>2</v>
        <stp/>
        <stp>d821412a-3b43-48a5-9b6e-1765c2656a67</stp>
        <tr r="D50" s="5"/>
      </tp>
      <tp>
        <v>2</v>
        <stp/>
        <stp>1bc7a9ef-1464-4f02-bc1e-b011c51ee1ac</stp>
        <tr r="F6" s="1"/>
      </tp>
    </main>
    <main first="rtdsrv.abd326a1ff3048f09deeeab3f6074e1b">
      <tp>
        <v>1</v>
        <stp/>
        <stp>23744238-b5ad-4cd7-81cd-2816bc8a11f6</stp>
        <tr r="G48" s="7"/>
      </tp>
    </main>
    <main first="rtdsrv.abd326a1ff3048f09deeeab3f6074e1b">
      <tp>
        <v>2</v>
        <stp/>
        <stp>be41698a-a8d8-4b17-9e25-5c6d5c8d5e3d</stp>
        <tr r="I19" s="1"/>
      </tp>
    </main>
    <main first="rtdsrv.abd326a1ff3048f09deeeab3f6074e1b">
      <tp>
        <v>1</v>
        <stp/>
        <stp>154f7b26-d88a-4020-9e01-15cf0892dd59</stp>
        <tr r="G49" s="7"/>
      </tp>
    </main>
    <main first="rtdsrv.abd326a1ff3048f09deeeab3f6074e1b">
      <tp>
        <v>2</v>
        <stp/>
        <stp>12aeb1aa-e344-4e3a-9912-39eebd3fa131</stp>
        <tr r="G53" s="4"/>
      </tp>
    </main>
    <main first="rtdsrv.abd326a1ff3048f09deeeab3f6074e1b">
      <tp>
        <v>2</v>
        <stp/>
        <stp>5a3f8d98-35b8-40e1-a784-af7544aa872b</stp>
        <tr r="G30" s="1"/>
      </tp>
    </main>
    <main first="rtdsrv.abd326a1ff3048f09deeeab3f6074e1b">
      <tp>
        <v>2</v>
        <stp/>
        <stp>91670015-7014-41bd-b289-87aedbd72ed9</stp>
        <tr r="G27" s="4"/>
      </tp>
    </main>
    <main first="rtdsrv.abd326a1ff3048f09deeeab3f6074e1b">
      <tp>
        <v>1</v>
        <stp/>
        <stp>e1ebe89d-a0eb-4eeb-b7b6-a3f9805831d9</stp>
        <tr r="G22" s="7"/>
      </tp>
      <tp>
        <v>2</v>
        <stp/>
        <stp>d886bfe5-a62f-414f-aa97-c0c14314b9cb</stp>
        <tr r="G29" s="1"/>
      </tp>
    </main>
    <main first="rtdsrv.abd326a1ff3048f09deeeab3f6074e1b">
      <tp>
        <v>1</v>
        <stp/>
        <stp>3323b05a-e0ca-4315-9304-b4272804557d</stp>
        <tr r="G52" s="7"/>
      </tp>
    </main>
    <main first="rtdsrv.abd326a1ff3048f09deeeab3f6074e1b">
      <tp>
        <v>2</v>
        <stp/>
        <stp>c9927e3d-c17d-4bed-8ee8-d523af354779</stp>
        <tr r="G31" s="1"/>
      </tp>
    </main>
    <main first="rtdsrv.abd326a1ff3048f09deeeab3f6074e1b">
      <tp>
        <v>1</v>
        <stp/>
        <stp>324359ef-69e0-4f8c-ba67-73d06849591d</stp>
        <tr r="G44" s="7"/>
      </tp>
    </main>
    <main first="rtdsrv.abd326a1ff3048f09deeeab3f6074e1b">
      <tp>
        <v>1</v>
        <stp/>
        <stp>c35df615-2074-4a66-afbf-9dcb6e9ab85a</stp>
        <tr r="G42" s="7"/>
      </tp>
    </main>
    <main first="rtdsrv.abd326a1ff3048f09deeeab3f6074e1b">
      <tp>
        <v>2</v>
        <stp/>
        <stp>08a82f09-c778-4301-adde-6a24e3254ac6</stp>
        <tr r="P29" s="1"/>
      </tp>
      <tp>
        <v>1</v>
        <stp/>
        <stp>957f4fed-6340-444a-952c-72c0b9f6dfc9</stp>
        <tr r="G47" s="7"/>
      </tp>
    </main>
    <main first="rtdsrv.abd326a1ff3048f09deeeab3f6074e1b">
      <tp>
        <v>2</v>
        <stp/>
        <stp>9735f18f-4408-4429-9eba-5b4b7560ee5e</stp>
        <tr r="G34" s="4"/>
      </tp>
    </main>
    <main first="rtdsrv.abd326a1ff3048f09deeeab3f6074e1b">
      <tp>
        <v>2</v>
        <stp/>
        <stp>32090b7a-88c2-4e3e-8432-e03dca1234ba</stp>
        <tr r="H5" s="5"/>
      </tp>
    </main>
    <main first="rtdsrv.abd326a1ff3048f09deeeab3f6074e1b">
      <tp>
        <v>2</v>
        <stp/>
        <stp>1cb95ec2-779f-4ec8-8018-86933d22413a</stp>
        <tr r="G52" s="1"/>
      </tp>
    </main>
    <main first="rtdsrv.abd326a1ff3048f09deeeab3f6074e1b">
      <tp>
        <v>2</v>
        <stp/>
        <stp>c6a13b0f-2aef-4485-9d19-41e631b40994</stp>
        <tr r="C10" s="6"/>
      </tp>
    </main>
    <main first="rtdsrv.abd326a1ff3048f09deeeab3f6074e1b">
      <tp>
        <v>1</v>
        <stp/>
        <stp>e5ca06ae-9f3e-47ef-98a5-2b2dc597e1c4</stp>
        <tr r="G54" s="7"/>
      </tp>
    </main>
    <main first="rtdsrv.abd326a1ff3048f09deeeab3f6074e1b">
      <tp>
        <v>2</v>
        <stp/>
        <stp>636e8a99-3e81-4879-9559-31630e77ca7f</stp>
        <tr r="G53" s="1"/>
      </tp>
    </main>
    <main first="rtdsrv.abd326a1ff3048f09deeeab3f6074e1b">
      <tp>
        <v>2</v>
        <stp/>
        <stp>9af55014-a9cc-48c9-ab3a-8f1b6111c5d7</stp>
        <tr r="G22" s="4"/>
      </tp>
    </main>
    <main first="rtdsrv.abd326a1ff3048f09deeeab3f6074e1b">
      <tp>
        <v>2</v>
        <stp/>
        <stp>1a93e9a5-fcd0-4f1b-8917-ea19be7951e9</stp>
        <tr r="G32" s="1"/>
      </tp>
    </main>
    <main first="rtdsrv.abd326a1ff3048f09deeeab3f6074e1b">
      <tp>
        <v>2</v>
        <stp/>
        <stp>bad4425a-9b18-4f73-abf4-965a4046ca42</stp>
        <tr r="D7" s="3"/>
      </tp>
    </main>
    <main first="rtdsrv.abd326a1ff3048f09deeeab3f6074e1b">
      <tp>
        <v>2</v>
        <stp/>
        <stp>34aa9831-6d43-4ab4-aa4f-e699adec300a</stp>
        <tr r="G26" s="1"/>
      </tp>
    </main>
    <main first="rtdsrv.abd326a1ff3048f09deeeab3f6074e1b">
      <tp>
        <v>2</v>
        <stp/>
        <stp>669ae2bb-b709-4ed2-9ac3-dd2b2994235e</stp>
        <tr r="G20" s="1"/>
      </tp>
    </main>
    <main first="rtdsrv.abd326a1ff3048f09deeeab3f6074e1b">
      <tp>
        <v>2</v>
        <stp/>
        <stp>7bfaa997-0caa-452b-a9f1-0bdd0e09e110</stp>
        <tr r="G48" s="4"/>
      </tp>
    </main>
    <main first="rtdsrv.abd326a1ff3048f09deeeab3f6074e1b">
      <tp>
        <v>2</v>
        <stp/>
        <stp>52af44e7-971e-4b6f-a27a-4cabb2bc3fa6</stp>
        <tr r="G36" s="4"/>
      </tp>
    </main>
    <main first="rtdsrv.abd326a1ff3048f09deeeab3f6074e1b">
      <tp>
        <v>2</v>
        <stp/>
        <stp>906acb2e-d7c4-4bbd-aa9e-e076ca4d9cd1</stp>
        <tr r="D30" s="5"/>
      </tp>
    </main>
    <main first="rtdsrv.abd326a1ff3048f09deeeab3f6074e1b">
      <tp>
        <v>2</v>
        <stp/>
        <stp>d129509f-d841-4284-874f-35917d90227e</stp>
        <tr r="G21" s="1"/>
      </tp>
      <tp>
        <v>1</v>
        <stp/>
        <stp>f3860999-aab4-4873-8fe1-0f038955ad41</stp>
        <tr r="F6" s="7"/>
      </tp>
    </main>
    <main first="rtdsrv.abd326a1ff3048f09deeeab3f6074e1b">
      <tp>
        <v>2</v>
        <stp/>
        <stp>feba179a-081c-4a3c-a7b4-7f2ae7b824a9</stp>
        <tr r="G47" s="4"/>
      </tp>
    </main>
    <main first="rtdsrv.abd326a1ff3048f09deeeab3f6074e1b">
      <tp>
        <v>1</v>
        <stp/>
        <stp>2510a530-9e76-46a9-b613-4fa5aef63483</stp>
        <tr r="H7" s="3"/>
      </tp>
    </main>
    <main first="rtdsrv.abd326a1ff3048f09deeeab3f6074e1b">
      <tp>
        <v>2</v>
        <stp/>
        <stp>1e9dd876-10eb-4e05-85bf-49a124a73049</stp>
        <tr r="I28" s="1"/>
      </tp>
    </main>
    <main first="rtdsrv.abd326a1ff3048f09deeeab3f6074e1b">
      <tp>
        <v>2</v>
        <stp/>
        <stp>95af8d5e-0b30-400e-9ad4-a4ae96cd3d24</stp>
        <tr r="D6" s="3"/>
      </tp>
    </main>
    <main first="rtdsrv.abd326a1ff3048f09deeeab3f6074e1b">
      <tp>
        <v>1</v>
        <stp/>
        <stp>c69bb0f1-92da-46d8-a929-9f3a4e5010de</stp>
        <tr r="G51" s="7"/>
      </tp>
      <tp>
        <v>2</v>
        <stp/>
        <stp>0fceed20-8981-4b28-85da-013c7a9c1049</stp>
        <tr r="G21" s="4"/>
      </tp>
    </main>
    <main first="rtdsrv.abd326a1ff3048f09deeeab3f6074e1b">
      <tp>
        <v>2</v>
        <stp/>
        <stp>9ce6b4b2-7f36-48f4-be05-aae3e272b18c</stp>
        <tr r="D35" s="5"/>
      </tp>
    </main>
    <main first="rtdsrv.abd326a1ff3048f09deeeab3f6074e1b">
      <tp>
        <v>1</v>
        <stp/>
        <stp>e042c3b4-06c4-48f7-9eb5-0f83d0726711</stp>
        <tr r="G33" s="7"/>
      </tp>
    </main>
    <main first="rtdsrv.abd326a1ff3048f09deeeab3f6074e1b">
      <tp>
        <v>2</v>
        <stp/>
        <stp>a9817732-7877-4ccd-bcab-236b6882306f</stp>
        <tr r="G20" s="4"/>
      </tp>
    </main>
    <main first="rtdsrv.abd326a1ff3048f09deeeab3f6074e1b">
      <tp>
        <v>2</v>
        <stp/>
        <stp>bcbb0ba9-6133-4b6b-b4d4-20bad67c20f8</stp>
        <tr r="G46" s="1"/>
      </tp>
    </main>
    <main first="rtdsrv.abd326a1ff3048f09deeeab3f6074e1b">
      <tp>
        <v>2</v>
        <stp/>
        <stp>d89bc36f-88aa-4647-8c99-e9d02737b4f4</stp>
        <tr r="G49" s="4"/>
      </tp>
    </main>
    <main first="rtdsrv.abd326a1ff3048f09deeeab3f6074e1b">
      <tp>
        <v>2</v>
        <stp/>
        <stp>bc0e2902-99f2-45c7-9011-55cc1c8e3761</stp>
        <tr r="G41" s="4"/>
      </tp>
    </main>
    <main first="rtdsrv.abd326a1ff3048f09deeeab3f6074e1b">
      <tp>
        <v>2</v>
        <stp/>
        <stp>73600e53-cdc9-4662-b2a8-f52afc34742e</stp>
        <tr r="D15" s="5"/>
      </tp>
    </main>
    <main first="rtdsrv.abd326a1ff3048f09deeeab3f6074e1b">
      <tp>
        <v>1</v>
        <stp/>
        <stp>e37de07f-060b-43eb-9e65-869436bbdb04</stp>
        <tr r="G23" s="7"/>
      </tp>
    </main>
    <main first="rtdsrv.abd326a1ff3048f09deeeab3f6074e1b">
      <tp>
        <v>2</v>
        <stp/>
        <stp>3755ac39-c8bc-4fb3-8cdc-f0979f2fb393</stp>
        <tr r="G37" s="4"/>
      </tp>
    </main>
    <main first="rtdsrv.abd326a1ff3048f09deeeab3f6074e1b">
      <tp>
        <v>2</v>
        <stp/>
        <stp>62264b55-5937-473d-a793-099e0fed6ba1</stp>
        <tr r="G43" s="4"/>
      </tp>
    </main>
    <main first="rtdsrv.abd326a1ff3048f09deeeab3f6074e1b">
      <tp>
        <v>1</v>
        <stp/>
        <stp>1f686f95-a1d0-456c-a106-51257066867a</stp>
        <tr r="G21" s="7"/>
      </tp>
    </main>
    <main first="rtdsrv.abd326a1ff3048f09deeeab3f6074e1b">
      <tp>
        <v>2</v>
        <stp/>
        <stp>dfda6353-3034-4794-9585-631dcdc7e891</stp>
        <tr r="G39" s="1"/>
      </tp>
    </main>
    <main first="rtdsrv.abd326a1ff3048f09deeeab3f6074e1b">
      <tp>
        <v>2</v>
        <stp/>
        <stp>605bc0d8-e9f8-492b-bf04-0f689a0b2292</stp>
        <tr r="G50" s="1"/>
      </tp>
    </main>
    <main first="rtdsrv.abd326a1ff3048f09deeeab3f6074e1b">
      <tp>
        <v>2</v>
        <stp/>
        <stp>826edc58-f7b7-4822-b2b4-71273231ffd3</stp>
        <tr r="D20" s="5"/>
      </tp>
    </main>
    <main first="rtdsrv.abd326a1ff3048f09deeeab3f6074e1b">
      <tp>
        <v>2</v>
        <stp/>
        <stp>7345df89-1908-4d7d-ac2e-34679090444d</stp>
        <tr r="G55" s="1"/>
      </tp>
    </main>
    <main first="rtdsrv.abd326a1ff3048f09deeeab3f6074e1b">
      <tp>
        <v>2</v>
        <stp/>
        <stp>bb0bb683-0aa8-4cd0-9d98-488155029b42</stp>
        <tr r="G51" s="4"/>
      </tp>
    </main>
    <main first="rtdsrv.abd326a1ff3048f09deeeab3f6074e1b">
      <tp>
        <v>1</v>
        <stp/>
        <stp>50ce5008-7041-463b-b3e6-2cc77338cb7a</stp>
        <tr r="G46" s="7"/>
      </tp>
    </main>
    <main first="rtdsrv.abd326a1ff3048f09deeeab3f6074e1b">
      <tp>
        <v>1</v>
        <stp/>
        <stp>24c1f5ac-2aaf-4294-b114-4a7b83296fad</stp>
        <tr r="G40" s="7"/>
      </tp>
    </main>
    <main first="rtdsrv.abd326a1ff3048f09deeeab3f6074e1b">
      <tp>
        <v>1</v>
        <stp/>
        <stp>b5ee1491-1ead-41c1-b22a-26c5d634f181</stp>
        <tr r="I19" s="7"/>
      </tp>
    </main>
    <main first="rtdsrv.abd326a1ff3048f09deeeab3f6074e1b">
      <tp>
        <v>2</v>
        <stp/>
        <stp>813afd57-6dab-4305-b864-3dd5856dd30e</stp>
        <tr r="G44" s="4"/>
      </tp>
    </main>
    <main first="rtdsrv.abd326a1ff3048f09deeeab3f6074e1b">
      <tp>
        <v>2</v>
        <stp/>
        <stp>99bdd087-8bad-47b6-9ef8-622c80952a5e</stp>
        <tr r="G50" s="4"/>
      </tp>
      <tp>
        <v>2</v>
        <stp/>
        <stp>fd8349f0-6e1c-49f0-911e-8a57691a30e0</stp>
        <tr r="C2" s="2"/>
      </tp>
      <tp>
        <v>1</v>
        <stp/>
        <stp>1ddbe2e3-5322-4d94-8b9d-689ffedf214c</stp>
        <tr r="P19" s="7"/>
      </tp>
    </main>
    <main first="rtdsrv.abd326a1ff3048f09deeeab3f6074e1b">
      <tp>
        <v>2</v>
        <stp/>
        <stp>de1ae3a8-4983-4823-b974-9d38b18e0060</stp>
        <tr r="G26" s="4"/>
      </tp>
    </main>
    <main first="rtdsrv.abd326a1ff3048f09deeeab3f6074e1b">
      <tp>
        <v>2</v>
        <stp/>
        <stp>dd354171-29ea-414e-8750-47eb4154622d</stp>
        <tr r="G41" s="1"/>
      </tp>
    </main>
    <main first="rtdsrv.abd326a1ff3048f09deeeab3f6074e1b">
      <tp>
        <v>2</v>
        <stp/>
        <stp>5203d349-f2d0-4b55-8b3f-5326677a1f82</stp>
        <tr r="G46" s="4"/>
      </tp>
    </main>
    <main first="rtdsrv.abd326a1ff3048f09deeeab3f6074e1b">
      <tp>
        <v>2</v>
        <stp/>
        <stp>b2a95037-d897-4f90-b15e-e828b939ba62</stp>
        <tr r="G35" s="1"/>
      </tp>
    </main>
    <main first="rtdsrv.abd326a1ff3048f09deeeab3f6074e1b">
      <tp>
        <v>1</v>
        <stp/>
        <stp>171c6964-9b1e-4c6b-89ca-74671d9a0e54</stp>
        <tr r="G43" s="7"/>
      </tp>
    </main>
    <main first="rtdsrv.abd326a1ff3048f09deeeab3f6074e1b">
      <tp>
        <v>2</v>
        <stp/>
        <stp>029093fa-63ca-403a-8398-fa4a899ca4f3</stp>
        <tr r="G19" s="1"/>
      </tp>
    </main>
    <main first="rtdsrv.abd326a1ff3048f09deeeab3f6074e1b">
      <tp>
        <v>2</v>
        <stp/>
        <stp>a6b27044-2b85-4e93-b6b6-d0fcf46f9a54</stp>
        <tr r="G30" s="4"/>
      </tp>
    </main>
    <main first="rtdsrv.abd326a1ff3048f09deeeab3f6074e1b">
      <tp>
        <v>2</v>
        <stp/>
        <stp>e62f3721-432d-4563-a450-70e255876606</stp>
        <tr r="G47" s="1"/>
      </tp>
    </main>
    <main first="rtdsrv.abd326a1ff3048f09deeeab3f6074e1b">
      <tp>
        <v>1</v>
        <stp/>
        <stp>147911b7-396d-41b3-9136-b6e5af8d9f50</stp>
        <tr r="G39" s="7"/>
      </tp>
    </main>
    <main first="rtdsrv.abd326a1ff3048f09deeeab3f6074e1b">
      <tp>
        <v>2</v>
        <stp/>
        <stp>df5e802b-48ba-4689-9469-3d7d80e229e2</stp>
        <tr r="F1" s="1"/>
      </tp>
      <tp>
        <v>1</v>
        <stp/>
        <stp>d76a4263-ffb8-492b-a5a2-016593abeb5f</stp>
        <tr r="G35" s="7"/>
      </tp>
      <tp>
        <v>1</v>
        <stp/>
        <stp>8d12b2c2-b5bd-44a6-9e12-df4e7bc49742</stp>
        <tr r="G50" s="7"/>
      </tp>
    </main>
    <main first="rtdsrv.abd326a1ff3048f09deeeab3f6074e1b">
      <tp>
        <v>2</v>
        <stp/>
        <stp>c313bf1c-9146-4734-b49b-0fef87aeb0c2</stp>
        <tr r="G43" s="1"/>
      </tp>
    </main>
    <main first="rtdsrv.abd326a1ff3048f09deeeab3f6074e1b">
      <tp>
        <v>1</v>
        <stp/>
        <stp>607efbd6-9e1d-4635-a8e9-d01d89c892ed</stp>
        <tr r="G27" s="7"/>
      </tp>
    </main>
    <main first="rtdsrv.abd326a1ff3048f09deeeab3f6074e1b">
      <tp>
        <v>2</v>
        <stp/>
        <stp>d1661ca3-c657-4405-9cf0-8d668ad06fa8</stp>
        <tr r="G32" s="4"/>
      </tp>
    </main>
    <main first="rtdsrv.abd326a1ff3048f09deeeab3f6074e1b">
      <tp>
        <v>2</v>
        <stp/>
        <stp>30e18ca7-45f4-4a04-befe-874eea3fcb64</stp>
        <tr r="G28" s="1"/>
      </tp>
    </main>
    <main first="rtdsrv.abd326a1ff3048f09deeeab3f6074e1b">
      <tp>
        <v>1</v>
        <stp/>
        <stp>02165f2b-15cd-4273-b779-7966da4068b9</stp>
        <tr r="G24" s="7"/>
      </tp>
    </main>
    <main first="rtdsrv.abd326a1ff3048f09deeeab3f6074e1b">
      <tp>
        <v>2</v>
        <stp/>
        <stp>70cb435f-a7f7-4055-976d-2d3d9f3a4b48</stp>
        <tr r="I38" s="4"/>
      </tp>
    </main>
    <main first="rtdsrv.abd326a1ff3048f09deeeab3f6074e1b">
      <tp>
        <v>1</v>
        <stp/>
        <stp>07c09bf2-59e6-4e02-9648-51d80d2ea2df</stp>
        <tr r="F8" s="3"/>
      </tp>
    </main>
    <main first="rtdsrv.abd326a1ff3048f09deeeab3f6074e1b">
      <tp>
        <v>2</v>
        <stp/>
        <stp>d1e9dde6-1cf0-4cc2-be17-8ffc3ddbcda3</stp>
        <tr r="D45" s="5"/>
      </tp>
    </main>
    <main first="rtdsrv.abd326a1ff3048f09deeeab3f6074e1b">
      <tp>
        <v>2</v>
        <stp/>
        <stp>7aab3822-7d04-4d3a-9b73-46d866402668</stp>
        <tr r="G27" s="1"/>
      </tp>
    </main>
    <main first="rtdsrv.abd326a1ff3048f09deeeab3f6074e1b">
      <tp>
        <v>2</v>
        <stp/>
        <stp>7c483ebe-272a-4e3a-b288-4a7fc58b57d9</stp>
        <tr r="I19" s="4"/>
        <tr r="I32" s="4"/>
      </tp>
    </main>
    <main first="rtdsrv.abd326a1ff3048f09deeeab3f6074e1b">
      <tp>
        <v>2</v>
        <stp/>
        <stp>d1307e50-f35b-47c6-a072-64d2886781c4</stp>
        <tr r="I42" s="4"/>
      </tp>
    </main>
    <main first="rtdsrv.abd326a1ff3048f09deeeab3f6074e1b">
      <tp>
        <v>1</v>
        <stp/>
        <stp>519ca8ab-b542-4372-ba05-28e5bf44a96d</stp>
        <tr r="F6" s="3"/>
      </tp>
      <tp>
        <v>49</v>
        <stp/>
        <stp>30c4af97-bafe-4538-932a-42423725a5cb</stp>
        <tr r="G5" s="3"/>
      </tp>
    </main>
    <main first="rtdsrv.abd326a1ff3048f09deeeab3f6074e1b">
      <tp>
        <v>1</v>
        <stp/>
        <stp>fbe18e2d-2159-4b51-b980-d290a402b53f</stp>
        <tr r="G30" s="7"/>
      </tp>
    </main>
    <main first="rtdsrv.abd326a1ff3048f09deeeab3f6074e1b">
      <tp>
        <v>2</v>
        <stp/>
        <stp>607820a5-454a-4559-98b6-0b97508e02b3</stp>
        <tr r="G57" s="4"/>
      </tp>
      <tp>
        <v>1</v>
        <stp/>
        <stp>f336007c-ac92-4a9a-aa82-1bbbe5c6acbf</stp>
        <tr r="G38" s="7"/>
      </tp>
    </main>
    <main first="rtdsrv.abd326a1ff3048f09deeeab3f6074e1b">
      <tp>
        <v>2</v>
        <stp/>
        <stp>81f1b2b8-9bdc-490e-99f6-42fe218ae6d6</stp>
        <tr r="G42" s="1"/>
      </tp>
    </main>
    <main first="rtdsrv.abd326a1ff3048f09deeeab3f6074e1b">
      <tp>
        <v>2</v>
        <stp/>
        <stp>4f323e85-f937-4f61-af0c-5a74f0fbf94b</stp>
        <tr r="G35" s="4"/>
      </tp>
    </main>
    <main first="rtdsrv.abd326a1ff3048f09deeeab3f6074e1b">
      <tp>
        <v>2</v>
        <stp/>
        <stp>1a6019f3-28a7-4024-967e-7ca88221b585</stp>
        <tr r="G31" s="4"/>
      </tp>
      <tp>
        <v>2</v>
        <stp/>
        <stp>7342557f-76a9-4eb7-8802-e9781647c4b4</stp>
        <tr r="F1" s="4"/>
      </tp>
    </main>
    <main first="rtdsrv.abd326a1ff3048f09deeeab3f6074e1b">
      <tp>
        <v>2</v>
        <stp/>
        <stp>94c7d5b9-e0e5-4c14-92ba-f9502cbfdeca</stp>
        <tr r="G57" s="1"/>
      </tp>
    </main>
    <main first="rtdsrv.abd326a1ff3048f09deeeab3f6074e1b">
      <tp>
        <v>1</v>
        <stp/>
        <stp>1461cb32-37cc-4811-979e-10270ddcb43c</stp>
        <tr r="G19" s="7"/>
      </tp>
    </main>
    <main first="rtdsrv.abd326a1ff3048f09deeeab3f6074e1b">
      <tp>
        <v>2</v>
        <stp/>
        <stp>d95dcbb0-2f09-4b17-980d-84c89266ae47</stp>
        <tr r="G34" s="1"/>
      </tp>
    </main>
    <main first="rtdsrv.abd326a1ff3048f09deeeab3f6074e1b">
      <tp>
        <v>2</v>
        <stp/>
        <stp>285267a3-5987-421f-a0fa-6f2a425a1c66</stp>
        <tr r="D25" s="5"/>
      </tp>
    </main>
    <main first="rtdsrv.abd326a1ff3048f09deeeab3f6074e1b">
      <tp>
        <v>2</v>
        <stp/>
        <stp>ef54a6fc-21e4-4991-83fe-a502f9d6235a</stp>
        <tr r="I28" s="4"/>
      </tp>
    </main>
    <main first="rtdsrv.abd326a1ff3048f09deeeab3f6074e1b">
      <tp>
        <v>1</v>
        <stp/>
        <stp>aa3ea2a0-3579-40fa-bea6-39b7e2092ae7</stp>
        <tr r="F5" s="3"/>
      </tp>
    </main>
    <main first="rtdsrv.abd326a1ff3048f09deeeab3f6074e1b">
      <tp>
        <v>2</v>
        <stp/>
        <stp>b553f489-1d76-4f6d-af66-14bf091b3e95</stp>
        <tr r="G23" s="1"/>
      </tp>
    </main>
    <main first="rtdsrv.abd326a1ff3048f09deeeab3f6074e1b">
      <tp>
        <v>2</v>
        <stp/>
        <stp>f105fd66-2b0e-4a49-88ff-de0a278d6ab8</stp>
        <tr r="G37" s="1"/>
      </tp>
      <tp>
        <v>2</v>
        <stp/>
        <stp>edb3bcae-6340-4623-948f-423ff594d647</stp>
        <tr r="G19" s="4"/>
      </tp>
    </main>
    <main first="rtdsrv.abd326a1ff3048f09deeeab3f6074e1b">
      <tp>
        <v>2</v>
        <stp/>
        <stp>91d74c84-9a16-4506-b008-b2e1fd735097</stp>
        <tr r="G48" s="1"/>
      </tp>
    </main>
    <main first="rtdsrv.abd326a1ff3048f09deeeab3f6074e1b">
      <tp>
        <v>2</v>
        <stp/>
        <stp>577820ad-9920-46b8-9104-d83bff1f9c62</stp>
        <tr r="B5" s="5"/>
      </tp>
    </main>
    <main first="rtdsrv.abd326a1ff3048f09deeeab3f6074e1b">
      <tp>
        <v>1</v>
        <stp/>
        <stp>359d0f46-b5f5-4f88-9ab0-afbd9e3b1cb3</stp>
        <tr r="G53" s="7"/>
      </tp>
    </main>
    <main first="rtdsrv.abd326a1ff3048f09deeeab3f6074e1b">
      <tp>
        <v>1</v>
        <stp/>
        <stp>73b7bebf-2c99-4849-a8b8-876296caa6ac</stp>
        <tr r="G32" s="7"/>
      </tp>
    </main>
    <main first="rtdsrv.abd326a1ff3048f09deeeab3f6074e1b">
      <tp>
        <v>2</v>
        <stp/>
        <stp>123c38d7-54a7-4f94-90e1-e0efd5514c25</stp>
        <tr r="G24" s="4"/>
      </tp>
    </main>
    <main first="rtdsrv.abd326a1ff3048f09deeeab3f6074e1b">
      <tp>
        <v>2</v>
        <stp/>
        <stp>7e82e1ad-2fe1-4353-8880-7d622e6c3d86</stp>
        <tr r="G36" s="1"/>
      </tp>
    </main>
    <main first="rtdsrv.abd326a1ff3048f09deeeab3f6074e1b">
      <tp>
        <v>2</v>
        <stp/>
        <stp>693cd29f-213a-4fa6-86b9-3fd24b3b4aa6</stp>
        <tr r="D4" s="3"/>
      </tp>
    </main>
    <main first="rtdsrv.abd326a1ff3048f09deeeab3f6074e1b">
      <tp>
        <v>1</v>
        <stp/>
        <stp>24f61d4f-ee3a-4eae-a938-bac9e28a397b</stp>
        <tr r="G34" s="7"/>
      </tp>
      <tp>
        <v>2</v>
        <stp/>
        <stp>80947dff-8bc8-42ed-8a19-adcc3f1d3259</stp>
        <tr r="P19" s="1"/>
      </tp>
      <tp>
        <v>2</v>
        <stp/>
        <stp>e0d07174-8d64-4587-9fd0-f5fa4f0a901c</stp>
        <tr r="G22" s="1"/>
      </tp>
    </main>
    <main first="rtdsrv.abd326a1ff3048f09deeeab3f6074e1b">
      <tp>
        <v>1</v>
        <stp/>
        <stp>dffdec5c-9384-40ad-9e99-635e0889ec5a</stp>
        <tr r="H5" s="3"/>
      </tp>
      <tp>
        <v>2</v>
        <stp/>
        <stp>1c87c14b-bdfd-4356-9e6c-18fc5530c495</stp>
        <tr r="F6" s="4"/>
      </tp>
    </main>
    <main first="rtdsrv.abd326a1ff3048f09deeeab3f6074e1b">
      <tp>
        <v>2</v>
        <stp/>
        <stp>631cfd32-3da1-4d57-a7d1-552e183393d8</stp>
        <tr r="G49" s="1"/>
      </tp>
      <tp>
        <v>49</v>
        <stp/>
        <stp>1d4859a3-0ace-4b5d-a112-1ae34bc95238</stp>
        <tr r="G7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65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JsonObject:8C3EEF7A-7536-44CB-9703-173AADB3026D</v>
      </c>
      <c r="K1" t="str">
        <f>EXLIBRIS_CONFIGURATION</f>
        <v>ExLibris.Core.ExLibrisConfiguration:D74332C6-7FA8-406F-A931-CC0AFBDAC570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JsonObject:F3783406-0AD9-4FD7-BEF0-FDC5CDA3AFEA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JsonObject:7DE253B8-2B4B-4E4A-9BBB-C581520991A7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JsonObject:DBF8DF01-FC2D-4590-9066-B69336F79571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JsonObject:C51F9F63-BA2A-4163-ADEA-3A02B0C9BD5A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JsonObject:786C54FA-F1A8-423D-8280-8FAA29F1283E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JsonObject:CE19AE85-85AB-40B1-AF76-DD69C3FC4045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JsonObject:1778E7D0-37C8-482A-932D-A592A42ACAAB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JsonObject:499C7896-A264-46AF-B811-EF6E5F127A7C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JsonObject:322227BF-3F63-469F-8768-73CEB0165F2F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JsonObject:EACDBF2F-D6B0-45FF-A155-AB52FFC4313E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9"/>
        <v>1</v>
      </c>
      <c r="AS61" t="b">
        <f t="shared" si="9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9"/>
        <v>1</v>
      </c>
      <c r="AS62" t="b">
        <f t="shared" si="9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9"/>
        <v>1</v>
      </c>
      <c r="AS63" t="b">
        <f t="shared" si="9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9"/>
        <v>1</v>
      </c>
      <c r="AS64" t="b">
        <f t="shared" si="9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_xll.ExLibris.Json.CreateJsonObjectAsync(E3:F6)</f>
        <v>JsonObject:2FECB558-879C-492B-90C4-8590EBD15D0C</v>
      </c>
      <c r="K1" t="str">
        <f>EXLIBRIS_CONFIGURATION</f>
        <v>ExLibris.Core.ExLibrisConfiguration:D74332C6-7FA8-406F-A931-CC0AFBDAC570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_xll.ExLibris.Json.CreateJsonArrayAsync(E8:J14)</f>
        <v>JsonObject:02A95CE2-8DF4-45C1-A8D9-3A178B000C48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JsonObject:FB8F9ED0-D58D-4117-88B7-ACD7183EF4A8</v>
      </c>
      <c r="P19" t="str" cm="1">
        <f t="array" ref="P19:Q27">_xll.ExLibris.Json.GetJsonKeyValuesAsync(F1,,3)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JsonObject:8CEADA8C-6F4E-442B-9CEB-07EB4B7953F2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JsonObject:570199C8-AEAE-428C-9BF2-98973DB5E93B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JsonObject:60012C1D-6184-4869-AB33-5E243277C0E8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JsonObject:4308444C-2B09-459E-B9C4-5F0A350D2BE0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JsonObject:0BBB0C86-FF86-4959-B33B-7B48FCC53F81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JsonObject:0AE9F135-F0F4-4A24-ABB0-B8A4B6664B04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JsonObject:BD458745-47C5-4A17-BBEF-657F03212C57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_xll.ExLibris.Json.CreateJsonObjectAsync(P22:Q27)</f>
        <v>JsonObject:DCF9D643-4651-430A-8496-FF42A2797D8E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_xll.ExLibris.Json.GetJsonValueAsync($F$1,E32)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_xll.ExLibris.Json.GetJsonValueAsync($F$1,E38)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_xll.ExLibris.Json.CreateJsonObjectAsync(E3:F6, EXLIBRIS_CONFIGURATION)</f>
        <v>JsonObject:21EF3670-DEEA-4044-98A2-13F20DE272E3</v>
      </c>
      <c r="K1" t="str">
        <f>EXLIBRIS_CONFIGURATION</f>
        <v>ExLibris.Core.ExLibrisConfiguration:D74332C6-7FA8-406F-A931-CC0AFBDAC570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_xll.ExLibris.Json.CreateJsonArrayAsync(E8:J14, EXLIBRIS_CONFIGURATION)</f>
        <v>JsonObject:31CC2F21-CAE4-4584-84F0-1291809999F1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108</v>
      </c>
      <c r="C7" s="6">
        <f>COUNTIF(AE34:AJ36,FALSE)</f>
        <v>0</v>
      </c>
      <c r="L7" t="s">
        <v>74</v>
      </c>
      <c r="M7" t="s">
        <v>106</v>
      </c>
    </row>
    <row r="8" spans="2:25" x14ac:dyDescent="0.4">
      <c r="B8" s="6" t="s">
        <v>109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_xll.ExLibris.Json.GetJsonKeyValuesAsync(F1,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JsonObject:7FEFD919-E6AD-4C02-AA11-4D2C8467E43C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JsonObject:028283B5-6AE5-42D2-9983-B0300EF4FB51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JsonObject:7FEFD919-E6AD-4C02-AA11-4D2C8467E43C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_xll.ExLibris.Json.SeachJsonArrayElementsAsync(I32,I8,I11,EXLIBRIS_CONFIGURATION)</f>
        <v>JsonObject:A0B4B955-07DC-45A3-B700-529727302583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_xll.ExLibris.Json.SeachJsonArrayElementsAsync(I32,J8,J11,EXLIBRIS_CONFIGURATION)</f>
        <v>JsonObject:1E00D1DA-E83A-4144-AE25-E8FD21787786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_xll.ExLibris.Json.SeachJsonArrayElementsAsync(I32,J8,,EXLIBRIS_CONFIGURATION)</f>
        <v>JsonObject:CBB91862-5556-4827-9656-A6A730A785BD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 EXLIBRIS_CONFIGURATION)</f>
        <v/>
      </c>
      <c r="P43" t="s">
        <v>53</v>
      </c>
      <c r="Q43" t="s">
        <v>8</v>
      </c>
      <c r="R43" t="s">
        <v>8</v>
      </c>
      <c r="T43" t="s">
        <v>107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_xll.ExLibris.Json.GetJsonValueAsync($F$1,E44,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_xll.ExLibris.Json.GetJsonValueAsync($F$1,E50,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_xll.ExLibris.Json.GetJsonValueAsync($F$1,E56,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_xll.ExLibris.LoadConfigurationAsync(B6:C15)</f>
        <v>ExLibris.Core.ExLibrisConfiguration:D74332C6-7FA8-406F-A931-CC0AFBDAC570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100</v>
      </c>
    </row>
    <row r="3" spans="2:10" x14ac:dyDescent="0.4">
      <c r="D3" t="s">
        <v>148</v>
      </c>
      <c r="E3" t="s">
        <v>147</v>
      </c>
      <c r="F3" t="s">
        <v>101</v>
      </c>
      <c r="G3" t="s">
        <v>149</v>
      </c>
      <c r="H3" t="s">
        <v>156</v>
      </c>
      <c r="I3" t="s">
        <v>150</v>
      </c>
      <c r="J3" t="s">
        <v>151</v>
      </c>
    </row>
    <row r="4" spans="2:10" x14ac:dyDescent="0.4">
      <c r="D4" t="str" cm="1">
        <f t="array" ref="D4">_xll.ExLibris.WebSockets.OpenWebSocketAsync("ws://localhost:10101",,E4)</f>
        <v>ExLibris.Core.WebSockets.WebsocketClient:1AB2AC24-3AC9-4745-9C5C-2AB5CAECF816</v>
      </c>
      <c r="E4" t="s">
        <v>102</v>
      </c>
      <c r="F4" t="str" cm="1">
        <f t="array" ref="F4">_xll.ExLibris.WebSockets.ObserveWebSocketStatus(D4,1000)</f>
        <v>Open</v>
      </c>
      <c r="G4" t="str" cm="1">
        <f t="array" ref="G4">_xll.ExLibris.WebSockets.ObserveWebSocketMessage(D4)</f>
        <v>message_2021-10-06T23:33:22.7952836+09:00</v>
      </c>
      <c r="H4" t="str" cm="1">
        <f t="array" ref="H4">_xll.ExLibris.Json.ShowJsonText(_xll.ExLibris.Json.CreateJsonArray($E$3:G4))</f>
        <v>[{"id":"client0","status":"Open","receive":"message_2021-10-06T23:33:22.7952836+09:00"}]</v>
      </c>
      <c r="I4" t="str" cm="1">
        <f t="array" ref="I4">_xll.ExLibris.WebSockets.SendWebSocketMessage(D4,H4,F4="Open")</f>
        <v>message sent : 2021-10-06T11:33:23.986</v>
      </c>
      <c r="J4" t="str" cm="1">
        <f t="array" ref="J4">_xll.ExLibris.WebSockets.SendWebSocketMessage($D$4,"1# "&amp;H4,I4)</f>
        <v>message sent : 2021-10-06T11:33:23.986</v>
      </c>
    </row>
    <row r="5" spans="2:10" x14ac:dyDescent="0.4">
      <c r="D5" t="str" cm="1">
        <f t="array" ref="D5">_xll.ExLibris.WebSockets.OpenWebSocketAsync("ws://localhost:10101",,E5)</f>
        <v>ExLibris.Core.WebSockets.WebsocketClient:F2860337-E3D7-4B3E-B7DB-C7AE56713C62</v>
      </c>
      <c r="E5" t="s">
        <v>152</v>
      </c>
      <c r="F5" t="str" cm="1">
        <f t="array" ref="F5">_xll.ExLibris.WebSockets.ObserveWebSocketStatus(D5,1000)</f>
        <v>Open</v>
      </c>
      <c r="G5" t="str" cm="1">
        <f t="array" ref="G5">_xll.ExLibris.WebSockets.ObserveWebSocketMessage(D5)</f>
        <v>message_2021-10-06T23:33:22.7952836+09:00</v>
      </c>
      <c r="H5" t="str" cm="1">
        <f t="array" ref="H5">_xll.ExLibris.Json.ShowJsonText(_xll.ExLibris.Json.CreateJsonArray($E$3:G5))</f>
        <v>[{"id":"client0","status":"Open","receive":"message_2021-10-06T23:33:22.7952836+09:00"},{"id":"client1","status":"Open","receive":"message_2021-10-06T23:33:22.7952836+09:00"}]</v>
      </c>
      <c r="I5" t="str" cm="1">
        <f t="array" ref="I5">_xll.ExLibris.WebSockets.SendWebSocketMessage(D5,H5,F5="Open")</f>
        <v>message sent : 2021-10-06T11:33:23.985</v>
      </c>
      <c r="J5" t="str" cm="1">
        <f t="array" ref="J5">_xll.ExLibris.WebSockets.SendWebSocketMessage($D$4,"1# "&amp;H5,I5)</f>
        <v>message sent : 2021-10-06T11:33:23.986</v>
      </c>
    </row>
    <row r="6" spans="2:10" x14ac:dyDescent="0.4">
      <c r="D6" t="str" cm="1">
        <f t="array" ref="D6">_xll.ExLibris.WebSockets.OpenWebSocketAsync("ws://localhost:10101",,E6)</f>
        <v>ExLibris.Core.WebSockets.WebsocketClient:201EE540-E293-44FE-BF98-E14124353D62</v>
      </c>
      <c r="E6" t="s">
        <v>153</v>
      </c>
      <c r="F6" t="str" cm="1">
        <f t="array" ref="F6">_xll.ExLibris.WebSockets.ObserveWebSocketStatus(D6,1000)</f>
        <v>Open</v>
      </c>
      <c r="G6" t="str" cm="1">
        <f t="array" ref="G6">_xll.ExLibris.WebSockets.ObserveWebSocketMessage(D6)</f>
        <v>message_2021-10-06T23:33:22.7952836+09:00</v>
      </c>
      <c r="H6" t="str" cm="1">
        <f t="array" ref="H6">_xll.ExLibris.Json.ShowJsonText(_xll.ExLibris.Json.CreateJsonArray($E$3:G6))</f>
        <v>[{"id":"client0","status":"Open","receive":"message_2021-10-06T23:33:22.7952836+09:00"},{"id":"client1","status":"Open","receive":"message_2021-10-06T23:33:22.7952836+09:00"},{"id":"client2","status":"Open","receive":"message_2021-10-06T23:33:22.7952836+09:00"}]</v>
      </c>
      <c r="I6" t="str" cm="1">
        <f t="array" ref="I6">_xll.ExLibris.WebSockets.SendWebSocketMessage(D6,H6,F6="Open")</f>
        <v>message sent : 2021-10-06T11:33:23.985</v>
      </c>
      <c r="J6" t="str" cm="1">
        <f t="array" ref="J6">_xll.ExLibris.WebSockets.SendWebSocketMessage($D$4,"1# "&amp;H6,I6)</f>
        <v>message sent : 2021-10-06T11:33:23.986</v>
      </c>
    </row>
    <row r="7" spans="2:10" x14ac:dyDescent="0.4">
      <c r="D7" t="str" cm="1">
        <f t="array" ref="D7">_xll.ExLibris.WebSockets.OpenWebSocketAsync("ws://localhost:10101",,E7)</f>
        <v>ExLibris.Core.WebSockets.WebsocketClient:B0F3E340-366F-4C20-8A1C-4C3DA3D70B7A</v>
      </c>
      <c r="E7" t="s">
        <v>154</v>
      </c>
      <c r="F7" t="str" cm="1">
        <f t="array" ref="F7">_xll.ExLibris.WebSockets.ObserveWebSocketStatus(D7,1000)</f>
        <v>Open</v>
      </c>
      <c r="G7" t="str" cm="1">
        <f t="array" ref="G7">_xll.ExLibris.WebSockets.ObserveWebSocketMessage(D7)</f>
        <v>message_2021-10-06T23:33:22.7952836+09:00</v>
      </c>
      <c r="H7" t="str" cm="1">
        <f t="array" ref="H7">_xll.ExLibris.Json.ShowJsonText(_xll.ExLibris.Json.CreateJsonArray($E$3:G7))</f>
        <v>[{"id":"client0","status":"Open","receive":"message_2021-10-06T23:33:22.7952836+09:00"},{"id":"client1","status":"Open","receive":"message_2021-10-06T23:33:22.7952836+09:00"},{"id":"client2","status":"Open","receive":"message_2021-10-06T23:33:22.7952836+09:00"},{"id":"client3","status":"Open","receive":"message_2021-10-06T23:33:22.7952836+09:00"}]</v>
      </c>
      <c r="I7" t="str" cm="1">
        <f t="array" ref="I7">_xll.ExLibris.WebSockets.SendWebSocketMessage(D7,H7,F7="Open")</f>
        <v>message sent : 2021-10-06T11:33:23.986</v>
      </c>
      <c r="J7" t="str" cm="1">
        <f t="array" ref="J7">_xll.ExLibris.WebSockets.SendWebSocketMessage($D$4,"1# "&amp;H7,I7)</f>
        <v>message sent : 2021-10-06T11:33:23.986</v>
      </c>
    </row>
    <row r="8" spans="2:10" x14ac:dyDescent="0.4">
      <c r="D8" t="str" cm="1">
        <f t="array" ref="D8">_xll.ExLibris.WebSockets.OpenWebSocketAsync("ws://localhost:10101",,E8)</f>
        <v>ExLibris.Core.WebSockets.WebsocketClient:3B931921-F88E-4531-89A1-0CE7D2833D1E</v>
      </c>
      <c r="E8" t="s">
        <v>155</v>
      </c>
      <c r="F8" t="str" cm="1">
        <f t="array" ref="F8">_xll.ExLibris.WebSockets.ObserveWebSocketStatus(D8,1000)</f>
        <v>Open</v>
      </c>
      <c r="G8" t="str" cm="1">
        <f t="array" ref="G8">_xll.ExLibris.WebSockets.ObserveWebSocketMessage(D8)</f>
        <v>message_2021-10-06T23:33:22.7952836+09:00</v>
      </c>
      <c r="H8" t="str" cm="1">
        <f t="array" ref="H8">_xll.ExLibris.Json.ShowJsonText(_xll.ExLibris.Json.CreateJsonArray($E$3:G8))</f>
        <v>[{"id":"client0","status":"Open","receive":"message_2021-10-06T23:33:22.7952836+09:00"},{"id":"client1","status":"Open","receive":"message_2021-10-06T23:33:22.7952836+09:00"},{"id":"client2","status":"Open","receive":"message_2021-10-06T23:33:22.7952836+09:00"},{"id":"client3","status":"Open","receive":"message_2021-10-06T23:33:22.7952836+09:00"},{"id":"client4","status":"Open","receive":"message_2021-10-06T23:33:22.7952836+09:00"}]</v>
      </c>
      <c r="I8" t="str" cm="1">
        <f t="array" ref="I8">_xll.ExLibris.WebSockets.SendWebSocketMessage(D8,H8,F8="Open")</f>
        <v>message sent : 2021-10-06T11:33:23.985</v>
      </c>
      <c r="J8" t="str" cm="1">
        <f t="array" ref="J8">_xll.ExLibris.WebSockets.SendWebSocketMessage($D$4,"1# "&amp;H8,I8)</f>
        <v>message sent : 2021-10-06T11:33:23.986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K52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11" x14ac:dyDescent="0.4">
      <c r="B2" t="s">
        <v>111</v>
      </c>
      <c r="C2" s="7" t="s">
        <v>117</v>
      </c>
      <c r="E2" t="s">
        <v>119</v>
      </c>
      <c r="K2" t="s">
        <v>157</v>
      </c>
    </row>
    <row r="3" spans="2:11" x14ac:dyDescent="0.4">
      <c r="C3" t="s">
        <v>116</v>
      </c>
    </row>
    <row r="5" spans="2:11" x14ac:dyDescent="0.4">
      <c r="B5" t="str" cm="1">
        <f t="array" ref="B5">_xll.ExLibris.WebAPIs.CreateHeadersAsync(B6:C10)</f>
        <v>ExLibris.Core.WebAPIs.WebAPIHeaders:B2233B37-3921-4895-9CD1-09A10A79082A</v>
      </c>
      <c r="H5" t="str" cm="1">
        <f t="array" ref="H5">_xll.ExLibris.Json.CreateJsonObjectAsync(H6:I11)</f>
        <v>JsonObject:6EDDC537-917D-46FF-840D-59AD3093B1A4</v>
      </c>
    </row>
    <row r="6" spans="2:11" x14ac:dyDescent="0.4">
      <c r="B6" t="s">
        <v>120</v>
      </c>
      <c r="C6" t="s">
        <v>121</v>
      </c>
      <c r="H6" t="s">
        <v>140</v>
      </c>
      <c r="I6" t="s">
        <v>142</v>
      </c>
    </row>
    <row r="7" spans="2:11" x14ac:dyDescent="0.4">
      <c r="B7" t="s">
        <v>122</v>
      </c>
      <c r="C7" t="s">
        <v>128</v>
      </c>
      <c r="H7" t="s">
        <v>141</v>
      </c>
      <c r="I7" t="s">
        <v>143</v>
      </c>
    </row>
    <row r="8" spans="2:11" x14ac:dyDescent="0.4">
      <c r="B8" t="s">
        <v>123</v>
      </c>
      <c r="C8" t="s">
        <v>129</v>
      </c>
      <c r="H8" t="s">
        <v>131</v>
      </c>
      <c r="I8">
        <v>108.5</v>
      </c>
    </row>
    <row r="9" spans="2:11" x14ac:dyDescent="0.4">
      <c r="B9" t="s">
        <v>124</v>
      </c>
      <c r="C9" t="s">
        <v>125</v>
      </c>
      <c r="H9" t="s">
        <v>132</v>
      </c>
      <c r="I9" t="s">
        <v>133</v>
      </c>
    </row>
    <row r="10" spans="2:11" x14ac:dyDescent="0.4">
      <c r="B10" t="s">
        <v>126</v>
      </c>
      <c r="C10" t="s">
        <v>127</v>
      </c>
      <c r="H10" t="s">
        <v>134</v>
      </c>
      <c r="I10" t="s">
        <v>135</v>
      </c>
    </row>
    <row r="11" spans="2:11" x14ac:dyDescent="0.4">
      <c r="H11" t="s">
        <v>136</v>
      </c>
      <c r="I11" s="1">
        <v>44463</v>
      </c>
    </row>
    <row r="12" spans="2:11" x14ac:dyDescent="0.4">
      <c r="B12" s="8">
        <f>COUNTIF(E14:E52,FALSE)</f>
        <v>0</v>
      </c>
      <c r="I12" s="1"/>
    </row>
    <row r="13" spans="2:11" x14ac:dyDescent="0.4">
      <c r="D13" t="s">
        <v>68</v>
      </c>
      <c r="E13" t="s">
        <v>177</v>
      </c>
      <c r="F13" s="1" t="s">
        <v>69</v>
      </c>
    </row>
    <row r="14" spans="2:11" x14ac:dyDescent="0.4">
      <c r="B14" t="s">
        <v>115</v>
      </c>
      <c r="C14" t="s">
        <v>114</v>
      </c>
      <c r="D14" t="str">
        <f>$C$2&amp;"get"</f>
        <v>http://localhost:80/get</v>
      </c>
      <c r="E14" t="b">
        <f t="shared" ref="E14:E52" si="0">D14=F14</f>
        <v>1</v>
      </c>
      <c r="F14" t="s">
        <v>158</v>
      </c>
    </row>
    <row r="15" spans="2:11" x14ac:dyDescent="0.4">
      <c r="C15" t="s">
        <v>112</v>
      </c>
      <c r="D15" t="str" cm="1">
        <f t="array" ref="D15">_xll.ExLibris.WebAPIs.GET(D14)</f>
        <v>ExLibris.Core.WebAPIs.Response:330F8148-1A92-48CD-8A89-C02FA31011F3</v>
      </c>
      <c r="F15" t="s">
        <v>159</v>
      </c>
    </row>
    <row r="16" spans="2:11" x14ac:dyDescent="0.4">
      <c r="C16" t="s">
        <v>101</v>
      </c>
      <c r="D16" cm="1">
        <f t="array" ref="D16">_xll.ExLibris.WebAPIs.WebAPIResponseStatus(D15,TRUE)</f>
        <v>200</v>
      </c>
      <c r="E16" t="b">
        <f t="shared" si="0"/>
        <v>1</v>
      </c>
      <c r="F16">
        <v>200</v>
      </c>
    </row>
    <row r="17" spans="2:6" x14ac:dyDescent="0.4">
      <c r="C17" t="s">
        <v>113</v>
      </c>
      <c r="D17" t="str" cm="1">
        <f t="array" ref="D17">_xll.ExLibris.WebAPIs.WebAPIResponseContent(D15)</f>
        <v xml:space="preserve">{
  "args": {}, 
  "headers": {
    "Host": "localhost"
  }, 
  "origin": "172.17.0.1", 
  "url": "http://localhost/get"
}
</v>
      </c>
      <c r="E17" t="b">
        <f t="shared" si="0"/>
        <v>1</v>
      </c>
      <c r="F17" t="s">
        <v>178</v>
      </c>
    </row>
    <row r="19" spans="2:6" x14ac:dyDescent="0.4">
      <c r="B19" t="s">
        <v>118</v>
      </c>
      <c r="C19" t="s">
        <v>114</v>
      </c>
      <c r="D19" t="str">
        <f>$C$2&amp;"post"</f>
        <v>http://localhost:80/post</v>
      </c>
      <c r="E19" t="b">
        <f t="shared" si="0"/>
        <v>1</v>
      </c>
      <c r="F19" t="s">
        <v>160</v>
      </c>
    </row>
    <row r="20" spans="2:6" x14ac:dyDescent="0.4">
      <c r="C20" t="s">
        <v>112</v>
      </c>
      <c r="D20" t="str" cm="1">
        <f t="array" ref="D20">_xll.ExLibris.WebAPIs.POST(D19)</f>
        <v>ExLibris.Core.WebAPIs.Response:5C703585-9E43-4AC0-B5A6-98B064641862</v>
      </c>
      <c r="F20" t="s">
        <v>161</v>
      </c>
    </row>
    <row r="21" spans="2:6" x14ac:dyDescent="0.4">
      <c r="C21" t="s">
        <v>101</v>
      </c>
      <c r="D21" cm="1">
        <f t="array" ref="D21">_xll.ExLibris.WebAPIs.WebAPIResponseStatus(D20,TRUE)</f>
        <v>200</v>
      </c>
      <c r="E21" t="b">
        <f t="shared" si="0"/>
        <v>1</v>
      </c>
      <c r="F21">
        <v>200</v>
      </c>
    </row>
    <row r="22" spans="2:6" x14ac:dyDescent="0.4">
      <c r="C22" t="s">
        <v>113</v>
      </c>
      <c r="D22" t="str" cm="1">
        <f t="array" ref="D22">_xll.ExLibris.WebAPIs.WebAPIResponseContent(D20)</f>
        <v xml:space="preserve">{
  "args": {}, 
  "data": "", 
  "files": {}, 
  "form": {}, 
  "headers": {
    "Content-Length": "0", 
    "Host": "localhost"
  }, 
  "json": null, 
  "origin": "172.17.0.1", 
  "url": "http://localhost/post"
}
</v>
      </c>
      <c r="E22" t="b">
        <f t="shared" si="0"/>
        <v>1</v>
      </c>
      <c r="F22" t="s">
        <v>180</v>
      </c>
    </row>
    <row r="24" spans="2:6" x14ac:dyDescent="0.4">
      <c r="B24" t="s">
        <v>130</v>
      </c>
      <c r="C24" t="s">
        <v>114</v>
      </c>
      <c r="D24" t="str">
        <f>$C$2&amp;"bearer"</f>
        <v>http://localhost:80/bearer</v>
      </c>
      <c r="E24" t="b">
        <f t="shared" si="0"/>
        <v>1</v>
      </c>
      <c r="F24" t="s">
        <v>162</v>
      </c>
    </row>
    <row r="25" spans="2:6" x14ac:dyDescent="0.4">
      <c r="C25" t="s">
        <v>112</v>
      </c>
      <c r="D25" t="str" cm="1">
        <f t="array" ref="D25">_xll.ExLibris.WebAPIs.GET(D24,$B$5)</f>
        <v>ExLibris.Core.WebAPIs.Response:85117D24-BAF8-4322-9C39-819B0319973F</v>
      </c>
      <c r="F25" t="s">
        <v>163</v>
      </c>
    </row>
    <row r="26" spans="2:6" x14ac:dyDescent="0.4">
      <c r="C26" t="s">
        <v>101</v>
      </c>
      <c r="D26" cm="1">
        <f t="array" ref="D26">_xll.ExLibris.WebAPIs.WebAPIResponseStatus(D25,TRUE)</f>
        <v>200</v>
      </c>
      <c r="E26" t="b">
        <f t="shared" si="0"/>
        <v>1</v>
      </c>
      <c r="F26">
        <v>200</v>
      </c>
    </row>
    <row r="27" spans="2:6" x14ac:dyDescent="0.4">
      <c r="C27" t="s">
        <v>113</v>
      </c>
      <c r="D27" t="str" cm="1">
        <f t="array" ref="D27">_xll.ExLibris.WebAPIs.WebAPIResponseContent(D25)</f>
        <v xml:space="preserve">{
  "authenticated": true, 
  "token": "XXX11111222223333444444"
}
</v>
      </c>
      <c r="E27" t="b">
        <f t="shared" si="0"/>
        <v>1</v>
      </c>
      <c r="F27" t="s">
        <v>164</v>
      </c>
    </row>
    <row r="29" spans="2:6" x14ac:dyDescent="0.4">
      <c r="B29" t="s">
        <v>137</v>
      </c>
      <c r="C29" t="s">
        <v>114</v>
      </c>
      <c r="D29" t="str">
        <f>$C$2&amp;"post"</f>
        <v>http://localhost:80/post</v>
      </c>
      <c r="E29" t="b">
        <f t="shared" si="0"/>
        <v>1</v>
      </c>
      <c r="F29" t="s">
        <v>160</v>
      </c>
    </row>
    <row r="30" spans="2:6" x14ac:dyDescent="0.4">
      <c r="C30" t="s">
        <v>112</v>
      </c>
      <c r="D30" t="str" cm="1">
        <f t="array" ref="D30">_xll.ExLibris.WebAPIs.POST(D29,_xll.ExLibris.Json.ShowJsonText(H5),,$B$5)</f>
        <v>ExLibris.Core.WebAPIs.Response:89FD5039-4374-4A2D-97F1-571D60DCE2DB</v>
      </c>
      <c r="F30" t="s">
        <v>165</v>
      </c>
    </row>
    <row r="31" spans="2:6" x14ac:dyDescent="0.4">
      <c r="C31" t="s">
        <v>101</v>
      </c>
      <c r="D31" cm="1">
        <f t="array" ref="D31">_xll.ExLibris.WebAPIs.WebAPIResponseStatus(D30,TRUE)</f>
        <v>200</v>
      </c>
      <c r="E31" t="b">
        <f t="shared" si="0"/>
        <v>1</v>
      </c>
      <c r="F31">
        <v>200</v>
      </c>
    </row>
    <row r="32" spans="2:6" x14ac:dyDescent="0.4">
      <c r="C32" t="s">
        <v>113</v>
      </c>
      <c r="D32" t="str" cm="1">
        <f t="array" ref="D32">_xll.ExLibris.WebAPIs.WebAPIResponseContent(D30)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  <c r="E32" t="b">
        <f t="shared" si="0"/>
        <v>1</v>
      </c>
      <c r="F32" t="s">
        <v>166</v>
      </c>
    </row>
    <row r="34" spans="2:6" x14ac:dyDescent="0.4">
      <c r="B34" t="s">
        <v>138</v>
      </c>
      <c r="C34" t="s">
        <v>114</v>
      </c>
      <c r="D34" t="str">
        <f>$C$2&amp;"post"</f>
        <v>http://localhost:80/post</v>
      </c>
      <c r="E34" t="b">
        <f t="shared" si="0"/>
        <v>1</v>
      </c>
      <c r="F34" t="s">
        <v>160</v>
      </c>
    </row>
    <row r="35" spans="2:6" x14ac:dyDescent="0.4">
      <c r="C35" t="s">
        <v>112</v>
      </c>
      <c r="D35" t="str" cm="1">
        <f t="array" ref="D35">_xll.ExLibris.WebAPIs.POST(D34,H5,TRUE,$B$5)</f>
        <v>ExLibris.Core.WebAPIs.Response:1D3AD2DF-701B-49B1-94C8-7101435EFA8D</v>
      </c>
      <c r="F35" t="s">
        <v>167</v>
      </c>
    </row>
    <row r="36" spans="2:6" x14ac:dyDescent="0.4">
      <c r="C36" t="s">
        <v>101</v>
      </c>
      <c r="D36" cm="1">
        <f t="array" ref="D36">_xll.ExLibris.WebAPIs.WebAPIResponseStatus(D35,TRUE)</f>
        <v>200</v>
      </c>
      <c r="E36" t="b">
        <f t="shared" si="0"/>
        <v>1</v>
      </c>
      <c r="F36">
        <v>200</v>
      </c>
    </row>
    <row r="37" spans="2:6" x14ac:dyDescent="0.4">
      <c r="C37" t="s">
        <v>113</v>
      </c>
      <c r="D37" t="str" cm="1">
        <f t="array" ref="D37">_xll.ExLibris.WebAPIs.WebAPIResponseContent(D35)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  <c r="E37" t="b">
        <f t="shared" si="0"/>
        <v>1</v>
      </c>
      <c r="F37" t="s">
        <v>168</v>
      </c>
    </row>
    <row r="39" spans="2:6" x14ac:dyDescent="0.4">
      <c r="B39" t="s">
        <v>139</v>
      </c>
      <c r="C39" t="s">
        <v>114</v>
      </c>
      <c r="D39" t="str" cm="1">
        <f t="array" ref="D39">_xll.ExLibris.WebAPIs.BuildUri($C$2&amp;"post",H6:I11)</f>
        <v>http://localhost:80/post?currency_pair.left=USD&amp;currency_pair.right=JPY&amp;strike=108.5&amp;call_or_put=CALL&amp;buy_or_sell=SELL&amp;date=44463</v>
      </c>
      <c r="E39" t="b">
        <f t="shared" si="0"/>
        <v>1</v>
      </c>
      <c r="F39" t="s">
        <v>169</v>
      </c>
    </row>
    <row r="40" spans="2:6" x14ac:dyDescent="0.4">
      <c r="C40" t="s">
        <v>112</v>
      </c>
      <c r="D40" t="str" cm="1">
        <f t="array" ref="D40">_xll.ExLibris.WebAPIs.POST(D39,H6:I11,TRUE,$B$5)</f>
        <v>ExLibris.Core.WebAPIs.Response:F129FCF2-CE97-40A1-90A7-4649698BE78D</v>
      </c>
      <c r="F40" t="s">
        <v>170</v>
      </c>
    </row>
    <row r="41" spans="2:6" x14ac:dyDescent="0.4">
      <c r="C41" t="s">
        <v>101</v>
      </c>
      <c r="D41" cm="1">
        <f t="array" ref="D41">_xll.ExLibris.WebAPIs.WebAPIResponseStatus(D40,TRUE)</f>
        <v>200</v>
      </c>
      <c r="E41" t="b">
        <f t="shared" si="0"/>
        <v>1</v>
      </c>
      <c r="F41">
        <v>200</v>
      </c>
    </row>
    <row r="42" spans="2:6" x14ac:dyDescent="0.4">
      <c r="C42" t="s">
        <v>113</v>
      </c>
      <c r="D42" t="str" cm="1">
        <f t="array" ref="D42">_xll.ExLibris.WebAPIs.WebAPIResponseContent(D40)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  <c r="E42" t="b">
        <f t="shared" si="0"/>
        <v>1</v>
      </c>
      <c r="F42" t="s">
        <v>171</v>
      </c>
    </row>
    <row r="44" spans="2:6" x14ac:dyDescent="0.4">
      <c r="B44" t="s">
        <v>144</v>
      </c>
      <c r="C44" t="s">
        <v>114</v>
      </c>
      <c r="D44" t="str" cm="1">
        <f t="array" ref="D44">_xll.ExLibris.WebAPIs.BuildUri($C$2&amp;"get",H6:I11)</f>
        <v>http://localhost:80/get?currency_pair.left=USD&amp;currency_pair.right=JPY&amp;strike=108.5&amp;call_or_put=CALL&amp;buy_or_sell=SELL&amp;date=44463</v>
      </c>
      <c r="E44" t="b">
        <f t="shared" si="0"/>
        <v>1</v>
      </c>
      <c r="F44" t="s">
        <v>172</v>
      </c>
    </row>
    <row r="45" spans="2:6" x14ac:dyDescent="0.4">
      <c r="C45" t="s">
        <v>112</v>
      </c>
      <c r="D45" t="str" cm="1">
        <f t="array" ref="D45">_xll.ExLibris.WebAPIs.GET(D44)</f>
        <v>ExLibris.Core.WebAPIs.Response:F03F7904-5402-495C-AEC9-9B1BC06E2A0E</v>
      </c>
      <c r="F45" t="s">
        <v>173</v>
      </c>
    </row>
    <row r="46" spans="2:6" x14ac:dyDescent="0.4">
      <c r="C46" t="s">
        <v>101</v>
      </c>
      <c r="D46" cm="1">
        <f t="array" ref="D46">_xll.ExLibris.WebAPIs.WebAPIResponseStatus(D45,TRUE)</f>
        <v>200</v>
      </c>
      <c r="E46" t="b">
        <f t="shared" si="0"/>
        <v>1</v>
      </c>
      <c r="F46">
        <v>200</v>
      </c>
    </row>
    <row r="47" spans="2:6" x14ac:dyDescent="0.4">
      <c r="C47" t="s">
        <v>113</v>
      </c>
      <c r="D47" t="str" cm="1">
        <f t="array" ref="D47">_xll.ExLibris.WebAPIs.WebAPIResponseContent(D45)</f>
        <v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v>
      </c>
      <c r="E47" t="b">
        <f t="shared" si="0"/>
        <v>1</v>
      </c>
      <c r="F47" t="s">
        <v>174</v>
      </c>
    </row>
    <row r="49" spans="2:6" x14ac:dyDescent="0.4">
      <c r="B49" t="s">
        <v>146</v>
      </c>
      <c r="C49" t="s">
        <v>114</v>
      </c>
      <c r="D49" t="str">
        <f>$C$2&amp;"delay/10"</f>
        <v>http://localhost:80/delay/10</v>
      </c>
      <c r="E49" t="b">
        <f t="shared" si="0"/>
        <v>1</v>
      </c>
      <c r="F49" t="s">
        <v>175</v>
      </c>
    </row>
    <row r="50" spans="2:6" x14ac:dyDescent="0.4">
      <c r="C50" t="s">
        <v>112</v>
      </c>
      <c r="D50" t="str" cm="1">
        <f t="array" ref="D50">_xll.ExLibris.WebAPIs.GET(D49)</f>
        <v>ExLibris.Core.WebAPIs.Response:10704ED7-5B43-4711-9B35-B74B856DB24D</v>
      </c>
      <c r="F50" t="s">
        <v>176</v>
      </c>
    </row>
    <row r="51" spans="2:6" x14ac:dyDescent="0.4">
      <c r="C51" t="s">
        <v>101</v>
      </c>
      <c r="D51" cm="1">
        <f t="array" ref="D51">_xll.ExLibris.WebAPIs.WebAPIResponseStatus(D50,TRUE)</f>
        <v>200</v>
      </c>
      <c r="E51" t="b">
        <f t="shared" si="0"/>
        <v>1</v>
      </c>
      <c r="F51">
        <v>200</v>
      </c>
    </row>
    <row r="52" spans="2:6" x14ac:dyDescent="0.4">
      <c r="C52" t="s">
        <v>113</v>
      </c>
      <c r="D52" t="str" cm="1">
        <f t="array" ref="D52">_xll.ExLibris.WebAPIs.WebAPIResponseContent(D50)</f>
        <v xml:space="preserve">{
  "args": {}, 
  "data": "", 
  "files": {}, 
  "form": {}, 
  "headers": {
    "Host": "localhost"
  }, 
  "origin": "172.17.0.1", 
  "url": "http://localhost/delay/10"
}
</v>
      </c>
      <c r="E52" t="b">
        <f t="shared" si="0"/>
        <v>1</v>
      </c>
      <c r="F52" t="s">
        <v>179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ExLibris.Core.WebAPIs.WebAPIHeaders:83309925-F8C9-4F6A-AABF-806E1E010B3C</v>
      </c>
    </row>
    <row r="3" spans="2:4" x14ac:dyDescent="0.4">
      <c r="B3" t="s">
        <v>120</v>
      </c>
      <c r="C3" t="s">
        <v>145</v>
      </c>
    </row>
    <row r="5" spans="2:4" x14ac:dyDescent="0.4">
      <c r="B5" t="s">
        <v>114</v>
      </c>
      <c r="C5" t="str">
        <f>"https://api.github.com/users/"&amp;C3</f>
        <v>https://api.github.com/users/defunkt</v>
      </c>
    </row>
    <row r="6" spans="2:4" x14ac:dyDescent="0.4">
      <c r="B6" t="s">
        <v>112</v>
      </c>
      <c r="C6" t="str" cm="1">
        <f t="array" ref="C6">_xll.ExLibris.WebAPIs.GET(C5,B2)</f>
        <v>ExLibris.Core.WebAPIs.Response:28137EB2-EC00-4ED1-BED7-35F39E85EBBA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113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21288,"following":210,"created_at":"2007-10-20T05:24:19Z","updated_at":"2021-07-29T11:10:23Z"}</v>
      </c>
    </row>
    <row r="10" spans="2:4" x14ac:dyDescent="0.4">
      <c r="C10" t="str" cm="1">
        <f t="array" ref="C10">_xll.ExLibris.Json.CreateJsonObjectAsync(C8)</f>
        <v>JsonObject:F7FAD5DD-FAE5-4C39-ADB4-D3F3E9ECCE35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21288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2021-07-29T11:10:23Z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2021-10-06T14:33:25Z</dcterms:modified>
</cp:coreProperties>
</file>