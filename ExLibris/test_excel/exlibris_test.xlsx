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133F1072-AD9D-4EFE-A7B4-B1E6D5F57025}" xr6:coauthVersionLast="47" xr6:coauthVersionMax="47" xr10:uidLastSave="{00000000-0000-0000-0000-000000000000}"/>
  <bookViews>
    <workbookView xWindow="-120" yWindow="-120" windowWidth="29040" windowHeight="15840" activeTab="4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5" l="1" a="1"/>
  <c r="B17" i="5" l="1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C5" i="5" a="1"/>
  <c r="E17" i="3" a="1"/>
  <c r="E4" i="3" a="1"/>
  <c r="C2" i="2" a="1"/>
  <c r="H6" i="2" a="1"/>
  <c r="C5" i="5" l="1"/>
  <c r="H6" i="2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D7" i="5" a="1"/>
  <c r="D12" i="5" a="1"/>
  <c r="E20" i="3" a="1"/>
  <c r="E6" i="3" a="1"/>
  <c r="E19" i="3" a="1"/>
  <c r="E6" i="2" a="1"/>
  <c r="E7" i="3" a="1"/>
  <c r="D12" i="5" l="1"/>
  <c r="D7" i="5"/>
  <c r="E6" i="2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D14" i="5" a="1"/>
  <c r="D15" i="5" a="1"/>
  <c r="E9" i="3" a="1"/>
  <c r="D8" i="5" a="1"/>
  <c r="D13" i="5" a="1"/>
  <c r="D10" i="5" a="1"/>
  <c r="D9" i="5" a="1"/>
  <c r="E22" i="3" a="1"/>
  <c r="D14" i="5" l="1"/>
  <c r="D13" i="5"/>
  <c r="D15" i="5"/>
  <c r="D10" i="5"/>
  <c r="D9" i="5"/>
  <c r="D8" i="5"/>
  <c r="E22" i="3"/>
  <c r="E11" i="4"/>
  <c r="F12" i="4"/>
  <c r="G12" i="4" s="1"/>
  <c r="E9" i="3"/>
  <c r="E13" i="1"/>
  <c r="F6" i="1" a="1"/>
  <c r="E10" i="3" a="1"/>
  <c r="E23" i="3" a="1"/>
  <c r="F6" i="1" l="1"/>
  <c r="E23" i="3"/>
  <c r="F13" i="4"/>
  <c r="G13" i="4" s="1"/>
  <c r="E12" i="4"/>
  <c r="E10" i="3"/>
  <c r="E24" i="3" a="1"/>
  <c r="E11" i="3" a="1"/>
  <c r="F1" i="1" a="1"/>
  <c r="F1" i="1" l="1"/>
  <c r="E24" i="3"/>
  <c r="E13" i="4"/>
  <c r="F14" i="4"/>
  <c r="G14" i="4" s="1"/>
  <c r="E14" i="4" s="1"/>
  <c r="E11" i="3"/>
  <c r="P19" i="1" a="1"/>
  <c r="F6" i="4" a="1"/>
  <c r="E19" i="1" a="1"/>
  <c r="G27" i="1" a="1"/>
  <c r="G21" i="1" a="1"/>
  <c r="G29" i="1" a="1"/>
  <c r="G49" i="1" a="1"/>
  <c r="G26" i="1" a="1"/>
  <c r="G57" i="1" a="1"/>
  <c r="G23" i="1" a="1"/>
  <c r="M6" i="1" a="1"/>
  <c r="G46" i="1" a="1"/>
  <c r="G51" i="1" a="1"/>
  <c r="G20" i="1" a="1"/>
  <c r="G45" i="1" a="1"/>
  <c r="G32" i="1" a="1"/>
  <c r="G52" i="1" a="1"/>
  <c r="G34" i="1" a="1"/>
  <c r="I19" i="1" a="1"/>
  <c r="G43" i="1" a="1"/>
  <c r="G53" i="1" a="1"/>
  <c r="G47" i="1" a="1"/>
  <c r="G31" i="1" a="1"/>
  <c r="E25" i="3" a="1"/>
  <c r="G55" i="1" a="1"/>
  <c r="G24" i="1" a="1"/>
  <c r="E12" i="3" a="1"/>
  <c r="G40" i="1" a="1"/>
  <c r="G39" i="1" a="1"/>
  <c r="G30" i="1" a="1"/>
  <c r="G25" i="1" a="1"/>
  <c r="G28" i="1" a="1"/>
  <c r="G33" i="1" a="1"/>
  <c r="G54" i="1" a="1"/>
  <c r="G37" i="1" a="1"/>
  <c r="G56" i="1" a="1"/>
  <c r="G44" i="1" a="1"/>
  <c r="G22" i="1" a="1"/>
  <c r="G48" i="1" a="1"/>
  <c r="G38" i="1" a="1"/>
  <c r="G50" i="1" a="1"/>
  <c r="G36" i="1" a="1"/>
  <c r="G35" i="1" a="1"/>
  <c r="G41" i="1" a="1"/>
  <c r="G42" i="1" a="1"/>
  <c r="AS21" i="1" l="1"/>
  <c r="AR21" i="1"/>
  <c r="AS19" i="1"/>
  <c r="AS20" i="1"/>
  <c r="AR20" i="1"/>
  <c r="P19" i="1"/>
  <c r="AR19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G19" i="1" a="1"/>
  <c r="I28" i="1" a="1"/>
  <c r="E13" i="3" a="1"/>
  <c r="P29" i="1" a="1"/>
  <c r="I20" i="1" a="1"/>
  <c r="F1" i="4" a="1"/>
  <c r="E26" i="3" a="1"/>
  <c r="C7" i="1" l="1"/>
  <c r="P29" i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M6" i="4" a="1"/>
  <c r="I32" i="4" a="1"/>
  <c r="I29" i="1" a="1"/>
  <c r="I19" i="4" a="1"/>
  <c r="P30" i="1" a="1"/>
  <c r="E14" i="3" a="1"/>
  <c r="E19" i="4" a="1"/>
  <c r="G29" i="4" a="1"/>
  <c r="E27" i="3" a="1"/>
  <c r="G44" i="4" a="1"/>
  <c r="G30" i="4" a="1"/>
  <c r="G35" i="4" a="1"/>
  <c r="G43" i="4" a="1"/>
  <c r="G54" i="4" a="1"/>
  <c r="G24" i="4" a="1"/>
  <c r="G22" i="4" a="1"/>
  <c r="G38" i="4" a="1"/>
  <c r="G34" i="4" a="1"/>
  <c r="G33" i="4" a="1"/>
  <c r="G37" i="4" a="1"/>
  <c r="G40" i="4" a="1"/>
  <c r="G55" i="4" a="1"/>
  <c r="G57" i="4" a="1"/>
  <c r="G49" i="4" a="1"/>
  <c r="G26" i="4" a="1"/>
  <c r="G32" i="4" a="1"/>
  <c r="G51" i="4" a="1"/>
  <c r="G36" i="4" a="1"/>
  <c r="G39" i="4" a="1"/>
  <c r="G46" i="4" a="1"/>
  <c r="G23" i="4" a="1"/>
  <c r="G31" i="4" a="1"/>
  <c r="G28" i="4" a="1"/>
  <c r="G25" i="4" a="1"/>
  <c r="G45" i="4" a="1"/>
  <c r="G56" i="4" a="1"/>
  <c r="G53" i="4" a="1"/>
  <c r="G41" i="4" a="1"/>
  <c r="G52" i="4" a="1"/>
  <c r="G50" i="4" a="1"/>
  <c r="G42" i="4" a="1"/>
  <c r="G27" i="4" a="1"/>
  <c r="G20" i="4" a="1"/>
  <c r="G48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I28" i="4" a="1"/>
  <c r="E15" i="3" a="1"/>
  <c r="G21" i="4" a="1"/>
  <c r="G47" i="4" a="1"/>
  <c r="G19" i="4" a="1"/>
  <c r="I38" i="4" a="1"/>
  <c r="I42" i="4" a="1"/>
  <c r="I20" i="4" a="1"/>
  <c r="I33" i="4" a="1"/>
  <c r="E28" i="3" a="1"/>
  <c r="G21" i="4" l="1"/>
  <c r="I42" i="4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43" i="4" a="1"/>
  <c r="I29" i="4" a="1"/>
  <c r="I34" i="4" a="1"/>
  <c r="I39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<sst xmlns="http://schemas.openxmlformats.org/spreadsheetml/2006/main" count="436" uniqueCount="143">
  <si>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</si>
  <si>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</si>
  <si>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</si>
  <si>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</si>
  <si>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</si>
  <si>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</si>
  <si>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</si>
  <si>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</si>
  <si>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</si>
  <si>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</si>
  <si>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</si>
  <si>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</si>
  <si>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</si>
  <si>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</si>
  <si>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</si>
  <si>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</si>
  <si>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</si>
  <si>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</si>
  <si>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</si>
  <si>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</si>
  <si>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</si>
  <si>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</si>
  <si>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</si>
  <si>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</si>
  <si>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</si>
  <si>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</si>
  <si>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</si>
  <si>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</si>
  <si>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</si>
  <si>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</si>
  <si>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</si>
  <si>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</si>
  <si>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</si>
  <si>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</si>
  <si>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</si>
  <si>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</si>
  <si>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</si>
  <si>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</si>
  <si>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</si>
  <si>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</si>
  <si>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</si>
  <si>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</si>
  <si>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</si>
  <si>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</si>
  <si>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</si>
  <si>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</si>
  <si>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</si>
  <si>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</si>
  <si>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</si>
  <si>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</si>
  <si>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</si>
  <si>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</si>
  <si>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</si>
  <si>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</si>
  <si>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</si>
  <si>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</si>
  <si>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</si>
  <si>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</si>
  <si>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</si>
  <si>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</si>
  <si>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</si>
  <si>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</si>
  <si>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</si>
  <si>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</si>
  <si>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</si>
  <si>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</si>
  <si>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</si>
  <si>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</si>
  <si>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</si>
  <si>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</si>
  <si>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</si>
  <si>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</si>
  <si>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</si>
  <si>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</si>
  <si>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</si>
  <si>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</si>
  <si>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</si>
  <si>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</si>
  <si>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</si>
  <si>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</si>
  <si>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</si>
  <si>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</si>
  <si>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</si>
  <si>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</si>
  <si>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</si>
  <si>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</si>
  <si>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</si>
  <si>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</si>
  <si>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</si>
  <si>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</si>
  <si>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</si>
  <si>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</si>
  <si>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</si>
  <si>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</si>
  <si>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</si>
  <si>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</si>
  <si>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</si>
  <si>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</si>
  <si>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</si>
  <si>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</si>
  <si>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</si>
  <si>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</si>
  <si>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</si>
  <si>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</si>
  <si>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</si>
  <si>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</si>
  <si>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</si>
  <si>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</si>
  <si>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</si>
  <si>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</si>
  <si>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</si>
  <si>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</si>
  <si>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</si>
  <si>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</si>
  <si>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</si>
  <si>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</si>
  <si>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</si>
  <si>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</si>
  <si>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</si>
  <si>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</si>
  <si>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</si>
  <si>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get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</si>
  <si>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</si>
  <si>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</si>
  <si>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</si>
  <si>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</si>
  <si>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</si>
  <si>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</si>
  <si>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WebAPI0</t>
    <phoneticPr fontId="1"/>
  </si>
  <si>
    <t>header</t>
    <phoneticPr fontId="1"/>
  </si>
  <si>
    <t>POST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</si>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</sst>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8a901fe9edd74213840a984397210798">
      <tp>
        <v>1</v>
        <stp/>
        <stp>07e75021-5941-446e-b3ed-7a8b4bcb10e5</stp>
        <tr r="G34" s="4"/>
      </tp>
      <tp>
        <v>1</v>
        <stp/>
        <stp>35f3473e-304c-43b3-a256-178bd4e55598</stp>
        <tr r="F6" s="4"/>
      </tp>
    </main>
    <main first="rtdsrv.8a901fe9edd74213840a984397210798">
      <tp>
        <v>1</v>
        <stp/>
        <stp>2cb72450-b756-4a30-b66d-cb8172028bda</stp>
        <tr r="G51" s="1"/>
      </tp>
      <tp>
        <v>1</v>
        <stp/>
        <stp>5b371848-84fb-4d31-98bb-c2e53c2d1aa4</stp>
        <tr r="B17" s="5"/>
      </tp>
      <tp>
        <v>1</v>
        <stp/>
        <stp>1469b191-d268-484b-b9a3-418c4c4b31cd</stp>
        <tr r="G39" s="4"/>
      </tp>
    </main>
    <main first="rtdsrv.8a901fe9edd74213840a984397210798">
      <tp>
        <v>1</v>
        <stp/>
        <stp>3563f055-148e-483f-9ab3-824e203b2280</stp>
        <tr r="G47" s="1"/>
      </tp>
    </main>
    <main first="rtdsrv.8a901fe9edd74213840a984397210798">
      <tp>
        <v>1</v>
        <stp/>
        <stp>eb3c821f-4f0a-4b6c-bb9d-c3c118d975d9</stp>
        <tr r="E20" s="3"/>
      </tp>
    </main>
    <main first="rtdsrv.8a901fe9edd74213840a984397210798">
      <tp>
        <v>1</v>
        <stp/>
        <stp>199bc472-53cf-4ffa-988a-24130c84d563</stp>
        <tr r="G38" s="1"/>
      </tp>
    </main>
    <main first="rtdsrv.8a901fe9edd74213840a984397210798">
      <tp>
        <v>1</v>
        <stp/>
        <stp>3ba3739b-22d6-44a7-a27e-e6075a6c967e</stp>
        <tr r="G20" s="4"/>
      </tp>
      <tp>
        <v>1</v>
        <stp/>
        <stp>46d46e21-5439-45de-a209-f0a59319825e</stp>
        <tr r="G42" s="4"/>
      </tp>
      <tp>
        <v>1</v>
        <stp/>
        <stp>bf5e6a6d-f3a0-4844-9a09-2276714a9d15</stp>
        <tr r="G24" s="1"/>
      </tp>
      <tp>
        <v>1</v>
        <stp/>
        <stp>f2b10fb8-a3e8-45a7-9bd1-5e19e6edd7b0</stp>
        <tr r="I42" s="4"/>
      </tp>
      <tp>
        <v>1</v>
        <stp/>
        <stp>1c7b045a-3375-4e70-9a94-1abe490667ae</stp>
        <tr r="G25" s="4"/>
      </tp>
      <tp>
        <v>1</v>
        <stp/>
        <stp>2cff5d2c-ec9e-407d-be11-7830442a195c</stp>
        <tr r="G22" s="1"/>
      </tp>
    </main>
    <main first="rtdsrv.8a901fe9edd74213840a984397210798">
      <tp>
        <v>1</v>
        <stp/>
        <stp>354aaddd-9d64-4154-aae3-bcd629199fa8</stp>
        <tr r="P19" s="1"/>
      </tp>
    </main>
    <main first="rtdsrv.8a901fe9edd74213840a984397210798">
      <tp>
        <v>1</v>
        <stp/>
        <stp>21ff7b2b-e3e9-4003-970a-b18297cb9607</stp>
        <tr r="G44" s="1"/>
      </tp>
    </main>
    <main first="rtdsrv.8a901fe9edd74213840a984397210798">
      <tp>
        <v>1</v>
        <stp/>
        <stp>22d8566d-7fcb-4a56-adff-b7df6ce043f3</stp>
        <tr r="G30" s="4"/>
      </tp>
      <tp>
        <v>1</v>
        <stp/>
        <stp>e62e83a3-719a-4bcd-b5a6-46309d44aadb</stp>
        <tr r="D7" s="5"/>
      </tp>
      <tp>
        <v>1</v>
        <stp/>
        <stp>70fa3019-86e2-4c09-8ea2-1ef069a068d0</stp>
        <tr r="E7" s="3"/>
      </tp>
      <tp>
        <v>1</v>
        <stp/>
        <stp>0d975442-ab06-472b-a8d5-3ebdd71f1a99</stp>
        <tr r="G30" s="1"/>
      </tp>
      <tp>
        <v>1</v>
        <stp/>
        <stp>8273a9bc-ce43-42d6-83f4-2a6ff929ed32</stp>
        <tr r="G42" s="1"/>
      </tp>
    </main>
    <main first="rtdsrv.8a901fe9edd74213840a984397210798">
      <tp>
        <v>1</v>
        <stp/>
        <stp>8f006616-1df2-4274-895e-f5b2e304db68</stp>
        <tr r="G21" s="1"/>
      </tp>
      <tp>
        <v>1</v>
        <stp/>
        <stp>1991f090-1de4-440d-ab8b-3b5ef76dc5fe</stp>
        <tr r="G29" s="4"/>
      </tp>
    </main>
    <main first="rtdsrv.8a901fe9edd74213840a984397210798">
      <tp>
        <v>1</v>
        <stp/>
        <stp>d250e543-53cb-4f56-b45e-71a6f0c2565d</stp>
        <tr r="G43" s="1"/>
      </tp>
    </main>
    <main first="rtdsrv.8a901fe9edd74213840a984397210798">
      <tp>
        <v>1</v>
        <stp/>
        <stp>af89dcab-bf3a-4020-be89-8ac77e90ec8d</stp>
        <tr r="G32" s="1"/>
      </tp>
    </main>
    <main first="rtdsrv.8a901fe9edd74213840a984397210798">
      <tp>
        <v>1</v>
        <stp/>
        <stp>4ec97831-c0fb-4808-aa9d-dfb7778b0eaa</stp>
        <tr r="G33" s="4"/>
      </tp>
      <tp>
        <v>1</v>
        <stp/>
        <stp>ddbc91b2-e648-4d70-af9e-b6c6a581d117</stp>
        <tr r="G37" s="4"/>
      </tp>
      <tp>
        <v>1</v>
        <stp/>
        <stp>ae6d5713-e423-4adf-abac-17a5d9752531</stp>
        <tr r="G23" s="4"/>
      </tp>
      <tp>
        <v>1</v>
        <stp/>
        <stp>1b559b86-3047-40a2-ada9-0193b902ac89</stp>
        <tr r="G25" s="1"/>
      </tp>
    </main>
    <main first="rtdsrv.8a901fe9edd74213840a984397210798">
      <tp>
        <v>1</v>
        <stp/>
        <stp>3ff00e4c-942c-4e33-9264-7a4940d91d46</stp>
        <tr r="G29" s="1"/>
      </tp>
      <tp>
        <v>1</v>
        <stp/>
        <stp>b7096f9f-5dee-463e-abd9-338929815ef6</stp>
        <tr r="G37" s="1"/>
      </tp>
    </main>
    <main first="rtdsrv.8a901fe9edd74213840a984397210798">
      <tp>
        <v>1</v>
        <stp/>
        <stp>b006a62f-5227-4661-a695-6c145fcbf406</stp>
        <tr r="G27" s="4"/>
      </tp>
      <tp>
        <v>1</v>
        <stp/>
        <stp>3a46b44d-594e-4a09-a95c-01fd5a537147</stp>
        <tr r="G44" s="4"/>
      </tp>
      <tp>
        <v>1</v>
        <stp/>
        <stp>84bda944-6a7b-4f78-884f-1f8838080de2</stp>
        <tr r="G35" s="1"/>
      </tp>
    </main>
    <main first="rtdsrv.8a901fe9edd74213840a984397210798">
      <tp>
        <v>1</v>
        <stp/>
        <stp>285ecb13-af43-4e9b-977c-6ad9728260ff</stp>
        <tr r="G34" s="1"/>
      </tp>
    </main>
    <main first="rtdsrv.8a901fe9edd74213840a984397210798">
      <tp>
        <v>2</v>
        <stp/>
        <stp>f7e3b705-ab7a-420d-b85d-6044e477e96f</stp>
        <tr r="H6" s="2"/>
      </tp>
      <tp>
        <v>1</v>
        <stp/>
        <stp>9f3e846d-e3da-44ef-af8b-77487f13d510</stp>
        <tr r="G49" s="1"/>
      </tp>
    </main>
    <main first="rtdsrv.8a901fe9edd74213840a984397210798">
      <tp>
        <v>1</v>
        <stp/>
        <stp>af725bfd-e7f6-44b5-a786-9e0c1a2a2dbf</stp>
        <tr r="G51" s="4"/>
      </tp>
    </main>
    <main first="rtdsrv.8a901fe9edd74213840a984397210798">
      <tp>
        <v>1</v>
        <stp/>
        <stp>df1157b9-b437-4db6-839b-d44c96f50293</stp>
        <tr r="G54" s="4"/>
      </tp>
    </main>
    <main first="rtdsrv.8a901fe9edd74213840a984397210798">
      <tp>
        <v>1</v>
        <stp/>
        <stp>d6f69c82-c2b6-4390-89c8-5c6b49ac9056</stp>
        <tr r="G47" s="4"/>
      </tp>
      <tp>
        <v>1</v>
        <stp/>
        <stp>2b7f2916-0713-4ff0-9b42-0d33665a025f</stp>
        <tr r="G48" s="4"/>
      </tp>
      <tp>
        <v>1</v>
        <stp/>
        <stp>694b3276-c725-4a93-803f-666c6e1ae499</stp>
        <tr r="G28" s="4"/>
      </tp>
    </main>
    <main first="rtdsrv.8a901fe9edd74213840a984397210798">
      <tp>
        <v>1</v>
        <stp/>
        <stp>a1002f4c-97f4-4043-adc5-27dc06735190</stp>
        <tr r="G50" s="1"/>
      </tp>
      <tp>
        <v>1</v>
        <stp/>
        <stp>a6cf51b4-9ce8-4b4d-8848-8da9df98bbf7</stp>
        <tr r="G23" s="1"/>
      </tp>
    </main>
    <main first="rtdsrv.8a901fe9edd74213840a984397210798">
      <tp>
        <v>1</v>
        <stp/>
        <stp>f9365b8e-5092-4908-ac22-a592233bb345</stp>
        <tr r="G39" s="1"/>
      </tp>
      <tp>
        <v>1</v>
        <stp/>
        <stp>2fb7c02c-a9a3-45b0-b358-3d249ef22b2c</stp>
        <tr r="G41" s="4"/>
      </tp>
      <tp>
        <v>1</v>
        <stp/>
        <stp>6017ea9a-f5ac-4a0d-8b15-0939c20b18e2</stp>
        <tr r="G52" s="1"/>
      </tp>
      <tp>
        <v>1</v>
        <stp/>
        <stp>f1f928be-d6d6-4b0d-b668-6824558d8ce8</stp>
        <tr r="I19" s="4"/>
        <tr r="I32" s="4"/>
      </tp>
    </main>
    <main first="rtdsrv.8a901fe9edd74213840a984397210798">
      <tp>
        <v>1</v>
        <stp/>
        <stp>979cefa6-781d-45d0-b90c-be5deb42a146</stp>
        <tr r="G21" s="4"/>
      </tp>
      <tp>
        <v>1</v>
        <stp/>
        <stp>0ac30170-2652-4adb-8fd6-10879419f05e</stp>
        <tr r="G46" s="4"/>
      </tp>
      <tp>
        <v>1</v>
        <stp/>
        <stp>5a781870-7274-4973-bf2e-40c56666f9fb</stp>
        <tr r="G36" s="4"/>
      </tp>
      <tp>
        <v>1</v>
        <stp/>
        <stp>8fce3730-067d-41a7-bdb2-1dec0e9bdf7a</stp>
        <tr r="G46" s="1"/>
      </tp>
      <tp>
        <v>1</v>
        <stp/>
        <stp>7f59d6b0-6f63-4f1b-b634-327b4f99a02e</stp>
        <tr r="F1" s="1"/>
      </tp>
    </main>
    <main first="rtdsrv.8a901fe9edd74213840a984397210798">
      <tp>
        <v>1</v>
        <stp/>
        <stp>eed9cb29-0d2f-4e12-8f0e-774d8f5ce77d</stp>
        <tr r="G43" s="4"/>
      </tp>
      <tp>
        <v>1</v>
        <stp/>
        <stp>f66a9578-afa2-45e8-81fd-2defe2265970</stp>
        <tr r="G40" s="1"/>
      </tp>
      <tp>
        <v>1</v>
        <stp/>
        <stp>8781f095-3eed-45ee-9008-4060f6145485</stp>
        <tr r="G19" s="1"/>
      </tp>
      <tp>
        <v>1</v>
        <stp/>
        <stp>ee4f308f-506c-4e70-a802-a5182b3b1e03</stp>
        <tr r="G26" s="4"/>
      </tp>
      <tp>
        <v>1</v>
        <stp/>
        <stp>9edd8717-dd87-492f-bb4a-1ec0ca349290</stp>
        <tr r="G28" s="1"/>
      </tp>
      <tp>
        <v>1</v>
        <stp/>
        <stp>ff331bf2-630e-45b5-9a91-10ea3e5b9904</stp>
        <tr r="G24" s="4"/>
      </tp>
      <tp>
        <v>3</v>
        <stp/>
        <stp>be9f321c-bd5f-4e09-baa3-7ea7e8efeb73</stp>
        <tr r="E6" s="3"/>
      </tp>
    </main>
    <main first="rtdsrv.8a901fe9edd74213840a984397210798">
      <tp>
        <v>1</v>
        <stp/>
        <stp>831ca632-0fab-4c84-956e-6c99248ac528</stp>
        <tr r="C5" s="5"/>
      </tp>
    </main>
    <main first="rtdsrv.8a901fe9edd74213840a984397210798">
      <tp>
        <v>1</v>
        <stp/>
        <stp>2d5170d0-42a4-42c5-ab17-399240d1f8b4</stp>
        <tr r="G56" s="1"/>
      </tp>
      <tp>
        <v>1</v>
        <stp/>
        <stp>c86faa4a-23dd-4733-b058-02b8489a124f</stp>
        <tr r="G57" s="1"/>
      </tp>
      <tp>
        <v>1</v>
        <stp/>
        <stp>aaabfce6-48d8-4d47-8cfd-be50dc42c48a</stp>
        <tr r="G52" s="4"/>
      </tp>
      <tp>
        <v>1</v>
        <stp/>
        <stp>df9649ac-7ca6-4aed-908c-e730464d5acf</stp>
        <tr r="G38" s="4"/>
      </tp>
      <tp>
        <v>1</v>
        <stp/>
        <stp>e7c72652-1e08-4a21-b529-14616fc015a4</stp>
        <tr r="I28" s="1"/>
      </tp>
      <tp>
        <v>1</v>
        <stp/>
        <stp>72237fcd-83bd-4ecf-af24-e9d430d95ebe</stp>
        <tr r="G41" s="1"/>
      </tp>
      <tp>
        <v>1</v>
        <stp/>
        <stp>e223017d-bd42-48c4-a9de-f71d44668f3b</stp>
        <tr r="P29" s="1"/>
      </tp>
    </main>
    <main first="rtdsrv.8a901fe9edd74213840a984397210798">
      <tp>
        <v>1</v>
        <stp/>
        <stp>c44f4588-a37b-4555-b217-420633f69109</stp>
        <tr r="G35" s="4"/>
      </tp>
      <tp>
        <v>1</v>
        <stp/>
        <stp>77e210ea-6c7c-4b4d-acba-bb06d4db5574</stp>
        <tr r="E17" s="3"/>
      </tp>
      <tp>
        <v>1</v>
        <stp/>
        <stp>ffefcf20-e10d-4006-abd3-4d5dbf922a99</stp>
        <tr r="F1" s="4"/>
      </tp>
      <tp>
        <v>1</v>
        <stp/>
        <stp>d53a7d33-ee66-4033-89bf-63000d3d3fce</stp>
        <tr r="G45" s="4"/>
      </tp>
      <tp>
        <v>1</v>
        <stp/>
        <stp>78d6b91a-b6d7-4bef-92a2-a1b3a92be8c3</stp>
        <tr r="G33" s="1"/>
      </tp>
    </main>
    <main first="rtdsrv.8a901fe9edd74213840a984397210798">
      <tp>
        <v>1</v>
        <stp/>
        <stp>846c60a9-2048-4f35-85c3-14d29658a509</stp>
        <tr r="G31" s="1"/>
      </tp>
      <tp>
        <v>1</v>
        <stp/>
        <stp>9fceeae6-3127-4035-8812-6f6bb8ca29d6</stp>
        <tr r="D12" s="5"/>
      </tp>
    </main>
    <main first="rtdsrv.8a901fe9edd74213840a984397210798">
      <tp>
        <v>1</v>
        <stp/>
        <stp>94efb32f-798b-4e41-92f3-e753dddc8cc4</stp>
        <tr r="C2" s="2"/>
      </tp>
      <tp>
        <v>1</v>
        <stp/>
        <stp>de619b22-1dc3-4b15-89f1-cb5fad8eb433</stp>
        <tr r="F6" s="1"/>
      </tp>
      <tp>
        <v>1</v>
        <stp/>
        <stp>1b1a80ae-c2a9-498b-9cd8-bb697ad59cb0</stp>
        <tr r="G27" s="1"/>
      </tp>
    </main>
    <main first="rtdsrv.8a901fe9edd74213840a984397210798">
      <tp>
        <v>1</v>
        <stp/>
        <stp>345d55f8-739c-471e-a2dd-17c5142d2c6f</stp>
        <tr r="G49" s="4"/>
      </tp>
      <tp>
        <v>1</v>
        <stp/>
        <stp>dc95468a-0d70-48dc-9b45-af22c2e4d08a</stp>
        <tr r="G55" s="4"/>
      </tp>
      <tp>
        <v>1</v>
        <stp/>
        <stp>d96687cd-e194-4d9d-bbeb-c9b0a075c5a1</stp>
        <tr r="G36" s="1"/>
      </tp>
    </main>
    <main first="rtdsrv.8a901fe9edd74213840a984397210798">
      <tp>
        <v>1</v>
        <stp/>
        <stp>83b808b6-6b46-478f-a0ce-21fdb91d5f79</stp>
        <tr r="G57" s="4"/>
      </tp>
    </main>
    <main first="rtdsrv.8a901fe9edd74213840a984397210798">
      <tp>
        <v>1</v>
        <stp/>
        <stp>aa30b6bb-16b1-4a38-9be9-36663cb57799</stp>
        <tr r="G19" s="4"/>
      </tp>
    </main>
    <main first="rtdsrv.8a901fe9edd74213840a984397210798">
      <tp>
        <v>1</v>
        <stp/>
        <stp>21af2de5-b42c-4acb-a28b-3c8baffcd0ca</stp>
        <tr r="G53" s="4"/>
      </tp>
      <tp>
        <v>1</v>
        <stp/>
        <stp>df4000b0-23e0-4b47-8124-1599353d794c</stp>
        <tr r="G50" s="4"/>
      </tp>
    </main>
    <main first="rtdsrv.8a901fe9edd74213840a984397210798">
      <tp>
        <v>1</v>
        <stp/>
        <stp>12dc3adf-92f7-4e30-aed6-597b1dcae8d9</stp>
        <tr r="I28" s="4"/>
      </tp>
      <tp>
        <v>1</v>
        <stp/>
        <stp>7d93fa74-8a6e-4202-9534-adfa7a150b8b</stp>
        <tr r="G54" s="1"/>
      </tp>
    </main>
    <main first="rtdsrv.8a901fe9edd74213840a984397210798">
      <tp>
        <v>2</v>
        <stp/>
        <stp>e445c872-819d-44e7-ac92-dfd03378046f</stp>
        <tr r="E19" s="3"/>
      </tp>
    </main>
    <main first="rtdsrv.8a901fe9edd74213840a984397210798">
      <tp>
        <v>1</v>
        <stp/>
        <stp>70b8a9aa-531a-4d39-891e-bb815875746b</stp>
        <tr r="G22" s="4"/>
      </tp>
    </main>
    <main first="rtdsrv.8a901fe9edd74213840a984397210798">
      <tp>
        <v>1</v>
        <stp/>
        <stp>915e052d-375a-4c81-9e60-e23b9f2d296f</stp>
        <tr r="G45" s="1"/>
      </tp>
      <tp>
        <v>1</v>
        <stp/>
        <stp>a13ffe08-3c90-41fb-958f-93f3a07bcca8</stp>
        <tr r="E4" s="3"/>
      </tp>
    </main>
    <main first="rtdsrv.8a901fe9edd74213840a984397210798">
      <tp>
        <v>1</v>
        <stp/>
        <stp>cca61abc-4967-4a2f-899b-2000acd2ff4f</stp>
        <tr r="G56" s="4"/>
      </tp>
      <tp>
        <v>1</v>
        <stp/>
        <stp>74182ba2-2c82-4093-a3bb-fe02298b95bb</stp>
        <tr r="I19" s="1"/>
      </tp>
    </main>
    <main first="rtdsrv.8a901fe9edd74213840a984397210798">
      <tp>
        <v>1</v>
        <stp/>
        <stp>bd8f383c-a1fd-4c4d-98ea-4749e373dd65</stp>
        <tr r="I38" s="4"/>
      </tp>
    </main>
    <main first="rtdsrv.8a901fe9edd74213840a984397210798">
      <tp>
        <v>1</v>
        <stp/>
        <stp>47053da6-53ae-4213-b4fe-39409734aad8</stp>
        <tr r="G26" s="1"/>
      </tp>
    </main>
    <main first="rtdsrv.8a901fe9edd74213840a984397210798">
      <tp>
        <v>1</v>
        <stp/>
        <stp>76935cc7-f884-468a-a3f6-09c97ef1c78e</stp>
        <tr r="G48" s="1"/>
      </tp>
    </main>
    <main first="rtdsrv.8a901fe9edd74213840a984397210798">
      <tp>
        <v>1</v>
        <stp/>
        <stp>f32fc11c-93da-4ac3-85f8-2274118882d0</stp>
        <tr r="G55" s="1"/>
      </tp>
    </main>
    <main first="rtdsrv.8a901fe9edd74213840a984397210798">
      <tp>
        <v>1</v>
        <stp/>
        <stp>b11a5b61-bfea-4f85-800b-1cbe109699e6</stp>
        <tr r="G53" s="1"/>
      </tp>
      <tp>
        <v>1</v>
        <stp/>
        <stp>5c4d8409-b5a0-4281-9865-6a9c5557784e</stp>
        <tr r="G31" s="4"/>
      </tp>
      <tp>
        <v>1</v>
        <stp/>
        <stp>42ef3924-67dd-405b-b80c-c2b3513342f1</stp>
        <tr r="G32" s="4"/>
      </tp>
      <tp>
        <v>1</v>
        <stp/>
        <stp>556ae77e-8cb4-421d-a55b-a175435b375f</stp>
        <tr r="G40" s="4"/>
      </tp>
    </main>
    <main first="rtdsrv.8a901fe9edd74213840a984397210798">
      <tp>
        <v>1</v>
        <stp/>
        <stp>e85d1dba-16fe-4d37-be00-32c1529b74da</stp>
        <tr r="G20" s="1"/>
      </tp>
    </main>
    <main first="rtdsrv.8a901fe9edd74213840a984397210798">
      <tp>
        <v>1</v>
        <stp/>
        <stp>baed6cc3-bcce-4ed6-9fa3-eb42c840a335</stp>
        <tr r="I33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>
      <selection activeCell="M6" sqref="M6"/>
    </sheetView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JsonObject:FB8FD54F-7221-46A9-B43C-9BBB406B3834</v>
      </c>
      <c r="K1" t="str">
        <f>EXLIBRIS_CONFIGURATION</f>
        <v>ExLibris.Core.ExLibrisConfiguration:2472841B-8204-4827-B70A-DDB5D31DBD43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JsonObject:84FD9346-F103-4154-87C3-80672956DBB0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JsonObject:64301DEF-836B-451B-90B6-8A7EEB4063BB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JsonObject:198A852D-4E22-4DE8-AB1A-86B6B8B686BE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JsonObject:E0F1E894-3CAB-4972-B233-A66DF91B2E6B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JsonObject:EFB03196-A8B9-4598-B85C-787D28A13D30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JsonObject:E2F07D20-1919-4B91-9C95-B0656F3A3C11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JsonObject:796EE39A-9629-4A63-B14F-1A3578547B96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JsonObject:F1461408-A04F-4676-A880-27D9AE338E96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JsonObject:B4808F5E-E423-475F-8974-6BA235359580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JsonObject:1AA9B236-F371-48E6-892B-6342B40FF4E7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JsonObject:C3BCE776-160D-433A-B5AE-133FD855EBDF</v>
      </c>
      <c r="K1" t="str">
        <f>EXLIBRIS_CONFIGURATION</f>
        <v>ExLibris.Core.ExLibrisConfiguration:2472841B-8204-4827-B70A-DDB5D31DBD43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JsonObject:0C1C23B9-1EB2-4BE0-8F13-C556074C5BD4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JsonObject:7F39E68C-2D43-4549-A00B-C2AD2FADC60A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JsonObject:DF9F6CF9-4E9C-44A3-88B3-CCA325563463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JsonObject:7F39E68C-2D43-4549-A00B-C2AD2FADC60A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JsonObject:30D6D2AE-D3F2-4F56-BA02-8D4753417005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JsonObject:C56481FF-23C5-43BE-86D5-92C4BD5BFD92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JsonObject:BEDA9545-DF1B-4BD0-99E8-00456A4FF020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H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8" x14ac:dyDescent="0.4">
      <c r="B2" t="s">
        <v>84</v>
      </c>
      <c r="C2" t="str" cm="1">
        <f t="array" ref="C2">_xll.ExLibris.LoadConfiguration(B6:C15)</f>
        <v>ExLibris.Core.ExLibrisConfiguration:2472841B-8204-4827-B70A-DDB5D31DBD43</v>
      </c>
    </row>
    <row r="4" spans="2:8" s="4" customFormat="1" ht="18" x14ac:dyDescent="0.4">
      <c r="B4" s="4" t="s">
        <v>86</v>
      </c>
      <c r="E4" s="4" t="s">
        <v>85</v>
      </c>
    </row>
    <row r="6" spans="2:8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  <c r="H6" t="str" cm="1">
        <f t="array" ref="H6:H12">_xll.ExLibris.ObserveRegisteredObjects()</f>
        <v>JsonObject:1A20CEF1-406E-4BDF-AEE9-659DE86AC116</v>
      </c>
    </row>
    <row r="7" spans="2:8" x14ac:dyDescent="0.4">
      <c r="B7" t="s">
        <v>78</v>
      </c>
      <c r="C7" t="s">
        <v>79</v>
      </c>
      <c r="E7" t="str">
        <v>excel_value.excel_missing_to</v>
      </c>
      <c r="F7" t="str">
        <v>Null</v>
      </c>
      <c r="H7" t="str">
        <v>JsonObject:020A0B66-0735-4A60-BD8A-8110E1E34DF7</v>
      </c>
    </row>
    <row r="8" spans="2:8" x14ac:dyDescent="0.4">
      <c r="B8" t="s">
        <v>80</v>
      </c>
      <c r="C8" t="s">
        <v>79</v>
      </c>
      <c r="E8" t="str">
        <v>excel_value.excel_empty_to</v>
      </c>
      <c r="F8" t="str">
        <v>Null</v>
      </c>
      <c r="H8" t="str">
        <v>ExLibris.Core.WebSockets.WebsocketClient:E43BB5C9-9291-447D-80B8-74E47F082627</v>
      </c>
    </row>
    <row r="9" spans="2:8" x14ac:dyDescent="0.4">
      <c r="B9" t="s">
        <v>81</v>
      </c>
      <c r="C9" t="s">
        <v>79</v>
      </c>
      <c r="E9" t="str">
        <v>excel_value.excel_string_empty_to</v>
      </c>
      <c r="F9" t="str">
        <v>Null</v>
      </c>
      <c r="H9" t="str">
        <v>ExLibris.Core.ExLibrisConfiguration:2472841B-8204-4827-B70A-DDB5D31DBD43</v>
      </c>
    </row>
    <row r="10" spans="2:8" x14ac:dyDescent="0.4">
      <c r="B10" t="s">
        <v>82</v>
      </c>
      <c r="C10" t="s">
        <v>87</v>
      </c>
      <c r="E10" t="str">
        <v>excel_value.null_to_excel</v>
      </c>
      <c r="F10" t="str">
        <v>StringEmpty</v>
      </c>
      <c r="H10" t="str">
        <v>JsonObject:A68ACE66-0BD0-4387-989A-9C22DB2CFB44</v>
      </c>
    </row>
    <row r="11" spans="2:8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  <c r="H11" t="str">
        <v>JsonObject:6CF5E103-59E3-42F5-9B95-CD61ACCF3583</v>
      </c>
    </row>
    <row r="12" spans="2:8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  <c r="H12" t="str">
        <v>ExLibris.Core.WebSockets.WebsocketClient:D8E127BB-790E-492A-B9FD-C46D051D8077</v>
      </c>
    </row>
    <row r="13" spans="2:8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8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8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ExLibris.Core.WebSockets.WebsocketClient:D8E127BB-790E-492A-B9FD-C46D051D8077</v>
      </c>
    </row>
    <row r="6" spans="2:5" x14ac:dyDescent="0.4">
      <c r="D6" t="s">
        <v>101</v>
      </c>
      <c r="E6" t="str" cm="1">
        <f t="array" ref="E6">_xll.ExLibris.WebSockets.ObserveWebSocketStatus(E4,1000)</f>
        <v>Closed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ExLibris.Core.WebSockets.WebsocketClient:E43BB5C9-9291-447D-80B8-74E47F082627</v>
      </c>
    </row>
    <row r="19" spans="4:5" x14ac:dyDescent="0.4">
      <c r="D19" t="s">
        <v>101</v>
      </c>
      <c r="E19" t="str" cm="1">
        <f t="array" ref="E19">_xll.ExLibris.WebSockets.ObserveWebSocketStatus(E17,1000)</f>
        <v>Closed</v>
      </c>
    </row>
    <row r="20" spans="4:5" x14ac:dyDescent="0.4">
      <c r="D20" t="s">
        <v>102</v>
      </c>
      <c r="E20" t="e" cm="1">
        <f t="array" ref="E20">_xll.ExLibris.WebSockets.ObserveWebSocketMessage(E17)</f>
        <v>#N/A</v>
      </c>
    </row>
    <row r="22" spans="4:5" x14ac:dyDescent="0.4">
      <c r="D22" t="s">
        <v>103</v>
      </c>
      <c r="E22" t="e" cm="1">
        <f t="array" ref="E22">_xll.ExLibris.WebSockets.SendWebSocketMessage(E17,"test "&amp;D22,E19="Open")</f>
        <v>#N/A</v>
      </c>
    </row>
    <row r="23" spans="4:5" x14ac:dyDescent="0.4">
      <c r="D23" t="s">
        <v>104</v>
      </c>
      <c r="E23" t="e" cm="1">
        <f t="array" ref="E23">_xll.ExLibris.WebSockets.SendWebSocketMessage($E$4,"test next "&amp;D23,E22)</f>
        <v>#N/A</v>
      </c>
    </row>
    <row r="24" spans="4:5" x14ac:dyDescent="0.4">
      <c r="D24" t="s">
        <v>105</v>
      </c>
      <c r="E24" t="e" cm="1">
        <f t="array" ref="E24">_xll.ExLibris.WebSockets.SendWebSocketMessage($E$4,"test next "&amp;D24,E23)</f>
        <v>#N/A</v>
      </c>
    </row>
    <row r="25" spans="4:5" x14ac:dyDescent="0.4">
      <c r="D25" t="s">
        <v>106</v>
      </c>
      <c r="E25" t="e" cm="1">
        <f t="array" ref="E25">_xll.ExLibris.WebSockets.SendWebSocketMessage($E$4,"test next "&amp;D25,E24)</f>
        <v>#N/A</v>
      </c>
    </row>
    <row r="26" spans="4:5" x14ac:dyDescent="0.4">
      <c r="D26" t="s">
        <v>107</v>
      </c>
      <c r="E26" t="e" cm="1">
        <f t="array" ref="E26">_xll.ExLibris.WebSockets.SendWebSocketMessage($E$4,"test next "&amp;D26,E25)</f>
        <v>#N/A</v>
      </c>
    </row>
    <row r="27" spans="4:5" x14ac:dyDescent="0.4">
      <c r="D27" t="s">
        <v>108</v>
      </c>
      <c r="E27" t="e" cm="1">
        <f t="array" ref="E27">_xll.ExLibris.WebSockets.SendWebSocketMessage($E$4,"test next "&amp;D27,E26)</f>
        <v>#N/A</v>
      </c>
    </row>
    <row r="28" spans="4:5" x14ac:dyDescent="0.4">
      <c r="D28" t="s">
        <v>109</v>
      </c>
      <c r="E28" t="e" cm="1">
        <f t="array" ref="E28">_xll.ExLibris.WebSockets.SendWebSocketMessage($E$4,"test next "&amp;D28,E27)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E22"/>
  <sheetViews>
    <sheetView tabSelected="1" workbookViewId="0"/>
  </sheetViews>
  <sheetFormatPr defaultRowHeight="18.75" x14ac:dyDescent="0.4"/>
  <cols>
    <col min="4" max="4" width="9.375" bestFit="1" customWidth="1"/>
  </cols>
  <sheetData>
    <row r="2" spans="2:5" x14ac:dyDescent="0.4">
      <c r="B2" t="s">
        <v>120</v>
      </c>
      <c r="C2" s="7" t="s">
        <v>127</v>
      </c>
      <c r="E2" t="s">
        <v>132</v>
      </c>
    </row>
    <row r="3" spans="2:5" x14ac:dyDescent="0.4">
      <c r="C3" t="s">
        <v>126</v>
      </c>
    </row>
    <row r="5" spans="2:5" x14ac:dyDescent="0.4">
      <c r="B5" t="s">
        <v>128</v>
      </c>
      <c r="C5" t="str" cm="1">
        <f t="array" ref="C5">_xll.ExLibris.WebAPIs.Client.CreateWebAPIClient($C$2,,B5)</f>
        <v>ExLibris.Core.WebAPIs.WebAPIClient:EE5BFBAB-944F-4B1A-892C-C9B9247BF943</v>
      </c>
    </row>
    <row r="6" spans="2:5" x14ac:dyDescent="0.4">
      <c r="B6" t="s">
        <v>125</v>
      </c>
      <c r="C6" t="s">
        <v>124</v>
      </c>
      <c r="D6" t="s">
        <v>121</v>
      </c>
    </row>
    <row r="7" spans="2:5" x14ac:dyDescent="0.4">
      <c r="C7" t="s">
        <v>122</v>
      </c>
      <c r="D7" t="str" cm="1">
        <f t="array" ref="D7">_xll.ExLibris.WebAPIs.Client.WebAPIGet(C5,D6)</f>
        <v>ExLibris.Core.WebAPIs.Response:9724AF2A-967C-40DA-BAF2-10E0DA9D92F7</v>
      </c>
    </row>
    <row r="8" spans="2:5" x14ac:dyDescent="0.4">
      <c r="C8" t="s">
        <v>123</v>
      </c>
      <c r="D8" t="str" cm="1">
        <f t="array" ref="D8">_xll.ExLibris.WebAPIs.WebAPIRequestContent(D7)</f>
        <v xml:space="preserve">{
  "args": {}, 
  "headers": {
    "Connection": "Keep-Alive", 
    "Host": "localhost"
  }, 
  "origin": "172.17.0.1", 
  "url": "http://localhost/get"
}
</v>
      </c>
    </row>
    <row r="9" spans="2:5" x14ac:dyDescent="0.4">
      <c r="C9" t="s">
        <v>101</v>
      </c>
      <c r="D9" t="str" cm="1">
        <f t="array" ref="D9">_xll.ExLibris.WebAPIs.WebAPIResponseStatus(D7)</f>
        <v>OK(200)</v>
      </c>
    </row>
    <row r="10" spans="2:5" x14ac:dyDescent="0.4">
      <c r="C10" t="s">
        <v>129</v>
      </c>
      <c r="D10" t="str" cm="1">
        <f t="array" ref="D10">_xll.ExLibris.WebAPIs.WebAPIResponseHeader(D7)</f>
        <v xml:space="preserve">Connection: keep-alive_x000D_
Access-Control-Allow-Origin: *_x000D_
Access-Control-Allow-Credentials: true_x000D_
Date: Fri, 24 Sep 2021 13:20:08 GMT_x000D_
Server: gunicorn/19.9.0_x000D_
</v>
      </c>
    </row>
    <row r="11" spans="2:5" x14ac:dyDescent="0.4">
      <c r="B11" t="s">
        <v>130</v>
      </c>
      <c r="C11" t="s">
        <v>124</v>
      </c>
      <c r="D11" t="s">
        <v>131</v>
      </c>
    </row>
    <row r="12" spans="2:5" x14ac:dyDescent="0.4">
      <c r="C12" t="s">
        <v>122</v>
      </c>
      <c r="D12" t="str" cm="1">
        <f t="array" ref="D12">_xll.ExLibris.WebAPIs.Client.WebAPIPost(C5,D11)</f>
        <v>ExLibris.Core.WebAPIs.Response:82B9C335-20F1-463B-9214-9153471E22A0</v>
      </c>
    </row>
    <row r="13" spans="2:5" x14ac:dyDescent="0.4">
      <c r="C13" t="s">
        <v>123</v>
      </c>
      <c r="D13" t="str" cm="1">
        <f t="array" ref="D13">_xll.ExLibris.WebAPIs.WebAPIRequestContent(D12)</f>
        <v xml:space="preserve">{
  "args": {}, 
  "data": "", 
  "files": {}, 
  "form": {}, 
  "headers": {
    "Content-Length": "0", 
    "Host": "localhost"
  }, 
  "json": null, 
  "origin": "172.17.0.1", 
  "url": "http://localhost/post"
}
</v>
      </c>
    </row>
    <row r="14" spans="2:5" x14ac:dyDescent="0.4">
      <c r="C14" t="s">
        <v>101</v>
      </c>
      <c r="D14" t="str" cm="1">
        <f t="array" ref="D14">_xll.ExLibris.WebAPIs.WebAPIResponseStatus(D12)</f>
        <v>OK(200)</v>
      </c>
    </row>
    <row r="15" spans="2:5" x14ac:dyDescent="0.4">
      <c r="C15" t="s">
        <v>129</v>
      </c>
      <c r="D15" t="str" cm="1">
        <f t="array" ref="D15">_xll.ExLibris.WebAPIs.WebAPIResponseHeader(D12)</f>
        <v xml:space="preserve">Connection: keep-alive_x000D_
Access-Control-Allow-Origin: *_x000D_
Access-Control-Allow-Credentials: true_x000D_
Date: Fri, 24 Sep 2021 13:20:19 GMT_x000D_
Server: gunicorn/19.9.0_x000D_
</v>
      </c>
    </row>
    <row r="17" spans="2:3" x14ac:dyDescent="0.4">
      <c r="B17" t="str" cm="1">
        <f t="array" ref="B17">_xll.ExLibris.WebAPIs.CreateHeaders(B18:C22)</f>
        <v>ExLibris.Core.WebAPIs.WebAPIHeaders:5476CBBD-3A30-4CF3-8504-D925F075D508</v>
      </c>
    </row>
    <row r="18" spans="2:3" x14ac:dyDescent="0.4">
      <c r="B18" t="s">
        <v>133</v>
      </c>
      <c r="C18" t="s">
        <v>134</v>
      </c>
    </row>
    <row r="19" spans="2:3" x14ac:dyDescent="0.4">
      <c r="B19" t="s">
        <v>135</v>
      </c>
      <c r="C19" t="s">
        <v>141</v>
      </c>
    </row>
    <row r="20" spans="2:3" x14ac:dyDescent="0.4">
      <c r="B20" t="s">
        <v>136</v>
      </c>
      <c r="C20" t="s">
        <v>142</v>
      </c>
    </row>
    <row r="21" spans="2:3" x14ac:dyDescent="0.4">
      <c r="B21" t="s">
        <v>137</v>
      </c>
      <c r="C21" t="s">
        <v>138</v>
      </c>
    </row>
    <row r="22" spans="2:3" x14ac:dyDescent="0.4">
      <c r="B22" t="s">
        <v>139</v>
      </c>
      <c r="C22" t="s">
        <v>140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json_test</vt:lpstr>
      <vt:lpstr>json_w_conf_test</vt:lpstr>
      <vt:lpstr>configuration</vt:lpstr>
      <vt:lpstr>websocket</vt:lpstr>
      <vt:lpstr>webapi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2021-09-24T13:21:13Z</dcterms:modified>
</cp:coreProperties>
</file>