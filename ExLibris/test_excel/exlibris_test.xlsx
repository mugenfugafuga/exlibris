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06999147-AC34-4818-8541-8E2880D171ED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7" r:id="rId1"/>
    <sheet name="json_test_async" sheetId="1" r:id="rId2"/>
    <sheet name="json_w_conf_test_async" sheetId="4" r:id="rId3"/>
    <sheet name="configuration" sheetId="2" r:id="rId4"/>
    <sheet name="websocket" sheetId="3" r:id="rId5"/>
    <sheet name="webapi" sheetId="5" r:id="rId6"/>
    <sheet name="webapi github" sheetId="6" r:id="rId7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C15" i="1"/>
  <c r="C14" i="1"/>
  <c r="AK66" i="1"/>
  <c r="AK65" i="1"/>
  <c r="AK64" i="1"/>
  <c r="AK63" i="1"/>
  <c r="AK62" i="1"/>
  <c r="AK61" i="1"/>
  <c r="AK59" i="1"/>
  <c r="AK57" i="1"/>
  <c r="AK56" i="1"/>
  <c r="AK55" i="1"/>
  <c r="C14" i="7"/>
  <c r="I61" i="1" a="1"/>
  <c r="I59" i="1" a="1"/>
  <c r="I55" i="1" a="1"/>
  <c r="I61" i="1" l="1"/>
  <c r="I59" i="1"/>
  <c r="I55" i="1"/>
  <c r="K47" i="1"/>
  <c r="J47" i="1"/>
  <c r="I47" i="1"/>
  <c r="K47" i="7"/>
  <c r="J47" i="7"/>
  <c r="I47" i="7"/>
  <c r="D14" i="5"/>
  <c r="I10" i="7"/>
  <c r="I11" i="7" s="1"/>
  <c r="I12" i="7" s="1"/>
  <c r="I13" i="7" s="1"/>
  <c r="I14" i="7" s="1"/>
  <c r="G9" i="7"/>
  <c r="F10" i="7" s="1"/>
  <c r="G10" i="7" s="1"/>
  <c r="D49" i="5"/>
  <c r="E49" i="5" s="1"/>
  <c r="D6" i="3" a="1"/>
  <c r="C2" i="2" a="1"/>
  <c r="D5" i="3" a="1"/>
  <c r="B5" i="5" a="1"/>
  <c r="D7" i="3" a="1"/>
  <c r="D8" i="3" a="1"/>
  <c r="H5" i="5" a="1"/>
  <c r="F6" i="7" a="1"/>
  <c r="D4" i="3" a="1"/>
  <c r="F6" i="1" a="1"/>
  <c r="B2" i="6" a="1"/>
  <c r="D50" i="5" a="1"/>
  <c r="F6" i="7" l="1"/>
  <c r="E10" i="7"/>
  <c r="F11" i="7"/>
  <c r="G11" i="7" s="1"/>
  <c r="E9" i="7"/>
  <c r="D7" i="3"/>
  <c r="D6" i="3"/>
  <c r="D8" i="3"/>
  <c r="D5" i="3"/>
  <c r="B2" i="6"/>
  <c r="D4" i="3"/>
  <c r="H5" i="5"/>
  <c r="B5" i="5"/>
  <c r="C2" i="2"/>
  <c r="K1" i="7" s="1"/>
  <c r="F6" i="1"/>
  <c r="D50" i="5"/>
  <c r="D52" i="5" a="1"/>
  <c r="F1" i="7" a="1"/>
  <c r="F6" i="3" a="1"/>
  <c r="G8" i="3" a="1"/>
  <c r="D51" i="5" a="1"/>
  <c r="E6" i="2" a="1"/>
  <c r="F7" i="3" a="1"/>
  <c r="G7" i="3" a="1"/>
  <c r="F6" i="4" a="1"/>
  <c r="G6" i="3" a="1"/>
  <c r="G5" i="3" a="1"/>
  <c r="F5" i="3" a="1"/>
  <c r="F8" i="3" a="1"/>
  <c r="F1" i="7" l="1"/>
  <c r="F12" i="7"/>
  <c r="G12" i="7" s="1"/>
  <c r="E11" i="7"/>
  <c r="F5" i="3"/>
  <c r="G5" i="3"/>
  <c r="F8" i="3"/>
  <c r="G8" i="3"/>
  <c r="F6" i="3"/>
  <c r="G6" i="3"/>
  <c r="G7" i="3"/>
  <c r="F7" i="3"/>
  <c r="D52" i="5"/>
  <c r="E52" i="5" s="1"/>
  <c r="F6" i="4"/>
  <c r="E6" i="2"/>
  <c r="D51" i="5"/>
  <c r="E51" i="5" s="1"/>
  <c r="C5" i="6"/>
  <c r="D34" i="5"/>
  <c r="E34" i="5" s="1"/>
  <c r="D29" i="5"/>
  <c r="E29" i="5" s="1"/>
  <c r="D24" i="5"/>
  <c r="E24" i="5" s="1"/>
  <c r="D19" i="5"/>
  <c r="E19" i="5" s="1"/>
  <c r="E14" i="5"/>
  <c r="D44" i="5" a="1"/>
  <c r="D39" i="5" a="1"/>
  <c r="I55" i="7" a="1"/>
  <c r="I61" i="7" a="1"/>
  <c r="I59" i="7" a="1"/>
  <c r="D15" i="5" a="1"/>
  <c r="P74" i="7" a="1"/>
  <c r="E19" i="7" a="1"/>
  <c r="G24" i="7" a="1"/>
  <c r="G27" i="7" a="1"/>
  <c r="G50" i="7" a="1"/>
  <c r="D20" i="5" a="1"/>
  <c r="G44" i="7" a="1"/>
  <c r="G40" i="7" a="1"/>
  <c r="G23" i="7" a="1"/>
  <c r="G52" i="7" a="1"/>
  <c r="G32" i="7" a="1"/>
  <c r="G26" i="7" a="1"/>
  <c r="G36" i="7" a="1"/>
  <c r="G30" i="7" a="1"/>
  <c r="P67" i="7" a="1"/>
  <c r="G38" i="7" a="1"/>
  <c r="G21" i="7" a="1"/>
  <c r="G45" i="7" a="1"/>
  <c r="G25" i="7" a="1"/>
  <c r="G53" i="7" a="1"/>
  <c r="G37" i="7" a="1"/>
  <c r="G28" i="7" a="1"/>
  <c r="G46" i="7" a="1"/>
  <c r="G43" i="7" a="1"/>
  <c r="G51" i="7" a="1"/>
  <c r="G42" i="7" a="1"/>
  <c r="G22" i="7" a="1"/>
  <c r="G29" i="7" a="1"/>
  <c r="G41" i="7" a="1"/>
  <c r="G56" i="7" a="1"/>
  <c r="G49" i="7" a="1"/>
  <c r="P19" i="7" a="1"/>
  <c r="G39" i="7" a="1"/>
  <c r="G34" i="7" a="1"/>
  <c r="G57" i="7" a="1"/>
  <c r="M6" i="7" a="1"/>
  <c r="G20" i="7" a="1"/>
  <c r="G35" i="7" a="1"/>
  <c r="G54" i="7" a="1"/>
  <c r="G47" i="7" a="1"/>
  <c r="G55" i="7" a="1"/>
  <c r="G33" i="7" a="1"/>
  <c r="I19" i="7" a="1"/>
  <c r="G48" i="7" a="1"/>
  <c r="G31" i="7" a="1"/>
  <c r="I59" i="7" l="1"/>
  <c r="AK59" i="7" s="1"/>
  <c r="C15" i="7" s="1"/>
  <c r="AK66" i="7"/>
  <c r="AK65" i="7"/>
  <c r="AK62" i="7"/>
  <c r="AK64" i="7"/>
  <c r="AK63" i="7"/>
  <c r="I61" i="7"/>
  <c r="AK61" i="7" s="1"/>
  <c r="C16" i="7" s="1"/>
  <c r="AK56" i="7"/>
  <c r="AK57" i="7"/>
  <c r="I55" i="7"/>
  <c r="AK55" i="7" s="1"/>
  <c r="AR77" i="7"/>
  <c r="AS76" i="7"/>
  <c r="AS78" i="7"/>
  <c r="AS74" i="7"/>
  <c r="AR79" i="7"/>
  <c r="AR75" i="7"/>
  <c r="AR78" i="7"/>
  <c r="AS77" i="7"/>
  <c r="AR76" i="7"/>
  <c r="AS79" i="7"/>
  <c r="AS75" i="7"/>
  <c r="P74" i="7"/>
  <c r="AR74" i="7" s="1"/>
  <c r="P19" i="7"/>
  <c r="AR72" i="7"/>
  <c r="AR68" i="7"/>
  <c r="AS70" i="7"/>
  <c r="AS69" i="7"/>
  <c r="AR70" i="7"/>
  <c r="AR69" i="7"/>
  <c r="AS72" i="7"/>
  <c r="AS68" i="7"/>
  <c r="AS71" i="7"/>
  <c r="AS67" i="7"/>
  <c r="AR71" i="7"/>
  <c r="P67" i="7"/>
  <c r="AR67" i="7" s="1"/>
  <c r="G30" i="7"/>
  <c r="G53" i="7"/>
  <c r="G57" i="7"/>
  <c r="G48" i="7"/>
  <c r="G36" i="7"/>
  <c r="G43" i="7"/>
  <c r="M6" i="7"/>
  <c r="G45" i="7"/>
  <c r="G49" i="7"/>
  <c r="G40" i="7"/>
  <c r="G28" i="7"/>
  <c r="G23" i="7"/>
  <c r="G35" i="7"/>
  <c r="G41" i="7"/>
  <c r="G37" i="7"/>
  <c r="G32" i="7"/>
  <c r="G39" i="7"/>
  <c r="G26" i="7"/>
  <c r="G25" i="7"/>
  <c r="G46" i="7"/>
  <c r="G50" i="7"/>
  <c r="G27" i="7"/>
  <c r="G22" i="7"/>
  <c r="G42" i="7"/>
  <c r="G52" i="7"/>
  <c r="G33" i="7"/>
  <c r="G29" i="7"/>
  <c r="G20" i="7"/>
  <c r="G34" i="7"/>
  <c r="G54" i="7"/>
  <c r="G21" i="7"/>
  <c r="G31" i="7"/>
  <c r="G24" i="7"/>
  <c r="G55" i="7"/>
  <c r="G51" i="7"/>
  <c r="I19" i="7"/>
  <c r="G38" i="7"/>
  <c r="G56" i="7"/>
  <c r="G44" i="7"/>
  <c r="G47" i="7"/>
  <c r="E19" i="7"/>
  <c r="E12" i="7"/>
  <c r="F13" i="7"/>
  <c r="G13" i="7" s="1"/>
  <c r="D39" i="5"/>
  <c r="E39" i="5" s="1"/>
  <c r="D44" i="5"/>
  <c r="E44" i="5" s="1"/>
  <c r="D20" i="5"/>
  <c r="D15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17" i="5" a="1"/>
  <c r="I40" i="7" a="1"/>
  <c r="D21" i="5" a="1"/>
  <c r="D16" i="5" a="1"/>
  <c r="G19" i="7" a="1"/>
  <c r="D45" i="5" a="1"/>
  <c r="D22" i="5" a="1"/>
  <c r="I48" i="7" a="1"/>
  <c r="I32" i="7" a="1"/>
  <c r="I20" i="7" a="1"/>
  <c r="C6" i="6" a="1"/>
  <c r="P29" i="7" a="1"/>
  <c r="I28" i="7" a="1"/>
  <c r="AM52" i="7" l="1"/>
  <c r="AK50" i="7"/>
  <c r="AL52" i="7"/>
  <c r="AM49" i="7"/>
  <c r="AK52" i="7"/>
  <c r="AL49" i="7"/>
  <c r="AM51" i="7"/>
  <c r="AK49" i="7"/>
  <c r="AL51" i="7"/>
  <c r="AM48" i="7"/>
  <c r="AM53" i="7"/>
  <c r="AK51" i="7"/>
  <c r="AL48" i="7"/>
  <c r="AL53" i="7"/>
  <c r="AM50" i="7"/>
  <c r="AK53" i="7"/>
  <c r="AL50" i="7"/>
  <c r="I48" i="7"/>
  <c r="AK48" i="7" s="1"/>
  <c r="AO45" i="7"/>
  <c r="AM44" i="7"/>
  <c r="AK43" i="7"/>
  <c r="AO41" i="7"/>
  <c r="AM40" i="7"/>
  <c r="AN45" i="7"/>
  <c r="AL44" i="7"/>
  <c r="AP42" i="7"/>
  <c r="AN41" i="7"/>
  <c r="AL40" i="7"/>
  <c r="AM45" i="7"/>
  <c r="AK44" i="7"/>
  <c r="AO42" i="7"/>
  <c r="AM41" i="7"/>
  <c r="AL45" i="7"/>
  <c r="AP43" i="7"/>
  <c r="AN42" i="7"/>
  <c r="AL41" i="7"/>
  <c r="AK45" i="7"/>
  <c r="AO43" i="7"/>
  <c r="AM42" i="7"/>
  <c r="AK41" i="7"/>
  <c r="AP44" i="7"/>
  <c r="AN43" i="7"/>
  <c r="AL42" i="7"/>
  <c r="AP40" i="7"/>
  <c r="AO44" i="7"/>
  <c r="AM43" i="7"/>
  <c r="AK42" i="7"/>
  <c r="AO40" i="7"/>
  <c r="AP45" i="7"/>
  <c r="AN44" i="7"/>
  <c r="AL43" i="7"/>
  <c r="AP41" i="7"/>
  <c r="AN40" i="7"/>
  <c r="I40" i="7"/>
  <c r="AK40" i="7" s="1"/>
  <c r="AK38" i="7"/>
  <c r="AK36" i="7"/>
  <c r="AK34" i="7"/>
  <c r="AL36" i="7"/>
  <c r="AL32" i="7"/>
  <c r="AN37" i="7"/>
  <c r="AN35" i="7"/>
  <c r="AN33" i="7"/>
  <c r="AM37" i="7"/>
  <c r="AM35" i="7"/>
  <c r="AM33" i="7"/>
  <c r="AK37" i="7"/>
  <c r="AK35" i="7"/>
  <c r="AK33" i="7"/>
  <c r="AL38" i="7"/>
  <c r="AL34" i="7"/>
  <c r="AL37" i="7"/>
  <c r="AL35" i="7"/>
  <c r="AL33" i="7"/>
  <c r="AM38" i="7"/>
  <c r="AM36" i="7"/>
  <c r="AM34" i="7"/>
  <c r="AM32" i="7"/>
  <c r="AN38" i="7"/>
  <c r="AN36" i="7"/>
  <c r="AN34" i="7"/>
  <c r="AN32" i="7"/>
  <c r="I32" i="7"/>
  <c r="AK32" i="7" s="1"/>
  <c r="I20" i="7"/>
  <c r="C10" i="7"/>
  <c r="C9" i="7"/>
  <c r="P29" i="7"/>
  <c r="D17" i="5"/>
  <c r="E17" i="5" s="1"/>
  <c r="I28" i="7"/>
  <c r="G19" i="7"/>
  <c r="E13" i="7"/>
  <c r="F14" i="7"/>
  <c r="G14" i="7" s="1"/>
  <c r="E14" i="7" s="1"/>
  <c r="D22" i="5"/>
  <c r="E22" i="5" s="1"/>
  <c r="C6" i="6"/>
  <c r="D45" i="5"/>
  <c r="D21" i="5"/>
  <c r="E21" i="5" s="1"/>
  <c r="D16" i="5"/>
  <c r="E16" i="5" s="1"/>
  <c r="F10" i="4"/>
  <c r="G10" i="4" s="1"/>
  <c r="F10" i="1"/>
  <c r="G10" i="1" s="1"/>
  <c r="F11" i="1" s="1"/>
  <c r="G11" i="1" s="1"/>
  <c r="F12" i="1" s="1"/>
  <c r="G12" i="1" s="1"/>
  <c r="E12" i="1" s="1"/>
  <c r="D30" i="5" a="1"/>
  <c r="I29" i="7" a="1"/>
  <c r="C7" i="6" a="1"/>
  <c r="C8" i="6" a="1"/>
  <c r="F4" i="3" a="1"/>
  <c r="D47" i="5" a="1"/>
  <c r="D46" i="5" a="1"/>
  <c r="D25" i="5" a="1"/>
  <c r="G4" i="3" a="1"/>
  <c r="D35" i="5" a="1"/>
  <c r="D40" i="5" a="1"/>
  <c r="C12" i="7" l="1"/>
  <c r="C13" i="7"/>
  <c r="C11" i="7"/>
  <c r="I29" i="7"/>
  <c r="D47" i="5"/>
  <c r="E47" i="5" s="1"/>
  <c r="C8" i="6"/>
  <c r="D25" i="5"/>
  <c r="C7" i="6"/>
  <c r="D46" i="5"/>
  <c r="E46" i="5" s="1"/>
  <c r="D40" i="5"/>
  <c r="D30" i="5"/>
  <c r="D35" i="5"/>
  <c r="K1" i="1"/>
  <c r="K1" i="4"/>
  <c r="F11" i="4"/>
  <c r="G11" i="4" s="1"/>
  <c r="E10" i="4"/>
  <c r="G4" i="3"/>
  <c r="F4" i="3"/>
  <c r="F13" i="1"/>
  <c r="G13" i="1" s="1"/>
  <c r="F14" i="1" s="1"/>
  <c r="G14" i="1" s="1"/>
  <c r="E14" i="1" s="1"/>
  <c r="E10" i="1"/>
  <c r="E11" i="1"/>
  <c r="H6" i="3" a="1"/>
  <c r="D41" i="5" a="1"/>
  <c r="H4" i="3" a="1"/>
  <c r="D32" i="5" a="1"/>
  <c r="D31" i="5" a="1"/>
  <c r="H7" i="3" a="1"/>
  <c r="C10" i="6" a="1"/>
  <c r="D26" i="5" a="1"/>
  <c r="D37" i="5" a="1"/>
  <c r="D27" i="5" a="1"/>
  <c r="D42" i="5" a="1"/>
  <c r="D36" i="5" a="1"/>
  <c r="H8" i="3" a="1"/>
  <c r="H5" i="3" a="1"/>
  <c r="H7" i="3" l="1"/>
  <c r="H6" i="3"/>
  <c r="H5" i="3"/>
  <c r="H8" i="3"/>
  <c r="H4" i="3"/>
  <c r="D37" i="5"/>
  <c r="E37" i="5" s="1"/>
  <c r="D42" i="5"/>
  <c r="E42" i="5" s="1"/>
  <c r="D27" i="5"/>
  <c r="E27" i="5" s="1"/>
  <c r="D32" i="5"/>
  <c r="E32" i="5" s="1"/>
  <c r="C10" i="6"/>
  <c r="D36" i="5"/>
  <c r="E36" i="5" s="1"/>
  <c r="D31" i="5"/>
  <c r="E31" i="5" s="1"/>
  <c r="D41" i="5"/>
  <c r="E41" i="5" s="1"/>
  <c r="D26" i="5"/>
  <c r="E26" i="5" s="1"/>
  <c r="E11" i="4"/>
  <c r="F12" i="4"/>
  <c r="G12" i="4" s="1"/>
  <c r="E13" i="1"/>
  <c r="I8" i="3" a="1"/>
  <c r="C11" i="6" a="1"/>
  <c r="I4" i="3" a="1"/>
  <c r="I7" i="3" a="1"/>
  <c r="I6" i="3" a="1"/>
  <c r="I5" i="3" a="1"/>
  <c r="B12" i="5" l="1"/>
  <c r="I5" i="3"/>
  <c r="I6" i="3"/>
  <c r="I7" i="3"/>
  <c r="I8" i="3"/>
  <c r="I4" i="3"/>
  <c r="AS21" i="7"/>
  <c r="AS19" i="7"/>
  <c r="AS20" i="7"/>
  <c r="AR20" i="7"/>
  <c r="AR21" i="7"/>
  <c r="AR19" i="7"/>
  <c r="C5" i="7"/>
  <c r="AI55" i="7"/>
  <c r="AH54" i="7"/>
  <c r="AG53" i="7"/>
  <c r="AI47" i="7"/>
  <c r="AH46" i="7"/>
  <c r="AG45" i="7"/>
  <c r="AI39" i="7"/>
  <c r="AH38" i="7"/>
  <c r="AG37" i="7"/>
  <c r="AI31" i="7"/>
  <c r="AI25" i="7"/>
  <c r="AG23" i="7"/>
  <c r="AG21" i="7"/>
  <c r="AI56" i="7"/>
  <c r="AH55" i="7"/>
  <c r="AG54" i="7"/>
  <c r="AI48" i="7"/>
  <c r="AH47" i="7"/>
  <c r="AG46" i="7"/>
  <c r="AI40" i="7"/>
  <c r="AH39" i="7"/>
  <c r="AG38" i="7"/>
  <c r="AI32" i="7"/>
  <c r="AH31" i="7"/>
  <c r="AH25" i="7"/>
  <c r="AI22" i="7"/>
  <c r="AH52" i="7"/>
  <c r="AG35" i="7"/>
  <c r="AH30" i="7"/>
  <c r="AI57" i="7"/>
  <c r="AH56" i="7"/>
  <c r="AG55" i="7"/>
  <c r="AI49" i="7"/>
  <c r="AH48" i="7"/>
  <c r="AG47" i="7"/>
  <c r="AI41" i="7"/>
  <c r="AH40" i="7"/>
  <c r="AG39" i="7"/>
  <c r="AI33" i="7"/>
  <c r="AH32" i="7"/>
  <c r="AG31" i="7"/>
  <c r="AI29" i="7"/>
  <c r="AI27" i="7"/>
  <c r="AG25" i="7"/>
  <c r="AH22" i="7"/>
  <c r="AI53" i="7"/>
  <c r="AG51" i="7"/>
  <c r="AI45" i="7"/>
  <c r="AH44" i="7"/>
  <c r="AG43" i="7"/>
  <c r="AI37" i="7"/>
  <c r="AH36" i="7"/>
  <c r="AH26" i="7"/>
  <c r="AI23" i="7"/>
  <c r="AI21" i="7"/>
  <c r="AH57" i="7"/>
  <c r="AG56" i="7"/>
  <c r="AI50" i="7"/>
  <c r="AH49" i="7"/>
  <c r="AG48" i="7"/>
  <c r="AI42" i="7"/>
  <c r="AH41" i="7"/>
  <c r="AG40" i="7"/>
  <c r="AI34" i="7"/>
  <c r="AH33" i="7"/>
  <c r="AG32" i="7"/>
  <c r="AH29" i="7"/>
  <c r="AI28" i="7"/>
  <c r="AH27" i="7"/>
  <c r="AI24" i="7"/>
  <c r="AG22" i="7"/>
  <c r="AI20" i="7"/>
  <c r="AG57" i="7"/>
  <c r="AI51" i="7"/>
  <c r="AH50" i="7"/>
  <c r="AG49" i="7"/>
  <c r="AI43" i="7"/>
  <c r="AH42" i="7"/>
  <c r="AG41" i="7"/>
  <c r="AI35" i="7"/>
  <c r="AH34" i="7"/>
  <c r="AG33" i="7"/>
  <c r="AG29" i="7"/>
  <c r="AH28" i="7"/>
  <c r="AG27" i="7"/>
  <c r="AH24" i="7"/>
  <c r="AH20" i="7"/>
  <c r="AI19" i="7"/>
  <c r="AI52" i="7"/>
  <c r="AH51" i="7"/>
  <c r="AG50" i="7"/>
  <c r="AI44" i="7"/>
  <c r="AH43" i="7"/>
  <c r="AG42" i="7"/>
  <c r="AI36" i="7"/>
  <c r="AH35" i="7"/>
  <c r="AG34" i="7"/>
  <c r="AI30" i="7"/>
  <c r="AG28" i="7"/>
  <c r="AI26" i="7"/>
  <c r="AG24" i="7"/>
  <c r="AG20" i="7"/>
  <c r="AI54" i="7"/>
  <c r="AH53" i="7"/>
  <c r="AG52" i="7"/>
  <c r="AI46" i="7"/>
  <c r="AH45" i="7"/>
  <c r="AG44" i="7"/>
  <c r="AI38" i="7"/>
  <c r="AH37" i="7"/>
  <c r="AG36" i="7"/>
  <c r="AG30" i="7"/>
  <c r="AG26" i="7"/>
  <c r="AH23" i="7"/>
  <c r="AH21" i="7"/>
  <c r="C11" i="6"/>
  <c r="F13" i="4"/>
  <c r="G13" i="4" s="1"/>
  <c r="E12" i="4"/>
  <c r="J5" i="3" a="1"/>
  <c r="J7" i="3" a="1"/>
  <c r="F1" i="1" a="1"/>
  <c r="J4" i="3" a="1"/>
  <c r="J8" i="3" a="1"/>
  <c r="P30" i="7" a="1"/>
  <c r="J6" i="3" a="1"/>
  <c r="J7" i="3" l="1"/>
  <c r="J6" i="3"/>
  <c r="J8" i="3"/>
  <c r="J5" i="3"/>
  <c r="J4" i="3"/>
  <c r="C7" i="7"/>
  <c r="AS65" i="7"/>
  <c r="AS61" i="7"/>
  <c r="AS57" i="7"/>
  <c r="AR56" i="7"/>
  <c r="AS49" i="7"/>
  <c r="AR48" i="7"/>
  <c r="AS41" i="7"/>
  <c r="AR40" i="7"/>
  <c r="AS33" i="7"/>
  <c r="AR32" i="7"/>
  <c r="P30" i="7"/>
  <c r="AR30" i="7" s="1"/>
  <c r="AR65" i="7"/>
  <c r="AR61" i="7"/>
  <c r="AR57" i="7"/>
  <c r="AS50" i="7"/>
  <c r="AR49" i="7"/>
  <c r="AS42" i="7"/>
  <c r="AR41" i="7"/>
  <c r="AS34" i="7"/>
  <c r="AR33" i="7"/>
  <c r="AS58" i="7"/>
  <c r="AR54" i="7"/>
  <c r="AR38" i="7"/>
  <c r="AS64" i="7"/>
  <c r="AS60" i="7"/>
  <c r="AS51" i="7"/>
  <c r="AR50" i="7"/>
  <c r="AS43" i="7"/>
  <c r="AR42" i="7"/>
  <c r="AS35" i="7"/>
  <c r="AR34" i="7"/>
  <c r="AS62" i="7"/>
  <c r="AS55" i="7"/>
  <c r="AS47" i="7"/>
  <c r="AR46" i="7"/>
  <c r="AS39" i="7"/>
  <c r="AR64" i="7"/>
  <c r="AR60" i="7"/>
  <c r="AS52" i="7"/>
  <c r="AR51" i="7"/>
  <c r="AS44" i="7"/>
  <c r="AR43" i="7"/>
  <c r="AS36" i="7"/>
  <c r="AR35" i="7"/>
  <c r="AS63" i="7"/>
  <c r="AS59" i="7"/>
  <c r="AS53" i="7"/>
  <c r="AR52" i="7"/>
  <c r="AS45" i="7"/>
  <c r="AR44" i="7"/>
  <c r="AS37" i="7"/>
  <c r="AR36" i="7"/>
  <c r="AS31" i="7"/>
  <c r="AR63" i="7"/>
  <c r="AR59" i="7"/>
  <c r="AS54" i="7"/>
  <c r="AR53" i="7"/>
  <c r="AS46" i="7"/>
  <c r="AR45" i="7"/>
  <c r="AS38" i="7"/>
  <c r="AR37" i="7"/>
  <c r="AS30" i="7"/>
  <c r="AR62" i="7"/>
  <c r="AR58" i="7"/>
  <c r="AS56" i="7"/>
  <c r="AR55" i="7"/>
  <c r="AS48" i="7"/>
  <c r="AR47" i="7"/>
  <c r="AS40" i="7"/>
  <c r="AR39" i="7"/>
  <c r="AS32" i="7"/>
  <c r="AR31" i="7"/>
  <c r="AO26" i="7"/>
  <c r="AM24" i="7"/>
  <c r="AP23" i="7"/>
  <c r="AK22" i="7"/>
  <c r="AP21" i="7"/>
  <c r="AM20" i="7"/>
  <c r="AN26" i="7"/>
  <c r="AL24" i="7"/>
  <c r="AO23" i="7"/>
  <c r="AO21" i="7"/>
  <c r="AL20" i="7"/>
  <c r="AM26" i="7"/>
  <c r="AP25" i="7"/>
  <c r="AK24" i="7"/>
  <c r="AN23" i="7"/>
  <c r="AN21" i="7"/>
  <c r="AO24" i="7"/>
  <c r="AL26" i="7"/>
  <c r="AO25" i="7"/>
  <c r="AM23" i="7"/>
  <c r="AP22" i="7"/>
  <c r="AM21" i="7"/>
  <c r="AL25" i="7"/>
  <c r="AK20" i="7"/>
  <c r="AK26" i="7"/>
  <c r="AN25" i="7"/>
  <c r="AL23" i="7"/>
  <c r="AO22" i="7"/>
  <c r="AL21" i="7"/>
  <c r="AO20" i="7"/>
  <c r="AM25" i="7"/>
  <c r="AP24" i="7"/>
  <c r="AK23" i="7"/>
  <c r="AN22" i="7"/>
  <c r="AK21" i="7"/>
  <c r="AP20" i="7"/>
  <c r="AM22" i="7"/>
  <c r="AP26" i="7"/>
  <c r="AK25" i="7"/>
  <c r="AN24" i="7"/>
  <c r="AL22" i="7"/>
  <c r="AN20" i="7"/>
  <c r="AG19" i="7"/>
  <c r="AH19" i="7"/>
  <c r="F1" i="1"/>
  <c r="E13" i="4"/>
  <c r="F14" i="4"/>
  <c r="G14" i="4" s="1"/>
  <c r="E14" i="4" s="1"/>
  <c r="G43" i="1" a="1"/>
  <c r="G24" i="1" a="1"/>
  <c r="G32" i="1" a="1"/>
  <c r="G54" i="1" a="1"/>
  <c r="G57" i="1" a="1"/>
  <c r="M6" i="1" a="1"/>
  <c r="G46" i="1" a="1"/>
  <c r="P74" i="1" a="1"/>
  <c r="G56" i="1" a="1"/>
  <c r="G52" i="1" a="1"/>
  <c r="G26" i="1" a="1"/>
  <c r="G25" i="1" a="1"/>
  <c r="G21" i="1" a="1"/>
  <c r="G45" i="1" a="1"/>
  <c r="G22" i="1" a="1"/>
  <c r="G44" i="1" a="1"/>
  <c r="P67" i="1" a="1"/>
  <c r="G38" i="1" a="1"/>
  <c r="G40" i="1" a="1"/>
  <c r="G48" i="1" a="1"/>
  <c r="P19" i="1" a="1"/>
  <c r="E19" i="1" a="1"/>
  <c r="G37" i="1" a="1"/>
  <c r="G49" i="1" a="1"/>
  <c r="G35" i="1" a="1"/>
  <c r="G30" i="1" a="1"/>
  <c r="G34" i="1" a="1"/>
  <c r="G53" i="1" a="1"/>
  <c r="G27" i="1" a="1"/>
  <c r="G41" i="1" a="1"/>
  <c r="G31" i="1" a="1"/>
  <c r="G42" i="1" a="1"/>
  <c r="G51" i="1" a="1"/>
  <c r="G47" i="1" a="1"/>
  <c r="G20" i="1" a="1"/>
  <c r="G33" i="1" a="1"/>
  <c r="G28" i="1" a="1"/>
  <c r="G50" i="1" a="1"/>
  <c r="G29" i="1" a="1"/>
  <c r="G23" i="1" a="1"/>
  <c r="G39" i="1" a="1"/>
  <c r="G36" i="1" a="1"/>
  <c r="G55" i="1" a="1"/>
  <c r="I19" i="1" a="1"/>
  <c r="AR71" i="1" l="1"/>
  <c r="AS68" i="1"/>
  <c r="AS70" i="1"/>
  <c r="AR69" i="1"/>
  <c r="AS72" i="1"/>
  <c r="AR72" i="1"/>
  <c r="AR68" i="1"/>
  <c r="AS71" i="1"/>
  <c r="AS67" i="1"/>
  <c r="AR70" i="1"/>
  <c r="AS69" i="1"/>
  <c r="P67" i="1"/>
  <c r="AR67" i="1" s="1"/>
  <c r="P19" i="1"/>
  <c r="AR19" i="1" s="1"/>
  <c r="AR76" i="1"/>
  <c r="AR79" i="1"/>
  <c r="AR75" i="1"/>
  <c r="AS77" i="1"/>
  <c r="AS79" i="1"/>
  <c r="AS75" i="1"/>
  <c r="AR78" i="1"/>
  <c r="AR77" i="1"/>
  <c r="AS76" i="1"/>
  <c r="AS78" i="1"/>
  <c r="AS74" i="1"/>
  <c r="P74" i="1"/>
  <c r="AR74" i="1" s="1"/>
  <c r="M6" i="1"/>
  <c r="C5" i="1" s="1"/>
  <c r="AO30" i="7"/>
  <c r="AL29" i="7"/>
  <c r="AN30" i="7"/>
  <c r="AM30" i="7"/>
  <c r="AN29" i="7"/>
  <c r="AL30" i="7"/>
  <c r="AK30" i="7"/>
  <c r="AP29" i="7"/>
  <c r="AO29" i="7"/>
  <c r="AP30" i="7"/>
  <c r="AM29" i="7"/>
  <c r="AK29" i="7"/>
  <c r="C8" i="7"/>
  <c r="C3" i="7"/>
  <c r="C4" i="7"/>
  <c r="G48" i="1"/>
  <c r="G55" i="1"/>
  <c r="G39" i="1"/>
  <c r="G26" i="1"/>
  <c r="G33" i="1"/>
  <c r="G44" i="1"/>
  <c r="G51" i="1"/>
  <c r="G54" i="1"/>
  <c r="G22" i="1"/>
  <c r="G29" i="1"/>
  <c r="G40" i="1"/>
  <c r="G47" i="1"/>
  <c r="G50" i="1"/>
  <c r="G57" i="1"/>
  <c r="G25" i="1"/>
  <c r="G36" i="1"/>
  <c r="G46" i="1"/>
  <c r="G21" i="1"/>
  <c r="G32" i="1"/>
  <c r="G42" i="1"/>
  <c r="G38" i="1"/>
  <c r="G56" i="1"/>
  <c r="G24" i="1"/>
  <c r="G27" i="1"/>
  <c r="G34" i="1"/>
  <c r="G41" i="1"/>
  <c r="G52" i="1"/>
  <c r="G20" i="1"/>
  <c r="G23" i="1"/>
  <c r="G30" i="1"/>
  <c r="G37" i="1"/>
  <c r="G43" i="1"/>
  <c r="G53" i="1"/>
  <c r="G35" i="1"/>
  <c r="G49" i="1"/>
  <c r="I19" i="1"/>
  <c r="G28" i="1"/>
  <c r="G31" i="1"/>
  <c r="G45" i="1"/>
  <c r="E19" i="1"/>
  <c r="AS21" i="1"/>
  <c r="AR21" i="1"/>
  <c r="AS19" i="1"/>
  <c r="AS20" i="1"/>
  <c r="AR20" i="1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I32" i="1" a="1"/>
  <c r="I40" i="1" a="1"/>
  <c r="I28" i="1" a="1"/>
  <c r="I48" i="1" a="1"/>
  <c r="P29" i="1" a="1"/>
  <c r="G19" i="1" a="1"/>
  <c r="F1" i="4" a="1"/>
  <c r="I20" i="1" a="1"/>
  <c r="AM51" i="1" l="1"/>
  <c r="AK49" i="1"/>
  <c r="AL51" i="1"/>
  <c r="AM48" i="1"/>
  <c r="AM53" i="1"/>
  <c r="AK51" i="1"/>
  <c r="AL48" i="1"/>
  <c r="AL53" i="1"/>
  <c r="AM50" i="1"/>
  <c r="AK53" i="1"/>
  <c r="AL50" i="1"/>
  <c r="AM52" i="1"/>
  <c r="AK50" i="1"/>
  <c r="AL52" i="1"/>
  <c r="AM49" i="1"/>
  <c r="AK52" i="1"/>
  <c r="AL49" i="1"/>
  <c r="I48" i="1"/>
  <c r="AK48" i="1" s="1"/>
  <c r="AL45" i="1"/>
  <c r="AP43" i="1"/>
  <c r="AN42" i="1"/>
  <c r="AL41" i="1"/>
  <c r="AK45" i="1"/>
  <c r="AO43" i="1"/>
  <c r="AM42" i="1"/>
  <c r="AK41" i="1"/>
  <c r="AP44" i="1"/>
  <c r="AN43" i="1"/>
  <c r="AL42" i="1"/>
  <c r="AP40" i="1"/>
  <c r="AO44" i="1"/>
  <c r="AM43" i="1"/>
  <c r="AK42" i="1"/>
  <c r="AO40" i="1"/>
  <c r="AP45" i="1"/>
  <c r="AN44" i="1"/>
  <c r="AL43" i="1"/>
  <c r="AP41" i="1"/>
  <c r="AN40" i="1"/>
  <c r="AO45" i="1"/>
  <c r="AM44" i="1"/>
  <c r="AK43" i="1"/>
  <c r="AO41" i="1"/>
  <c r="AM40" i="1"/>
  <c r="AN45" i="1"/>
  <c r="AL44" i="1"/>
  <c r="AP42" i="1"/>
  <c r="AN41" i="1"/>
  <c r="AL40" i="1"/>
  <c r="AM45" i="1"/>
  <c r="AK44" i="1"/>
  <c r="AO42" i="1"/>
  <c r="AM41" i="1"/>
  <c r="I40" i="1"/>
  <c r="AK40" i="1" s="1"/>
  <c r="AK37" i="1"/>
  <c r="AK35" i="1"/>
  <c r="AK33" i="1"/>
  <c r="AN38" i="1"/>
  <c r="AN36" i="1"/>
  <c r="AN34" i="1"/>
  <c r="AN32" i="1"/>
  <c r="AM38" i="1"/>
  <c r="AM36" i="1"/>
  <c r="AM34" i="1"/>
  <c r="AM32" i="1"/>
  <c r="I32" i="1"/>
  <c r="AK32" i="1" s="1"/>
  <c r="AK38" i="1"/>
  <c r="AK34" i="1"/>
  <c r="AL37" i="1"/>
  <c r="AL35" i="1"/>
  <c r="AL33" i="1"/>
  <c r="AL38" i="1"/>
  <c r="AL36" i="1"/>
  <c r="AL34" i="1"/>
  <c r="AL32" i="1"/>
  <c r="AK36" i="1"/>
  <c r="AM37" i="1"/>
  <c r="AM35" i="1"/>
  <c r="AM33" i="1"/>
  <c r="AN37" i="1"/>
  <c r="AN35" i="1"/>
  <c r="AN33" i="1"/>
  <c r="C10" i="1"/>
  <c r="C9" i="1"/>
  <c r="P29" i="1"/>
  <c r="C6" i="7"/>
  <c r="G19" i="1"/>
  <c r="I28" i="1"/>
  <c r="I20" i="1"/>
  <c r="AK20" i="1" s="1"/>
  <c r="F1" i="4"/>
  <c r="C7" i="1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G25" i="4" a="1"/>
  <c r="G49" i="4" a="1"/>
  <c r="G21" i="4" a="1"/>
  <c r="G39" i="4" a="1"/>
  <c r="G54" i="4" a="1"/>
  <c r="G44" i="4" a="1"/>
  <c r="G50" i="4" a="1"/>
  <c r="G36" i="4" a="1"/>
  <c r="G46" i="4" a="1"/>
  <c r="G20" i="4" a="1"/>
  <c r="G43" i="4" a="1"/>
  <c r="G56" i="4" a="1"/>
  <c r="G23" i="4" a="1"/>
  <c r="M6" i="4" a="1"/>
  <c r="E19" i="4" a="1"/>
  <c r="G40" i="4" a="1"/>
  <c r="G41" i="4" a="1"/>
  <c r="G28" i="4" a="1"/>
  <c r="G31" i="4" a="1"/>
  <c r="G32" i="4" a="1"/>
  <c r="G33" i="4" a="1"/>
  <c r="G22" i="4" a="1"/>
  <c r="G57" i="4" a="1"/>
  <c r="G53" i="4" a="1"/>
  <c r="G30" i="4" a="1"/>
  <c r="G51" i="4" a="1"/>
  <c r="I32" i="4" a="1"/>
  <c r="G45" i="4" a="1"/>
  <c r="I19" i="4" a="1"/>
  <c r="G34" i="4" a="1"/>
  <c r="G47" i="4" a="1"/>
  <c r="G55" i="4" a="1"/>
  <c r="G27" i="4" a="1"/>
  <c r="G38" i="4" a="1"/>
  <c r="G24" i="4" a="1"/>
  <c r="G26" i="4" a="1"/>
  <c r="G42" i="4" a="1"/>
  <c r="G52" i="4" a="1"/>
  <c r="G37" i="4" a="1"/>
  <c r="P30" i="1" a="1"/>
  <c r="G48" i="4" a="1"/>
  <c r="G29" i="4" a="1"/>
  <c r="I29" i="1" a="1"/>
  <c r="G35" i="4" a="1"/>
  <c r="C12" i="1" l="1"/>
  <c r="C13" i="1"/>
  <c r="C11" i="1"/>
  <c r="E19" i="4"/>
  <c r="P30" i="1"/>
  <c r="AR30" i="1" s="1"/>
  <c r="M6" i="4"/>
  <c r="C5" i="4" s="1"/>
  <c r="G45" i="4"/>
  <c r="G36" i="4"/>
  <c r="G20" i="4"/>
  <c r="G31" i="4"/>
  <c r="G26" i="4"/>
  <c r="G41" i="4"/>
  <c r="G24" i="4"/>
  <c r="G23" i="4"/>
  <c r="G54" i="4"/>
  <c r="G22" i="4"/>
  <c r="G37" i="4"/>
  <c r="G27" i="4"/>
  <c r="G55" i="4"/>
  <c r="G50" i="4"/>
  <c r="I19" i="4"/>
  <c r="G33" i="4"/>
  <c r="G56" i="4"/>
  <c r="G51" i="4"/>
  <c r="G46" i="4"/>
  <c r="G21" i="4"/>
  <c r="G48" i="4"/>
  <c r="G42" i="4"/>
  <c r="G40" i="4"/>
  <c r="G43" i="4"/>
  <c r="G57" i="4"/>
  <c r="G53" i="4"/>
  <c r="G52" i="4"/>
  <c r="G32" i="4"/>
  <c r="G39" i="4"/>
  <c r="G34" i="4"/>
  <c r="I32" i="4"/>
  <c r="G49" i="4"/>
  <c r="G44" i="4"/>
  <c r="G28" i="4"/>
  <c r="G35" i="4"/>
  <c r="G30" i="4"/>
  <c r="G29" i="4"/>
  <c r="G47" i="4"/>
  <c r="G25" i="4"/>
  <c r="G38" i="4"/>
  <c r="I29" i="1"/>
  <c r="AK29" i="1" s="1"/>
  <c r="AR47" i="1"/>
  <c r="AS50" i="1"/>
  <c r="AR54" i="1"/>
  <c r="AS53" i="1"/>
  <c r="AR53" i="1"/>
  <c r="AS56" i="1"/>
  <c r="AR60" i="1"/>
  <c r="AS59" i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C3" i="1"/>
  <c r="C4" i="1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AL29" i="1"/>
  <c r="AM30" i="1"/>
  <c r="AP30" i="1"/>
  <c r="AM29" i="1"/>
  <c r="AN29" i="1"/>
  <c r="AO30" i="1"/>
  <c r="AP29" i="1"/>
  <c r="AN30" i="1"/>
  <c r="AL30" i="1"/>
  <c r="AO29" i="1"/>
  <c r="AK30" i="1"/>
  <c r="G19" i="4" a="1"/>
  <c r="I33" i="4" a="1"/>
  <c r="I38" i="4" a="1"/>
  <c r="I28" i="4" a="1"/>
  <c r="I42" i="4" a="1"/>
  <c r="I20" i="4" a="1"/>
  <c r="I20" i="4" l="1"/>
  <c r="AE20" i="4" s="1"/>
  <c r="I42" i="4"/>
  <c r="I38" i="4"/>
  <c r="I33" i="4"/>
  <c r="G19" i="4"/>
  <c r="I28" i="4"/>
  <c r="C8" i="1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AF26" i="4"/>
  <c r="AJ22" i="4"/>
  <c r="AB19" i="4"/>
  <c r="AA19" i="4"/>
  <c r="C6" i="1"/>
  <c r="I29" i="4" a="1"/>
  <c r="I43" i="4" a="1"/>
  <c r="I34" i="4" a="1"/>
  <c r="I39" i="4" a="1"/>
  <c r="I29" i="4" l="1"/>
  <c r="AE29" i="4" s="1"/>
  <c r="I34" i="4"/>
  <c r="AE34" i="4" s="1"/>
  <c r="I39" i="4"/>
  <c r="AE39" i="4" s="1"/>
  <c r="I43" i="4"/>
  <c r="AE43" i="4" s="1"/>
  <c r="C9" i="4" s="1"/>
  <c r="AI40" i="4"/>
  <c r="AG39" i="4"/>
  <c r="AF40" i="4"/>
  <c r="AI39" i="4"/>
  <c r="AJ40" i="4"/>
  <c r="AH39" i="4"/>
  <c r="AH40" i="4"/>
  <c r="AF39" i="4"/>
  <c r="AG40" i="4"/>
  <c r="AE40" i="4"/>
  <c r="AJ39" i="4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C3" i="4"/>
  <c r="AI30" i="4"/>
  <c r="AH30" i="4"/>
  <c r="AG30" i="4"/>
  <c r="AJ29" i="4"/>
  <c r="AF30" i="4"/>
  <c r="AI29" i="4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<sst xmlns="http://schemas.openxmlformats.org/spreadsheetml/2006/main" count="770" uniqueCount="192">
  <si>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</si>
  <si>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</si>
  <si>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</si>
  <si>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</si>
  <si>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</si>
  <si>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</si>
  <si>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</si>
  <si>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</si>
  <si>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</si>
  <si>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</si>
  <si>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</si>
  <si>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</si>
  <si>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</si>
  <si>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</si>
  <si>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</si>
  <si>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</si>
  <si>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</si>
  <si>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</si>
  <si>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</si>
  <si>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</si>
  <si>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</si>
  <si>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</si>
  <si>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</si>
  <si>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</si>
  <si>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</si>
  <si>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</si>
  <si>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</si>
  <si>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</si>
  <si>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</si>
  <si>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</si>
  <si>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</si>
  <si>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</si>
  <si>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</si>
  <si>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</si>
  <si>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</si>
  <si>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</si>
  <si>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</si>
  <si>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</si>
  <si>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</si>
  <si>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</si>
  <si>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</si>
  <si>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</si>
  <si>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</si>
  <si>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</si>
  <si>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</si>
  <si>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</si>
  <si>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</si>
  <si>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</si>
  <si>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</si>
  <si>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</si>
  <si>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</si>
  <si>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</si>
  <si>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</si>
  <si>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</si>
  <si>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</si>
  <si>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</si>
  <si>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</si>
  <si>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</si>
  <si>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</si>
  <si>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</si>
  <si>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</si>
  <si>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</si>
  <si>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</si>
  <si>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</si>
  <si>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</si>
  <si>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</si>
  <si>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</si>
  <si>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</si>
  <si>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</si>
  <si>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</si>
  <si>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</si>
  <si>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</si>
  <si>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</si>
  <si>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</si>
  <si>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</si>
  <si>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</si>
  <si>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</si>
  <si>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</si>
  <si>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</si>
  <si>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</si>
  <si>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</si>
  <si>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</si>
  <si>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</si>
  <si>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</si>
  <si>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</si>
  <si>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</si>
  <si>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</si>
  <si>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</si>
  <si>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</si>
  <si>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</si>
  <si>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</si>
  <si>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</si>
  <si>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</si>
  <si>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</si>
  <si>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client0</t>
    <phoneticPr fontId="1"/>
  </si>
  <si>
    <t>keyvalues1</t>
    <phoneticPr fontId="1"/>
  </si>
  <si>
    <t>table3</t>
    <phoneticPr fontId="1"/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</si>
  <si>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</si>
  <si>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</si>
  <si>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</si>
  <si>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</si>
  <si>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</si>
  <si>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</si>
  <si>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</si>
  <si>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</si>
  <si>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</si>
  <si>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</si>
  <si>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</si>
  <si>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</si>
  <si>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</si>
  <si>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</si>
  <si>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</si>
  <si>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</si>
  <si>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</si>
  <si>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</si>
  <si>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</si>
  <si>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</si>
  <si>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</si>
  <si>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</si>
  <si>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</si>
  <si>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</si>
  <si>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</si>
  <si>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</si>
  <si>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</si>
  <si>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</si>
  <si>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</si>
  <si>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</si>
  <si>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</si>
  <si>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</si>
  <si>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</si>
  <si>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</si>
  <si>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</si>
  <si>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</si>
  <si>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</si>
  <si>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</si>
  <si>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</si>
  <si>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</si>
  <si>
    <t>id</t>
    <phoneticPr fontId="1"/>
  </si>
  <si>
    <t>socket</t>
    <phoneticPr fontId="1"/>
  </si>
  <si>
    <t>receive</t>
    <phoneticPr fontId="1"/>
  </si>
  <si>
    <t>send 0</t>
    <phoneticPr fontId="1"/>
  </si>
  <si>
    <t>send 1</t>
    <phoneticPr fontId="1"/>
  </si>
  <si>
    <t>client1</t>
  </si>
  <si>
    <t>client2</t>
  </si>
  <si>
    <t>client3</t>
  </si>
  <si>
    <t>client4</t>
  </si>
  <si>
    <t>message</t>
    <phoneticPr fontId="1"/>
  </si>
  <si>
    <t>docker run -p 80:80 kennethreitz/httpbin</t>
  </si>
  <si>
    <t>http://localhost:80/get</t>
  </si>
  <si>
    <t>ExLibris.Core.WebAPIs.Response:0F1A2DAA-0698-4A05-83B0-2DBCCA39985A</t>
  </si>
  <si>
    <t>http://localhost:80/post</t>
  </si>
  <si>
    <t>ExLibris.Core.WebAPIs.Response:5407E2E5-A3DE-4431-8264-B500336C6C03</t>
  </si>
  <si>
    <t>http://localhost:80/bearer</t>
  </si>
  <si>
    <t>ExLibris.Core.WebAPIs.Response:EF165471-5C1F-4F20-BD88-F0C49317B72E</t>
  </si>
  <si>
    <t xml:space="preserve">{
  "authenticated": true, 
  "token": "XXX11111222223333444444"
}
</t>
  </si>
  <si>
    <t>ExLibris.Core.WebAPIs.Response:9EF9FE5D-DFD7-4434-B0E6-25A1993F2B9A</t>
  </si>
  <si>
    <t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t>
  </si>
  <si>
    <t>ExLibris.Core.WebAPIs.Response:6699A287-7A23-43FB-823A-8AA3BC6F0EC5</t>
  </si>
  <si>
    <t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t>
  </si>
  <si>
    <t>http://localhost:80/post?currency_pair.left=USD&amp;currency_pair.right=JPY&amp;strike=108.5&amp;call_or_put=CALL&amp;buy_or_sell=SELL&amp;date=44463</t>
  </si>
  <si>
    <t>ExLibris.Core.WebAPIs.Response:115347C9-8C29-4BDA-90DC-C02A450124DE</t>
  </si>
  <si>
    <t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t>
  </si>
  <si>
    <t>http://localhost:80/get?currency_pair.left=USD&amp;currency_pair.right=JPY&amp;strike=108.5&amp;call_or_put=CALL&amp;buy_or_sell=SELL&amp;date=44463</t>
  </si>
  <si>
    <t>ExLibris.Core.WebAPIs.Response:92C25233-3764-4E1B-8C73-9DF86C200743</t>
  </si>
  <si>
    <t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t>
  </si>
  <si>
    <t>http://localhost:80/delay/10</t>
  </si>
  <si>
    <t>ExLibris.Core.WebAPIs.Response:188035AE-50E0-4C2F-964B-39CD30B3F673</t>
  </si>
  <si>
    <t>ok/ng</t>
    <phoneticPr fontId="1"/>
  </si>
  <si>
    <t xml:space="preserve">{
  "args": {}, 
  "headers": {
    "Host": "localhost"
  }, 
  "origin": "172.17.0.1", 
  "url": "http://localhost/get"
}
</t>
  </si>
  <si>
    <t xml:space="preserve">{
  "args": {}, 
  "data": "", 
  "files": {}, 
  "form": {}, 
  "headers": {
    "Host": "localhost"
  }, 
  "origin": "172.17.0.1", 
  "url": "http://localhost/delay/10"
}
</t>
  </si>
  <si>
    <t xml:space="preserve">{
  "args": {}, 
  "data": "", 
  "files": {}, 
  "form": {}, 
  "headers": {
    "Content-Length": "0", 
    "Host": "localhost"
  }, 
  "json": null, 
  "origin": "172.17.0.1", 
  "url": "http://localhost/post"
}
</t>
  </si>
  <si>
    <t>keyvalues2</t>
    <phoneticPr fontId="1"/>
  </si>
  <si>
    <t>keyvalues3</t>
    <phoneticPr fontId="1"/>
  </si>
  <si>
    <t>table4</t>
    <phoneticPr fontId="1"/>
  </si>
  <si>
    <t>amount</t>
  </si>
  <si>
    <t>amount</t>
    <phoneticPr fontId="1"/>
  </si>
  <si>
    <t>fixed_leg.cashflows.[0].amount</t>
  </si>
  <si>
    <t>fixed_leg.cashflows.[1].amount</t>
  </si>
  <si>
    <t>fixed_leg.cashflows.[2].amount</t>
  </si>
  <si>
    <t>fixed_leg.cashflows.[3].amount</t>
  </si>
  <si>
    <t>fixed_leg.cashflows.[4].amount</t>
  </si>
  <si>
    <t>fixed_leg.cashflows.[5].amount</t>
  </si>
  <si>
    <t>{"trade_code":"money_00001","couter_party":"CP00001","fixed_leg":{"pay_or_recieve":"Receive","cashflows":[{"payment _date":44632,"start_date":44452,"end_date":44632,"day_count_type":"ACT/360","amount":10000000,"fixed_rate":0.001},{"payment _date":44812,"start_date":44632,"end_date":44812,"day_count_type":"ACT/360","amount":11000000,"fixed_rate":0.001},{"payment _date":44992,"start_date":44812,"end_date":44992,"day_count_type":"ACT/360","amount":12000000,"fixed_rate":0.001},{"payment _date":45172,"start_date":44992,"end_date":45172,"day_count_type":"ACT/360","amount":13000000,"fixed_rate":0.001},{"payment _date":45352,"start_date":45172,"end_date":45352,"day_count_type":"ACT/360","amount":14000000,"fixed_rate":0.001},{"payment _date":45532,"start_date":45352,"end_date":45532,"day_count_type":"ACT/360","amount":15000000,"fixed_rate":0.001}]}}</t>
  </si>
  <si>
    <t>fixed_leg.cashflows.[3].amount</t>
    <phoneticPr fontId="1"/>
  </si>
  <si>
    <t>expected</t>
  </si>
  <si>
    <t>result</t>
  </si>
  <si>
    <t>{"trade_code":"money_00001","couter_party":"CP00001","fixed_leg":{"pay_or_recieve":"Receive","cashflows":[{"payment _date":"2022-03-12","start_date":"2021-09-13","end_date":"2022-03-12","day_count_type":"ACT/360","amount":10000000,"fixed_rate":0.001},{"payment _date":"2022-09-08","start_date":"2022-03-12","end_date":"2022-09-08","day_count_type":"ACT/360","amount":10000000,"fixed_rate":0.0011},{"payment _date":"2023-03-07","start_date":"2022-09-08","end_date":"2023-03-07","day_count_type":"ACT/360","amount":11000000,"fixed_rate":0.0012000000000000001},{"payment _date":"2023-09-03","start_date":"2023-03-07","end_date":"2023-09-03","day_count_type":"ACT/360","amount":11000000,"fixed_rate":0.0013000000000000002},{"payment _date":"2024-03-01","start_date":"2023-09-03","end_date":"2024-03-01","day_count_type":"ACT/360","amount":12000000,"fixed_rate":0.0014000000000000002},{"payment _date":"2024-08-28","start_date":"2024-03-01","end_date":"2024-08-28","day_count_type":"ACT/360","amount":12000000,"fixed_rate":0.0015000000000000002}]}}</t>
  </si>
  <si>
    <t>table w/o keys</t>
    <phoneticPr fontId="1"/>
  </si>
  <si>
    <t>table w/o keys1</t>
    <phoneticPr fontId="1"/>
  </si>
  <si>
    <t>search j keys</t>
    <phoneticPr fontId="1"/>
  </si>
  <si>
    <t>search j keys1</t>
    <phoneticPr fontId="1"/>
  </si>
  <si>
    <t>search j keys2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</si>
</sst>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9f922355eb4a460aafcad3493cc264dc">
      <tp>
        <v>2</v>
        <stp/>
        <stp>7ebb8838-6ba0-42ae-9622-1ecccb1d8bd2</stp>
        <tr r="D7" s="3"/>
      </tp>
    </main>
    <main first="rtdsrv.9f922355eb4a460aafcad3493cc264dc">
      <tp>
        <v>1</v>
        <stp/>
        <stp>6669d3da-8862-4e01-a9b6-ddd6ca457289</stp>
        <tr r="P19" s="7"/>
      </tp>
      <tp>
        <v>2</v>
        <stp/>
        <stp>c41bec4e-d075-41b2-8eae-2c14e9fbfc5c</stp>
        <tr r="F7" s="3"/>
      </tp>
    </main>
    <main first="rtdsrv.9f922355eb4a460aafcad3493cc264dc">
      <tp>
        <v>1</v>
        <stp/>
        <stp>2ecc8472-6181-4120-8a2f-829299474761</stp>
        <tr r="G24" s="7"/>
      </tp>
    </main>
    <main first="rtdsrv.9f922355eb4a460aafcad3493cc264dc">
      <tp>
        <v>2</v>
        <stp/>
        <stp>8993b312-f9d6-4772-b3ea-2558d7a86a09</stp>
        <tr r="G32" s="4"/>
      </tp>
    </main>
    <main first="rtdsrv.9f922355eb4a460aafcad3493cc264dc">
      <tp>
        <v>2</v>
        <stp/>
        <stp>0760a530-838b-42f7-99d3-668d461de130</stp>
        <tr r="I19" s="4"/>
        <tr r="I32" s="4"/>
      </tp>
      <tp>
        <v>1</v>
        <stp/>
        <stp>b0a06d01-86a3-4ae5-8abd-eb5b674dd6e7</stp>
        <tr r="F6" s="7"/>
      </tp>
      <tp>
        <v>2</v>
        <stp/>
        <stp>99baf7c3-2d0e-4016-b3d5-0725d699b789</stp>
        <tr r="P29" s="1"/>
      </tp>
      <tp>
        <v>1</v>
        <stp/>
        <stp>5b53b769-71d9-4d0a-9368-07d8bc649979</stp>
        <tr r="G48" s="7"/>
      </tp>
      <tp>
        <v>2</v>
        <stp/>
        <stp>8547a38c-7418-42f8-b638-8e80df0e0abe</stp>
        <tr r="I28" s="1"/>
      </tp>
      <tp>
        <v>2</v>
        <stp/>
        <stp>bd01c80d-d720-442b-b464-96bfe58704f9</stp>
        <tr r="G23" s="1"/>
      </tp>
      <tp>
        <v>1</v>
        <stp/>
        <stp>6831386a-d1fb-430a-b71f-b56d5cedf9e9</stp>
        <tr r="G40" s="7"/>
      </tp>
      <tp>
        <v>2</v>
        <stp/>
        <stp>42f163ba-fd9c-4a56-9309-782f6f870d14</stp>
        <tr r="G42" s="4"/>
      </tp>
      <tp>
        <v>1</v>
        <stp/>
        <stp>cb65d8a1-f10c-4262-a63a-bfc711ee11a0</stp>
        <tr r="H7" s="3"/>
      </tp>
    </main>
    <main first="rtdsrv.9f922355eb4a460aafcad3493cc264dc">
      <tp>
        <v>2</v>
        <stp/>
        <stp>995839ca-6682-4af1-97bc-0feedad8f869</stp>
        <tr r="G57" s="1"/>
      </tp>
    </main>
    <main first="rtdsrv.9f922355eb4a460aafcad3493cc264dc">
      <tp>
        <v>2</v>
        <stp/>
        <stp>e5dab5e0-3902-4a2f-8d93-362ac006f01e</stp>
        <tr r="G25" s="4"/>
      </tp>
      <tp>
        <v>1</v>
        <stp/>
        <stp>477aa592-b0c2-4084-8931-f6edc3942840</stp>
        <tr r="G44" s="7"/>
      </tp>
    </main>
    <main first="rtdsrv.9f922355eb4a460aafcad3493cc264dc">
      <tp>
        <v>2</v>
        <stp/>
        <stp>433f3ab4-4e92-431c-8679-0a0d606ed9db</stp>
        <tr r="H5" s="5"/>
      </tp>
    </main>
    <main first="rtdsrv.9f922355eb4a460aafcad3493cc264dc">
      <tp>
        <v>2</v>
        <stp/>
        <stp>cdfdd163-ff78-430f-b943-e8eb01ffc537</stp>
        <tr r="G52" s="1"/>
      </tp>
      <tp>
        <v>2</v>
        <stp/>
        <stp>3dbebeaf-6715-4bb8-b7ff-f8a68433b82a</stp>
        <tr r="G21" s="1"/>
      </tp>
      <tp>
        <v>2</v>
        <stp/>
        <stp>68f73b4f-6182-4f4a-989c-d84f57289f61</stp>
        <tr r="C2" s="2"/>
      </tp>
      <tp>
        <v>1</v>
        <stp/>
        <stp>dc8b197c-14d3-4a9c-9f3b-f7a8f5894ddf</stp>
        <tr r="G26" s="7"/>
      </tp>
    </main>
    <main first="rtdsrv.9f922355eb4a460aafcad3493cc264dc">
      <tp>
        <v>1</v>
        <stp/>
        <stp>2cb299d6-5e05-4866-8528-a200a5f141e5</stp>
        <tr r="G46" s="7"/>
      </tp>
    </main>
    <main first="rtdsrv.9f922355eb4a460aafcad3493cc264dc">
      <tp>
        <v>2</v>
        <stp/>
        <stp>e13f0c60-d661-47ef-92f7-0283aa42b958</stp>
        <tr r="G50" s="4"/>
      </tp>
    </main>
    <main first="rtdsrv.9f922355eb4a460aafcad3493cc264dc">
      <tp>
        <v>2</v>
        <stp/>
        <stp>9c7755c5-f9d3-4731-a49a-1e0e99c718f7</stp>
        <tr r="G55" s="4"/>
      </tp>
      <tp>
        <v>2</v>
        <stp/>
        <stp>995fb0a8-983f-49f9-89fe-d153723740ab</stp>
        <tr r="G45" s="4"/>
      </tp>
      <tp>
        <v>2</v>
        <stp/>
        <stp>57209b33-4dda-4149-a547-ea935cdf12a3</stp>
        <tr r="G42" s="1"/>
      </tp>
      <tp>
        <v>2</v>
        <stp/>
        <stp>04d925c2-47bd-43cc-b5d3-2d071067792f</stp>
        <tr r="I28" s="4"/>
      </tp>
    </main>
    <main first="rtdsrv.9f922355eb4a460aafcad3493cc264dc">
      <tp>
        <v>1</v>
        <stp/>
        <stp>c42ea80b-5ad1-43ac-87d5-e1947a14c1e9</stp>
        <tr r="H6" s="3"/>
      </tp>
    </main>
    <main first="rtdsrv.9f922355eb4a460aafcad3493cc264dc">
      <tp>
        <v>2</v>
        <stp/>
        <stp>ad4952ed-7b47-45a5-af79-b88bcfbdab5a</stp>
        <tr r="B2" s="6"/>
      </tp>
    </main>
    <main first="rtdsrv.9f922355eb4a460aafcad3493cc264dc">
      <tp>
        <v>2</v>
        <stp/>
        <stp>db9b7c92-ee94-46d7-b0f2-7456b86d5f66</stp>
        <tr r="G48" s="4"/>
      </tp>
      <tp>
        <v>1</v>
        <stp/>
        <stp>5ea14aa8-8318-474c-b6aa-22ef827b1ab4</stp>
        <tr r="G54" s="7"/>
      </tp>
      <tp>
        <v>2</v>
        <stp/>
        <stp>56ba4d04-e573-427c-b94a-622074ea6935</stp>
        <tr r="I19" s="1"/>
      </tp>
    </main>
    <main first="rtdsrv.9f922355eb4a460aafcad3493cc264dc">
      <tp>
        <v>2</v>
        <stp/>
        <stp>2302535c-a613-49ad-97e7-f095765c39eb</stp>
        <tr r="D6" s="3"/>
      </tp>
      <tp>
        <v>2</v>
        <stp/>
        <stp>78e833bd-82c6-48e8-99e4-00847639d7c5</stp>
        <tr r="G36" s="1"/>
      </tp>
    </main>
    <main first="rtdsrv.9f922355eb4a460aafcad3493cc264dc">
      <tp>
        <v>1</v>
        <stp/>
        <stp>0b2f0b21-36da-444a-9d63-727b71c2e9f8</stp>
        <tr r="G30" s="7"/>
      </tp>
      <tp>
        <v>2</v>
        <stp/>
        <stp>5215cab6-9f18-4940-abba-e3368bffd734</stp>
        <tr r="D40" s="5"/>
      </tp>
    </main>
    <main first="rtdsrv.9f922355eb4a460aafcad3493cc264dc">
      <tp>
        <v>2</v>
        <stp/>
        <stp>4f0e8fb3-9728-490c-94e3-2ca34f830d5d</stp>
        <tr r="G40" s="4"/>
      </tp>
    </main>
    <main first="rtdsrv.9f922355eb4a460aafcad3493cc264dc">
      <tp>
        <v>2</v>
        <stp/>
        <stp>daa3629d-ff24-4b8e-bf1e-569319918082</stp>
        <tr r="G21" s="4"/>
      </tp>
    </main>
    <main first="rtdsrv.9f922355eb4a460aafcad3493cc264dc">
      <tp>
        <v>2</v>
        <stp/>
        <stp>df12a5a9-e73d-4c30-91ac-107cdb348d68</stp>
        <tr r="G48" s="1"/>
      </tp>
    </main>
    <main first="rtdsrv.9f922355eb4a460aafcad3493cc264dc">
      <tp>
        <v>1</v>
        <stp/>
        <stp>7ee1146a-0ccd-4f63-a50e-7fbd5da4611d</stp>
        <tr r="G37" s="7"/>
      </tp>
    </main>
    <main first="rtdsrv.9f922355eb4a460aafcad3493cc264dc">
      <tp>
        <v>1</v>
        <stp/>
        <stp>fdb1de70-2ae9-462e-9413-8768a83b19ce</stp>
        <tr r="G20" s="7"/>
      </tp>
    </main>
    <main first="rtdsrv.9f922355eb4a460aafcad3493cc264dc">
      <tp>
        <v>2</v>
        <stp/>
        <stp>cbde5555-0943-4f45-853b-5e6f3d64d1a7</stp>
        <tr r="G26" s="4"/>
      </tp>
    </main>
    <main first="rtdsrv.9f922355eb4a460aafcad3493cc264dc">
      <tp>
        <v>2</v>
        <stp/>
        <stp>8f576717-4b82-46f4-b80c-a3e61cccba68</stp>
        <tr r="C10" s="6"/>
      </tp>
      <tp>
        <v>2</v>
        <stp/>
        <stp>3c9362ec-56f9-4ba4-a5c6-fd93fa64dfbf</stp>
        <tr r="G37" s="1"/>
      </tp>
    </main>
    <main first="rtdsrv.9f922355eb4a460aafcad3493cc264dc">
      <tp>
        <v>2</v>
        <stp/>
        <stp>b8ccc25a-da30-4aac-9f26-18c483d0add8</stp>
        <tr r="G53" s="1"/>
      </tp>
      <tp>
        <v>1</v>
        <stp/>
        <stp>2f7c685b-b664-4499-85bc-1696717db076</stp>
        <tr r="G23" s="7"/>
      </tp>
      <tp>
        <v>2</v>
        <stp/>
        <stp>fcd5d201-a940-43bd-a6b8-2a8de5b6d2ea</stp>
        <tr r="G36" s="4"/>
      </tp>
    </main>
    <main first="rtdsrv.9f922355eb4a460aafcad3493cc264dc">
      <tp>
        <v>2</v>
        <stp/>
        <stp>803683f7-3041-498c-9414-4b362c7910b3</stp>
        <tr r="D8" s="3"/>
      </tp>
      <tp>
        <v>2</v>
        <stp/>
        <stp>0e24a166-d730-4392-b95b-12e502766d6c</stp>
        <tr r="P67" s="1"/>
      </tp>
      <tp>
        <v>2</v>
        <stp/>
        <stp>15f3c6a0-a64b-41df-ba60-0434a4b87abe</stp>
        <tr r="G32" s="1"/>
      </tp>
    </main>
    <main first="rtdsrv.9f922355eb4a460aafcad3493cc264dc">
      <tp>
        <v>1</v>
        <stp/>
        <stp>fec72401-a63f-4cab-b615-801fe27c52d6</stp>
        <tr r="I19" s="7"/>
      </tp>
    </main>
    <main first="rtdsrv.9f922355eb4a460aafcad3493cc264dc">
      <tp>
        <v>2</v>
        <stp/>
        <stp>c7c64d70-f1cb-43b3-ae74-8dc672208400</stp>
        <tr r="G23" s="4"/>
      </tp>
      <tp>
        <v>2</v>
        <stp/>
        <stp>1c7cbff1-54d3-48ee-9e7f-9c7fc79c8e2b</stp>
        <tr r="G47" s="1"/>
      </tp>
      <tp>
        <v>2</v>
        <stp/>
        <stp>5e388af4-f79c-4abb-89a8-435c4e4fadff</stp>
        <tr r="F1" s="1"/>
      </tp>
      <tp>
        <v>1</v>
        <stp/>
        <stp>240c729d-61e1-4d4b-9982-23423985d3aa</stp>
        <tr r="G36" s="7"/>
      </tp>
    </main>
    <main first="rtdsrv.9f922355eb4a460aafcad3493cc264dc">
      <tp>
        <v>2</v>
        <stp/>
        <stp>8307eda4-c45f-4dce-8f60-95f4e0a41174</stp>
        <tr r="G33" s="4"/>
      </tp>
      <tp>
        <v>1</v>
        <stp/>
        <stp>5a193ba9-9b86-4ae9-8aa0-ba69245f3dac</stp>
        <tr r="G6" s="3"/>
      </tp>
      <tp>
        <v>2</v>
        <stp/>
        <stp>3e05a3a4-989e-45f7-a28c-64f19a44ff65</stp>
        <tr r="G24" s="4"/>
      </tp>
    </main>
    <main first="rtdsrv.9f922355eb4a460aafcad3493cc264dc">
      <tp>
        <v>2</v>
        <stp/>
        <stp>bb4833a7-1666-4c92-9430-c183fae24be1</stp>
        <tr r="G44" s="1"/>
      </tp>
      <tp>
        <v>1</v>
        <stp/>
        <stp>b2b1bf63-7fb4-4d5e-8f7a-fea3536f252b</stp>
        <tr r="G21" s="7"/>
      </tp>
    </main>
    <main first="rtdsrv.9f922355eb4a460aafcad3493cc264dc">
      <tp>
        <v>2</v>
        <stp/>
        <stp>d0b57d8e-555c-4a01-aabd-fa1bd0c431d8</stp>
        <tr r="F5" s="3"/>
      </tp>
      <tp>
        <v>1</v>
        <stp/>
        <stp>25c0adce-38ae-4f20-a5b0-8a2a8ac48bbe</stp>
        <tr r="G28" s="7"/>
      </tp>
      <tp>
        <v>1</v>
        <stp/>
        <stp>ae26518c-3e67-4273-b61a-37c66f7c3fa9</stp>
        <tr r="G33" s="7"/>
      </tp>
    </main>
    <main first="rtdsrv.9f922355eb4a460aafcad3493cc264dc">
      <tp>
        <v>2</v>
        <stp/>
        <stp>70b48272-e2b3-4e4a-b7ea-5504340d20a4</stp>
        <tr r="G47" s="4"/>
      </tp>
      <tp>
        <v>2</v>
        <stp/>
        <stp>475354b7-f48d-4e70-89ed-511a96508ee1</stp>
        <tr r="G51" s="1"/>
      </tp>
      <tp>
        <v>2</v>
        <stp/>
        <stp>08190926-bf21-405b-b5ce-19e1684bd14c</stp>
        <tr r="D15" s="5"/>
      </tp>
      <tp>
        <v>2</v>
        <stp/>
        <stp>89d747ba-af11-4d9e-9b8e-cf6e875901e2</stp>
        <tr r="G34" s="4"/>
      </tp>
      <tp>
        <v>1</v>
        <stp/>
        <stp>6b0168c5-2fda-4ab0-ad14-c1acb35ba94c</stp>
        <tr r="H8" s="3"/>
      </tp>
      <tp>
        <v>2</v>
        <stp/>
        <stp>0d414937-c66a-4def-ba44-795dc0e88752</stp>
        <tr r="F6" s="1"/>
      </tp>
    </main>
    <main first="rtdsrv.9f922355eb4a460aafcad3493cc264dc">
      <tp>
        <v>2</v>
        <stp/>
        <stp>019d87ed-136c-42f7-ab2d-ac7dc48d201f</stp>
        <tr r="P74" s="1"/>
      </tp>
    </main>
    <main first="rtdsrv.9f922355eb4a460aafcad3493cc264dc">
      <tp>
        <v>2</v>
        <stp/>
        <stp>2fb12de2-add8-4fbf-bd7d-a226f4d7aad5</stp>
        <tr r="G33" s="1"/>
      </tp>
      <tp>
        <v>2</v>
        <stp/>
        <stp>f773e81f-8d01-4910-9a20-bbaa81ec73b6</stp>
        <tr r="D25" s="5"/>
      </tp>
    </main>
    <main first="rtdsrv.9f922355eb4a460aafcad3493cc264dc">
      <tp>
        <v>2</v>
        <stp/>
        <stp>3d64c1e8-d48b-4cc2-aee1-2a1c7ea1b756</stp>
        <tr r="F4" s="3"/>
      </tp>
    </main>
    <main first="rtdsrv.9f922355eb4a460aafcad3493cc264dc">
      <tp>
        <v>2</v>
        <stp/>
        <stp>1a027139-3492-47c1-b0d7-9108bf8e7484</stp>
        <tr r="G19" s="1"/>
      </tp>
      <tp>
        <v>2</v>
        <stp/>
        <stp>86ed40c9-b8c8-4a84-9748-f21b4e089f97</stp>
        <tr r="G56" s="4"/>
      </tp>
      <tp>
        <v>2</v>
        <stp/>
        <stp>3012be9d-9df9-425f-93ee-4f0d7df388b1</stp>
        <tr r="F6" s="4"/>
      </tp>
      <tp>
        <v>2</v>
        <stp/>
        <stp>aeafa194-9468-4a06-8afe-18ae4d5f94af</stp>
        <tr r="F6" s="3"/>
      </tp>
      <tp>
        <v>2</v>
        <stp/>
        <stp>7c1129fd-ab23-4ac3-bf9e-4386a6cc6a01</stp>
        <tr r="G54" s="4"/>
      </tp>
    </main>
    <main first="rtdsrv.9f922355eb4a460aafcad3493cc264dc">
      <tp>
        <v>2</v>
        <stp/>
        <stp>3edbb57d-6975-46c7-b6fe-612facd930a0</stp>
        <tr r="G20" s="4"/>
      </tp>
      <tp>
        <v>2</v>
        <stp/>
        <stp>33378f0c-bb5b-4d06-87b1-660321e451b1</stp>
        <tr r="P19" s="1"/>
      </tp>
      <tp>
        <v>2</v>
        <stp/>
        <stp>fadd34c0-e3e6-4523-90ee-a9a4a81ea2d5</stp>
        <tr r="I33" s="4"/>
      </tp>
    </main>
    <main first="rtdsrv.9f922355eb4a460aafcad3493cc264dc">
      <tp>
        <v>1</v>
        <stp/>
        <stp>bf7dd86b-0045-4290-b617-063cc9d274b3</stp>
        <tr r="H4" s="3"/>
      </tp>
      <tp>
        <v>2</v>
        <stp/>
        <stp>9e0a75cf-241f-4ced-a244-ba1ad43c73cc</stp>
        <tr r="G43" s="1"/>
      </tp>
      <tp>
        <v>1</v>
        <stp/>
        <stp>d05e3724-8701-4d24-8511-d578db403926</stp>
        <tr r="G19" s="7"/>
      </tp>
    </main>
    <main first="rtdsrv.9f922355eb4a460aafcad3493cc264dc">
      <tp>
        <v>2</v>
        <stp/>
        <stp>fcb64da1-2ddb-4290-8416-8e8846a64321</stp>
        <tr r="G38" s="1"/>
      </tp>
    </main>
    <main first="rtdsrv.9f922355eb4a460aafcad3493cc264dc">
      <tp>
        <v>1</v>
        <stp/>
        <stp>0730a0b7-e728-46e7-95cd-5fc5ba776e35</stp>
        <tr r="G57" s="7"/>
      </tp>
    </main>
    <main first="rtdsrv.9f922355eb4a460aafcad3493cc264dc">
      <tp>
        <v>2</v>
        <stp/>
        <stp>41a24d95-4126-4dfb-90be-be2af5e6de77</stp>
        <tr r="G46" s="4"/>
      </tp>
    </main>
    <main first="rtdsrv.9f922355eb4a460aafcad3493cc264dc">
      <tp>
        <v>2</v>
        <stp/>
        <stp>19cf0b44-d792-4f24-926e-d48a29434db9</stp>
        <tr r="G39" s="1"/>
      </tp>
    </main>
    <main first="rtdsrv.9f922355eb4a460aafcad3493cc264dc">
      <tp>
        <v>2</v>
        <stp/>
        <stp>49653042-0553-4c87-b5ac-18f6b2d0c2b2</stp>
        <tr r="G22" s="1"/>
      </tp>
    </main>
    <main first="rtdsrv.9f922355eb4a460aafcad3493cc264dc">
      <tp>
        <v>1</v>
        <stp/>
        <stp>8ca77969-fc29-4d2d-8bd7-da9c8900d348</stp>
        <tr r="G25" s="7"/>
      </tp>
    </main>
    <main first="rtdsrv.9f922355eb4a460aafcad3493cc264dc">
      <tp>
        <v>1</v>
        <stp/>
        <stp>2e6fb1d4-0b6b-4c6a-81c1-dbcdc141eb5e</stp>
        <tr r="H5" s="3"/>
      </tp>
    </main>
    <main first="rtdsrv.9f922355eb4a460aafcad3493cc264dc">
      <tp>
        <v>2</v>
        <stp/>
        <stp>bf4af6f3-ae66-49a5-a9fb-117a9b8fbf61</stp>
        <tr r="D20" s="5"/>
      </tp>
    </main>
    <main first="rtdsrv.9f922355eb4a460aafcad3493cc264dc">
      <tp>
        <v>2</v>
        <stp/>
        <stp>dcc5011a-20b8-4ac8-8b8a-be3f10951c5a</stp>
        <tr r="I42" s="4"/>
      </tp>
      <tp>
        <v>2</v>
        <stp/>
        <stp>cf998eac-2c1e-45db-824b-f02229e61851</stp>
        <tr r="G19" s="4"/>
      </tp>
      <tp>
        <v>2</v>
        <stp/>
        <stp>47ab0ae1-4304-42c0-9c37-520a1492f138</stp>
        <tr r="G31" s="1"/>
      </tp>
      <tp>
        <v>1</v>
        <stp/>
        <stp>8e347d22-ce8d-4a5c-ac7b-ac3754b5c711</stp>
        <tr r="I28" s="7"/>
      </tp>
      <tp>
        <v>1</v>
        <stp/>
        <stp>53643a43-006c-45cd-84bb-70528028724a</stp>
        <tr r="G41" s="7"/>
      </tp>
    </main>
    <main first="rtdsrv.9f922355eb4a460aafcad3493cc264dc">
      <tp>
        <v>1</v>
        <stp/>
        <stp>41dcd4f1-2c0e-4e72-8abe-7cb66c2de187</stp>
        <tr r="G45" s="7"/>
      </tp>
      <tp>
        <v>2</v>
        <stp/>
        <stp>20c992c1-0565-468b-b3b1-80322aee5596</stp>
        <tr r="D45" s="5"/>
      </tp>
    </main>
    <main first="rtdsrv.9f922355eb4a460aafcad3493cc264dc">
      <tp>
        <v>1</v>
        <stp/>
        <stp>48c634d4-c578-4026-921c-a272c7bcbd98</stp>
        <tr r="G47" s="7"/>
      </tp>
    </main>
    <main first="rtdsrv.9f922355eb4a460aafcad3493cc264dc">
      <tp>
        <v>2</v>
        <stp/>
        <stp>8c675d13-3bf8-4688-b661-90bcf36940ae</stp>
        <tr r="G34" s="1"/>
      </tp>
      <tp>
        <v>2</v>
        <stp/>
        <stp>0c95b8dd-16c1-4a8c-ad66-2c789e66902a</stp>
        <tr r="G50" s="1"/>
      </tp>
    </main>
    <main first="rtdsrv.9f922355eb4a460aafcad3493cc264dc">
      <tp>
        <v>2</v>
        <stp/>
        <stp>41443f73-cca3-4ca8-8d2f-ffefc3f5fc2c</stp>
        <tr r="G57" s="4"/>
      </tp>
    </main>
    <main first="rtdsrv.9f922355eb4a460aafcad3493cc264dc">
      <tp>
        <v>2</v>
        <stp/>
        <stp>81af3f7a-a16a-4c02-a4b7-a9d8bc672495</stp>
        <tr r="G38" s="4"/>
      </tp>
    </main>
    <main first="rtdsrv.9f922355eb4a460aafcad3493cc264dc">
      <tp>
        <v>1</v>
        <stp/>
        <stp>5b9d5d99-764a-4cbb-a823-4eb4d525f992</stp>
        <tr r="G29" s="7"/>
      </tp>
      <tp>
        <v>2</v>
        <stp/>
        <stp>3b9f18be-6784-4351-b565-0dacd531d2a6</stp>
        <tr r="B5" s="5"/>
      </tp>
    </main>
    <main first="rtdsrv.9f922355eb4a460aafcad3493cc264dc">
      <tp>
        <v>2</v>
        <stp/>
        <stp>0546c077-1db7-42e6-a7bb-2950a6e39dc6</stp>
        <tr r="G55" s="1"/>
      </tp>
    </main>
    <main first="rtdsrv.9f922355eb4a460aafcad3493cc264dc">
      <tp>
        <v>2</v>
        <stp/>
        <stp>4cbe69f0-521d-460a-9e78-c59a7d08bc23</stp>
        <tr r="G53" s="4"/>
      </tp>
      <tp>
        <v>1</v>
        <stp/>
        <stp>9b2d395d-2d44-4585-bb7a-fa4130e2f1ac</stp>
        <tr r="G49" s="7"/>
      </tp>
    </main>
    <main first="rtdsrv.9f922355eb4a460aafcad3493cc264dc">
      <tp>
        <v>2</v>
        <stp/>
        <stp>53526bb2-34e2-46c5-a468-91c42c2c8855</stp>
        <tr r="G56" s="1"/>
      </tp>
    </main>
    <main first="rtdsrv.9f922355eb4a460aafcad3493cc264dc">
      <tp>
        <v>1</v>
        <stp/>
        <stp>8ec5ace4-ff16-4268-94e2-61fda58c32f9</stp>
        <tr r="G53" s="7"/>
      </tp>
      <tp>
        <v>2</v>
        <stp/>
        <stp>099a8a4e-b7cd-43b7-88ec-60ae6a6f439c</stp>
        <tr r="G25" s="1"/>
      </tp>
    </main>
    <main first="rtdsrv.9f922355eb4a460aafcad3493cc264dc">
      <tp>
        <v>2</v>
        <stp/>
        <stp>64d1e4a1-f00b-4955-8390-4c18712132ea</stp>
        <tr r="G26" s="1"/>
      </tp>
      <tp>
        <v>2</v>
        <stp/>
        <stp>fbb2f4c2-0281-4868-9472-1af040d5656b</stp>
        <tr r="G45" s="1"/>
      </tp>
    </main>
    <main first="rtdsrv.9f922355eb4a460aafcad3493cc264dc">
      <tp>
        <v>1</v>
        <stp/>
        <stp>5cc2ee64-f128-4738-ba1e-8052e5c5fab1</stp>
        <tr r="G8" s="3"/>
      </tp>
    </main>
    <main first="rtdsrv.9f922355eb4a460aafcad3493cc264dc">
      <tp>
        <v>2</v>
        <stp/>
        <stp>898c130c-779e-4686-9a6e-9124ccf2abcb</stp>
        <tr r="G44" s="4"/>
      </tp>
      <tp>
        <v>2</v>
        <stp/>
        <stp>29ea9ce6-c6eb-46d0-9872-24c8bf924a25</stp>
        <tr r="D50" s="5"/>
      </tp>
    </main>
    <main first="rtdsrv.9f922355eb4a460aafcad3493cc264dc">
      <tp>
        <v>1</v>
        <stp/>
        <stp>f909aec6-10a9-408e-b8d2-1e9ee481c1c7</stp>
        <tr r="G32" s="7"/>
      </tp>
    </main>
    <main first="rtdsrv.9f922355eb4a460aafcad3493cc264dc">
      <tp>
        <v>1</v>
        <stp/>
        <stp>ccaf0067-24cb-47be-b031-693a96382450</stp>
        <tr r="G50" s="7"/>
      </tp>
    </main>
    <main first="rtdsrv.9f922355eb4a460aafcad3493cc264dc">
      <tp>
        <v>1</v>
        <stp/>
        <stp>ce224ebe-552b-4d4b-b8ba-cf1d19f05f39</stp>
        <tr r="G43" s="7"/>
      </tp>
    </main>
    <main first="rtdsrv.9f922355eb4a460aafcad3493cc264dc">
      <tp>
        <v>1</v>
        <stp/>
        <stp>bc07a799-caef-4721-9edf-5a7af833d7f3</stp>
        <tr r="G39" s="7"/>
      </tp>
    </main>
    <main first="rtdsrv.9f922355eb4a460aafcad3493cc264dc">
      <tp>
        <v>2</v>
        <stp/>
        <stp>71924614-92b1-4925-a512-942e7933f897</stp>
        <tr r="G29" s="4"/>
      </tp>
      <tp>
        <v>1</v>
        <stp/>
        <stp>b9216d59-d4f1-453e-9cb3-7a247c3a131e</stp>
        <tr r="G22" s="7"/>
      </tp>
    </main>
    <main first="rtdsrv.9f922355eb4a460aafcad3493cc264dc">
      <tp>
        <v>2</v>
        <stp/>
        <stp>4556d06e-d834-46e9-bfb6-0a733d196001</stp>
        <tr r="D4" s="3"/>
      </tp>
      <tp>
        <v>1</v>
        <stp/>
        <stp>53b8652c-3c9d-419e-a7bf-172313edb999</stp>
        <tr r="G35" s="7"/>
      </tp>
      <tp>
        <v>2</v>
        <stp/>
        <stp>5fd5c613-9c34-45e1-ac9d-ebb515b95906</stp>
        <tr r="G35" s="1"/>
      </tp>
      <tp>
        <v>2</v>
        <stp/>
        <stp>c646ea16-621e-45b2-a07b-59f1dddab681</stp>
        <tr r="G28" s="4"/>
      </tp>
      <tp>
        <v>1</v>
        <stp/>
        <stp>ec0b7d6a-422a-48f8-8d19-c60612ee8140</stp>
        <tr r="G55" s="7"/>
      </tp>
    </main>
    <main first="rtdsrv.9f922355eb4a460aafcad3493cc264dc">
      <tp>
        <v>2</v>
        <stp/>
        <stp>c7618c88-ed64-4ae1-9a0f-c064066ec9d6</stp>
        <tr r="G46" s="1"/>
      </tp>
    </main>
    <main first="rtdsrv.9f922355eb4a460aafcad3493cc264dc">
      <tp>
        <v>2</v>
        <stp/>
        <stp>32f87f4c-1ed3-42fd-9573-98968e403e5d</stp>
        <tr r="G27" s="4"/>
      </tp>
    </main>
    <main first="rtdsrv.9f922355eb4a460aafcad3493cc264dc">
      <tp>
        <v>1</v>
        <stp/>
        <stp>b02c148d-be4c-4ce7-b88b-bf24662237b1</stp>
        <tr r="F1" s="7"/>
      </tp>
      <tp>
        <v>1</v>
        <stp/>
        <stp>564c5b63-020d-428c-990d-4e0581d73b4e</stp>
        <tr r="G51" s="7"/>
      </tp>
      <tp>
        <v>2</v>
        <stp/>
        <stp>95adab85-f59a-4b7f-b593-6667faeac81b</stp>
        <tr r="G40" s="1"/>
      </tp>
    </main>
    <main first="rtdsrv.9f922355eb4a460aafcad3493cc264dc">
      <tp>
        <v>1</v>
        <stp/>
        <stp>fa555033-94ea-4189-8dd6-544176d23625</stp>
        <tr r="P74" s="7"/>
      </tp>
      <tp>
        <v>1</v>
        <stp/>
        <stp>e66fe01c-bce3-4a20-bb0e-36a75cbd30f1</stp>
        <tr r="G5" s="3"/>
      </tp>
    </main>
    <main first="rtdsrv.9f922355eb4a460aafcad3493cc264dc">
      <tp>
        <v>2</v>
        <stp/>
        <stp>2a4ee318-939c-40b8-afa6-268442dad75b</stp>
        <tr r="I38" s="4"/>
      </tp>
      <tp>
        <v>1</v>
        <stp/>
        <stp>d1c91f4b-3fb7-4ce5-a705-1b1b12cfe1c0</stp>
        <tr r="P29" s="7"/>
      </tp>
      <tp>
        <v>1</v>
        <stp/>
        <stp>fc145fd2-14ba-4887-866d-922f1c28ed56</stp>
        <tr r="G38" s="7"/>
      </tp>
      <tp>
        <v>1</v>
        <stp/>
        <stp>26e36380-3c60-40b9-a86b-89b7d70ee757</stp>
        <tr r="G4" s="3"/>
      </tp>
      <tp>
        <v>2</v>
        <stp/>
        <stp>b63de922-09ff-451c-ad46-7eaa68e48537</stp>
        <tr r="F1" s="4"/>
      </tp>
      <tp>
        <v>2</v>
        <stp/>
        <stp>a09642d8-8bb7-4a6a-8862-51eb8e2579c5</stp>
        <tr r="D30" s="5"/>
      </tp>
      <tp>
        <v>2</v>
        <stp/>
        <stp>0a482d96-41a4-4ba1-a614-a55ccffa8bcd</stp>
        <tr r="G20" s="1"/>
      </tp>
      <tp>
        <v>1</v>
        <stp/>
        <stp>a5ec5587-e413-4e85-aaa9-61683183818a</stp>
        <tr r="G34" s="7"/>
      </tp>
    </main>
    <main first="rtdsrv.9f922355eb4a460aafcad3493cc264dc">
      <tp>
        <v>1</v>
        <stp/>
        <stp>5f39eabc-ebe7-489e-8b1f-6469bd10af36</stp>
        <tr r="G42" s="7"/>
      </tp>
      <tp>
        <v>2</v>
        <stp/>
        <stp>8f453966-e45e-46d6-95c2-1b3bf859e5c0</stp>
        <tr r="G24" s="1"/>
      </tp>
    </main>
    <main first="rtdsrv.9f922355eb4a460aafcad3493cc264dc">
      <tp>
        <v>2</v>
        <stp/>
        <stp>772bfb59-ef17-455c-9207-55f6ad764107</stp>
        <tr r="G54" s="1"/>
      </tp>
      <tp>
        <v>2</v>
        <stp/>
        <stp>8cf5ba78-5b0e-4428-8555-64c9d91c44a8</stp>
        <tr r="G41" s="4"/>
      </tp>
    </main>
    <main first="rtdsrv.9f922355eb4a460aafcad3493cc264dc">
      <tp>
        <v>2</v>
        <stp/>
        <stp>1e682ada-ae38-42e1-bcb8-7a9347eeacbb</stp>
        <tr r="G41" s="1"/>
      </tp>
      <tp>
        <v>1</v>
        <stp/>
        <stp>56d52d55-c592-4254-acb2-e0fddb900696</stp>
        <tr r="G56" s="7"/>
      </tp>
    </main>
    <main first="rtdsrv.9f922355eb4a460aafcad3493cc264dc">
      <tp>
        <v>2</v>
        <stp/>
        <stp>10a66bf7-5650-4fbf-8597-f1495909a390</stp>
        <tr r="G49" s="4"/>
      </tp>
    </main>
    <main first="rtdsrv.9f922355eb4a460aafcad3493cc264dc">
      <tp>
        <v>1</v>
        <stp/>
        <stp>11c07734-4c7a-484d-a414-d881997bde14</stp>
        <tr r="G7" s="3"/>
      </tp>
    </main>
    <main first="rtdsrv.9f922355eb4a460aafcad3493cc264dc">
      <tp>
        <v>2</v>
        <stp/>
        <stp>009685ff-d7c1-481d-8de7-b3b681f87a6a</stp>
        <tr r="G49" s="1"/>
      </tp>
      <tp>
        <v>2</v>
        <stp/>
        <stp>44d991c7-ba3a-43fc-a4c0-d29d24b74bac</stp>
        <tr r="G39" s="4"/>
      </tp>
    </main>
    <main first="rtdsrv.9f922355eb4a460aafcad3493cc264dc">
      <tp>
        <v>2</v>
        <stp/>
        <stp>e9ae7159-c9c1-4324-99e0-89b2dba43b61</stp>
        <tr r="G52" s="4"/>
      </tp>
    </main>
    <main first="rtdsrv.9f922355eb4a460aafcad3493cc264dc">
      <tp>
        <v>2</v>
        <stp/>
        <stp>746f53c1-0506-4820-a83e-31babf157a53</stp>
        <tr r="G31" s="4"/>
      </tp>
    </main>
    <main first="rtdsrv.9f922355eb4a460aafcad3493cc264dc">
      <tp>
        <v>2</v>
        <stp/>
        <stp>8e5f597b-84ee-4171-ac2a-ed088063c665</stp>
        <tr r="G51" s="4"/>
      </tp>
    </main>
    <main first="rtdsrv.9f922355eb4a460aafcad3493cc264dc">
      <tp>
        <v>1</v>
        <stp/>
        <stp>f13274a7-59d9-4080-bbd4-6d0a779bf20e</stp>
        <tr r="G31" s="7"/>
      </tp>
      <tp>
        <v>2</v>
        <stp/>
        <stp>ffb96164-1e2d-435b-8744-25fc3e046e7a</stp>
        <tr r="G27" s="1"/>
      </tp>
      <tp>
        <v>1</v>
        <stp/>
        <stp>8b8a93bd-cbf4-438e-af69-39be48f9aed7</stp>
        <tr r="G27" s="7"/>
      </tp>
    </main>
    <main first="rtdsrv.9f922355eb4a460aafcad3493cc264dc">
      <tp>
        <v>2</v>
        <stp/>
        <stp>ace32efe-54b2-4bc7-b435-ee588db2638e</stp>
        <tr r="G29" s="1"/>
      </tp>
    </main>
    <main first="rtdsrv.9f922355eb4a460aafcad3493cc264dc">
      <tp>
        <v>2</v>
        <stp/>
        <stp>a41f249e-d975-4030-9f40-6fff646e678b</stp>
        <tr r="D35" s="5"/>
      </tp>
    </main>
    <main first="rtdsrv.9f922355eb4a460aafcad3493cc264dc">
      <tp>
        <v>2</v>
        <stp/>
        <stp>6b7091d9-85a7-4fc5-a56d-703ef91aae6b</stp>
        <tr r="D5" s="3"/>
      </tp>
    </main>
    <main first="rtdsrv.9f922355eb4a460aafcad3493cc264dc">
      <tp>
        <v>2</v>
        <stp/>
        <stp>3adf37ee-733a-4860-b465-8a55a6261723</stp>
        <tr r="C6" s="6"/>
      </tp>
    </main>
    <main first="rtdsrv.9f922355eb4a460aafcad3493cc264dc">
      <tp>
        <v>2</v>
        <stp/>
        <stp>5bb599a7-b1f6-4340-ae80-1502f76f2465</stp>
        <tr r="G43" s="4"/>
      </tp>
      <tp>
        <v>2</v>
        <stp/>
        <stp>e6a9072a-f39b-4092-8f6d-2aec22065742</stp>
        <tr r="F8" s="3"/>
      </tp>
    </main>
    <main first="rtdsrv.9f922355eb4a460aafcad3493cc264dc">
      <tp>
        <v>1</v>
        <stp/>
        <stp>8148e6aa-ff82-4cd5-87d1-85022d1adfb9</stp>
        <tr r="G52" s="7"/>
      </tp>
      <tp>
        <v>2</v>
        <stp/>
        <stp>4eddd0a0-fd7c-4691-9306-75b23d66adc9</stp>
        <tr r="G30" s="4"/>
      </tp>
    </main>
    <main first="rtdsrv.9f922355eb4a460aafcad3493cc264dc">
      <tp>
        <v>2</v>
        <stp/>
        <stp>ab38f212-6870-48b5-8a11-bfbcb479672d</stp>
        <tr r="G35" s="4"/>
      </tp>
    </main>
    <main first="rtdsrv.9f922355eb4a460aafcad3493cc264dc">
      <tp>
        <v>2</v>
        <stp/>
        <stp>fa1313c5-b68b-4c0e-a44b-6e4427602587</stp>
        <tr r="G37" s="4"/>
      </tp>
      <tp>
        <v>2</v>
        <stp/>
        <stp>0bdcc49a-ad58-49f0-9d3c-c157d7d6f43e</stp>
        <tr r="G30" s="1"/>
      </tp>
      <tp>
        <v>2</v>
        <stp/>
        <stp>6f09b47b-d0b3-467f-962a-1ca6c75d10dd</stp>
        <tr r="G22" s="4"/>
      </tp>
    </main>
    <main first="rtdsrv.9f922355eb4a460aafcad3493cc264dc">
      <tp>
        <v>2</v>
        <stp/>
        <stp>9c0afb6d-7cc2-4f3b-854c-41953ca8247b</stp>
        <tr r="G28" s="1"/>
      </tp>
    </main>
    <main first="rtdsrv.9f922355eb4a460aafcad3493cc264dc">
      <tp>
        <v>1</v>
        <stp/>
        <stp>2aad9d0a-2f2f-4b14-b9a3-df9dd7a39544</stp>
        <tr r="P67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localhost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3D96-2BED-447F-BDEB-F8DD83959477}">
  <dimension ref="B1:AS79"/>
  <sheetViews>
    <sheetView tabSelected="1" zoomScaleNormal="100" workbookViewId="0"/>
  </sheetViews>
  <sheetFormatPr defaultRowHeight="18.75" x14ac:dyDescent="0.4"/>
  <cols>
    <col min="1" max="1" width="2.25" customWidth="1"/>
    <col min="2" max="2" width="15.5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5.375" customWidth="1"/>
    <col min="17" max="17" width="54.62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25</v>
      </c>
      <c r="F1" t="str" cm="1">
        <f t="array" ref="F1">_xll.ExLibris.Json.CreateJsonObject(E3:F6)</f>
        <v>JsonObject:316B362B-419E-4368-9836-02589D0AF67B</v>
      </c>
      <c r="K1" t="str">
        <f>EXLIBRIS_CONFIGURATION</f>
        <v>ExLibris.Core.ExLibrisConfiguration:43CDA749-FF2B-4DE5-830F-819BA4EA357C</v>
      </c>
    </row>
    <row r="2" spans="2:28" x14ac:dyDescent="0.4">
      <c r="B2" s="5" t="s">
        <v>62</v>
      </c>
      <c r="C2" s="5"/>
    </row>
    <row r="3" spans="2:28" x14ac:dyDescent="0.4">
      <c r="B3" s="6" t="s">
        <v>63</v>
      </c>
      <c r="C3" s="6">
        <f>COUNTIF(AG19:AI57,FALSE)</f>
        <v>0</v>
      </c>
      <c r="E3" t="s">
        <v>13</v>
      </c>
      <c r="F3" t="s">
        <v>15</v>
      </c>
    </row>
    <row r="4" spans="2:28" x14ac:dyDescent="0.4">
      <c r="B4" s="6" t="s">
        <v>64</v>
      </c>
      <c r="C4" s="6">
        <f>COUNTIF(AK20:AP26,FALSE)</f>
        <v>0</v>
      </c>
      <c r="E4" t="s">
        <v>17</v>
      </c>
      <c r="F4" t="s">
        <v>19</v>
      </c>
    </row>
    <row r="5" spans="2:28" x14ac:dyDescent="0.4">
      <c r="B5" s="6" t="s">
        <v>65</v>
      </c>
      <c r="C5" s="6" t="str">
        <f>IF(M6=M7,"ok","ng")</f>
        <v>ok</v>
      </c>
      <c r="E5" t="s">
        <v>21</v>
      </c>
      <c r="F5" t="s">
        <v>23</v>
      </c>
      <c r="L5" t="s">
        <v>65</v>
      </c>
    </row>
    <row r="6" spans="2:28" x14ac:dyDescent="0.4">
      <c r="B6" s="6" t="s">
        <v>67</v>
      </c>
      <c r="C6" s="6">
        <f>COUNTIF(AK29:AP30,FALSE)</f>
        <v>0</v>
      </c>
      <c r="E6" t="s">
        <v>24</v>
      </c>
      <c r="F6" t="str" cm="1">
        <f t="array" ref="F6">_xll.ExLibris.Json.CreateJsonArray(E8:J14)</f>
        <v>JsonObject:1D29661B-7059-4B3D-AD4A-55BE066E6C79</v>
      </c>
      <c r="L6" t="s">
        <v>60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_date":44632,"start_date":44452,"end_date":44632,"day_count_type":"ACT/360","amount":10000000,"fixed_rate":0.001},{"payment _date":44812,"start_date":44632,"end_date":44812,"day_count_type":"ACT/360","amount":11000000,"fixed_rate":0.001},{"payment _date":44992,"start_date":44812,"end_date":44992,"day_count_type":"ACT/360","amount":12000000,"fixed_rate":0.001},{"payment _date":45172,"start_date":44992,"end_date":45172,"day_count_type":"ACT/360","amount":13000000,"fixed_rate":0.001},{"payment _date":45352,"start_date":45172,"end_date":45352,"day_count_type":"ACT/360","amount":14000000,"fixed_rate":0.001},{"payment _date":45532,"start_date":45352,"end_date":45532,"day_count_type":"ACT/360","amount":15000000,"fixed_rate":0.001}]}}</v>
      </c>
    </row>
    <row r="7" spans="2:28" x14ac:dyDescent="0.4">
      <c r="B7" s="6" t="s">
        <v>95</v>
      </c>
      <c r="C7" s="6">
        <f>COUNTIF(AR19:AS21,FALSE)</f>
        <v>0</v>
      </c>
      <c r="L7" t="s">
        <v>66</v>
      </c>
      <c r="M7" t="s">
        <v>182</v>
      </c>
    </row>
    <row r="8" spans="2:28" x14ac:dyDescent="0.4">
      <c r="B8" s="6" t="s">
        <v>96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175</v>
      </c>
      <c r="J8" t="s">
        <v>11</v>
      </c>
    </row>
    <row r="9" spans="2:28" x14ac:dyDescent="0.4">
      <c r="B9" s="6" t="s">
        <v>171</v>
      </c>
      <c r="C9" s="6">
        <f>COUNTIF(AR67:AS72,FALSE)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B10" s="6" t="s">
        <v>172</v>
      </c>
      <c r="C10" s="6">
        <f>COUNTIF(AR74:AS79,FALSE)</f>
        <v>0</v>
      </c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B11" s="6" t="s">
        <v>173</v>
      </c>
      <c r="C11" s="6">
        <f>COUNTIF(AK32:AN38,FALSE)</f>
        <v>0</v>
      </c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B12" s="6" t="s">
        <v>187</v>
      </c>
      <c r="C12" s="6">
        <f>COUNTIF(AK40:AP45,FALSE)</f>
        <v>0</v>
      </c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B13" s="6" t="s">
        <v>188</v>
      </c>
      <c r="C13" s="6">
        <f>COUNTIF(AK48:AM53,FALSE)</f>
        <v>0</v>
      </c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B14" s="6" t="s">
        <v>189</v>
      </c>
      <c r="C14" s="6">
        <f>COUNTIF(W55:W57,FALSE)</f>
        <v>0</v>
      </c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5" spans="2:28" x14ac:dyDescent="0.4">
      <c r="B15" s="6" t="s">
        <v>190</v>
      </c>
      <c r="C15" s="6">
        <f>COUNTIF(AK59,FALSE)</f>
        <v>0</v>
      </c>
    </row>
    <row r="16" spans="2:28" s="4" customFormat="1" x14ac:dyDescent="0.4">
      <c r="B16" s="6" t="s">
        <v>191</v>
      </c>
      <c r="C16" s="6">
        <f>COUNTIF(AK61:AK66,FALSE)</f>
        <v>0</v>
      </c>
      <c r="E16" s="4" t="s">
        <v>60</v>
      </c>
      <c r="S16" s="4" t="s">
        <v>61</v>
      </c>
      <c r="AB16" s="4" t="s">
        <v>62</v>
      </c>
    </row>
    <row r="18" spans="5:45" x14ac:dyDescent="0.4">
      <c r="E18" t="s">
        <v>27</v>
      </c>
      <c r="I18" t="s">
        <v>29</v>
      </c>
      <c r="S18" t="s">
        <v>26</v>
      </c>
      <c r="W18" t="s">
        <v>28</v>
      </c>
      <c r="AG18" t="s">
        <v>26</v>
      </c>
      <c r="AK18" t="s">
        <v>28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JsonObject:E4E38126-5F3B-4156-B995-0A800EBF2883</v>
      </c>
      <c r="P19" t="str" cm="1">
        <f t="array" ref="P19:Q27">_xll.ExLibris.Json.GetJsonKeyValues(F1,3)</f>
        <v>trade_code</v>
      </c>
      <c r="Q19" t="str">
        <v>money_00001</v>
      </c>
      <c r="S19" t="s">
        <v>12</v>
      </c>
      <c r="T19" t="s">
        <v>14</v>
      </c>
      <c r="U19" t="s">
        <v>14</v>
      </c>
      <c r="AD19" t="s">
        <v>12</v>
      </c>
      <c r="AE19" t="s">
        <v>14</v>
      </c>
      <c r="AG19" t="b">
        <f t="shared" ref="AG19:AG57" si="4">E19=S19</f>
        <v>1</v>
      </c>
      <c r="AH19" t="b">
        <f t="shared" ref="AH19:AI57" si="5">E19=S19</f>
        <v>1</v>
      </c>
      <c r="AI19" t="b">
        <f t="shared" si="5"/>
        <v>1</v>
      </c>
      <c r="AR19" t="b">
        <f t="shared" ref="AR19:AS21" si="6">P19=AD19</f>
        <v>1</v>
      </c>
      <c r="AS19" t="b">
        <f t="shared" si="6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amount</v>
      </c>
      <c r="N20" t="str">
        <v>fixed_rate</v>
      </c>
      <c r="P20" t="str">
        <v>couter_party</v>
      </c>
      <c r="Q20" t="str">
        <v>CP00001</v>
      </c>
      <c r="S20" t="s">
        <v>16</v>
      </c>
      <c r="T20" t="s">
        <v>18</v>
      </c>
      <c r="U20" t="s">
        <v>18</v>
      </c>
      <c r="W20" t="s">
        <v>0</v>
      </c>
      <c r="X20" t="s">
        <v>2</v>
      </c>
      <c r="Y20" t="s">
        <v>4</v>
      </c>
      <c r="Z20" t="s">
        <v>6</v>
      </c>
      <c r="AA20" t="s">
        <v>175</v>
      </c>
      <c r="AB20" t="s">
        <v>10</v>
      </c>
      <c r="AD20" t="s">
        <v>16</v>
      </c>
      <c r="AE20" t="s">
        <v>18</v>
      </c>
      <c r="AG20" t="b">
        <f t="shared" si="4"/>
        <v>1</v>
      </c>
      <c r="AH20" t="b">
        <f t="shared" si="5"/>
        <v>1</v>
      </c>
      <c r="AI20" t="b">
        <f t="shared" si="5"/>
        <v>1</v>
      </c>
      <c r="AK20" t="b">
        <f t="shared" ref="AK20:AP26" si="7">I20=W20</f>
        <v>1</v>
      </c>
      <c r="AL20" t="b">
        <f t="shared" si="7"/>
        <v>1</v>
      </c>
      <c r="AM20" t="b">
        <f t="shared" si="7"/>
        <v>1</v>
      </c>
      <c r="AN20" t="b">
        <f t="shared" si="7"/>
        <v>1</v>
      </c>
      <c r="AO20" t="b">
        <f t="shared" si="7"/>
        <v>1</v>
      </c>
      <c r="AP20" t="b">
        <f t="shared" si="7"/>
        <v>1</v>
      </c>
      <c r="AR20" t="b">
        <f t="shared" si="6"/>
        <v>1</v>
      </c>
      <c r="AS20" t="b">
        <f t="shared" si="6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20</v>
      </c>
      <c r="T21" t="s">
        <v>22</v>
      </c>
      <c r="U21" t="s">
        <v>22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20</v>
      </c>
      <c r="AE21" t="s">
        <v>22</v>
      </c>
      <c r="AG21" t="b">
        <f t="shared" si="4"/>
        <v>1</v>
      </c>
      <c r="AH21" t="b">
        <f t="shared" si="5"/>
        <v>1</v>
      </c>
      <c r="AI21" t="b">
        <f t="shared" si="5"/>
        <v>1</v>
      </c>
      <c r="AK21" t="b">
        <f t="shared" si="7"/>
        <v>1</v>
      </c>
      <c r="AL21" t="b">
        <f t="shared" si="7"/>
        <v>1</v>
      </c>
      <c r="AM21" t="b">
        <f t="shared" si="7"/>
        <v>1</v>
      </c>
      <c r="AN21" t="b">
        <f t="shared" si="7"/>
        <v>1</v>
      </c>
      <c r="AO21" t="b">
        <f t="shared" si="7"/>
        <v>1</v>
      </c>
      <c r="AP21" t="b">
        <f t="shared" si="7"/>
        <v>1</v>
      </c>
      <c r="AR21" t="b">
        <f t="shared" si="6"/>
        <v>1</v>
      </c>
      <c r="AS21" t="b">
        <f t="shared" si="6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JsonObject:C64821DC-66BB-45B1-AAF0-DEBC0604CB2A</v>
      </c>
      <c r="S22" t="s">
        <v>30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5"/>
        <v>1</v>
      </c>
      <c r="AK22" t="b">
        <f t="shared" si="7"/>
        <v>1</v>
      </c>
      <c r="AL22" t="b">
        <f t="shared" si="7"/>
        <v>1</v>
      </c>
      <c r="AM22" t="b">
        <f t="shared" si="7"/>
        <v>1</v>
      </c>
      <c r="AN22" t="b">
        <f t="shared" si="7"/>
        <v>1</v>
      </c>
      <c r="AO22" t="b">
        <f t="shared" si="7"/>
        <v>1</v>
      </c>
      <c r="AP22" t="b">
        <f t="shared" si="7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JsonObject:41A80006-38D0-4F64-92F2-EC619282834C</v>
      </c>
      <c r="S23" t="s">
        <v>31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5"/>
        <v>1</v>
      </c>
      <c r="AK23" t="b">
        <f t="shared" si="7"/>
        <v>1</v>
      </c>
      <c r="AL23" t="b">
        <f t="shared" si="7"/>
        <v>1</v>
      </c>
      <c r="AM23" t="b">
        <f t="shared" si="7"/>
        <v>1</v>
      </c>
      <c r="AN23" t="b">
        <f t="shared" si="7"/>
        <v>1</v>
      </c>
      <c r="AO23" t="b">
        <f t="shared" si="7"/>
        <v>1</v>
      </c>
      <c r="AP23" t="b">
        <f t="shared" si="7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JsonObject:0FE10703-4B41-4290-B64B-7A44CCA6C6E4</v>
      </c>
      <c r="S24" t="s">
        <v>32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5"/>
        <v>1</v>
      </c>
      <c r="AK24" t="b">
        <f t="shared" si="7"/>
        <v>1</v>
      </c>
      <c r="AL24" t="b">
        <f t="shared" si="7"/>
        <v>1</v>
      </c>
      <c r="AM24" t="b">
        <f t="shared" si="7"/>
        <v>1</v>
      </c>
      <c r="AN24" t="b">
        <f t="shared" si="7"/>
        <v>1</v>
      </c>
      <c r="AO24" t="b">
        <f t="shared" si="7"/>
        <v>1</v>
      </c>
      <c r="AP24" t="b">
        <f t="shared" si="7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JsonObject:3D4E5D06-1A6B-4B59-9C16-F0B9E43D49AF</v>
      </c>
      <c r="S25" t="s">
        <v>33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5"/>
        <v>1</v>
      </c>
      <c r="AK25" t="b">
        <f t="shared" si="7"/>
        <v>1</v>
      </c>
      <c r="AL25" t="b">
        <f t="shared" si="7"/>
        <v>1</v>
      </c>
      <c r="AM25" t="b">
        <f t="shared" si="7"/>
        <v>1</v>
      </c>
      <c r="AN25" t="b">
        <f t="shared" si="7"/>
        <v>1</v>
      </c>
      <c r="AO25" t="b">
        <f t="shared" si="7"/>
        <v>1</v>
      </c>
      <c r="AP25" t="b">
        <f t="shared" si="7"/>
        <v>1</v>
      </c>
    </row>
    <row r="26" spans="5:45" x14ac:dyDescent="0.4">
      <c r="E26" t="str">
        <v>fixed_leg.cashflows.[0].amount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JsonObject:16438DE3-932D-4773-86A2-D215140A1284</v>
      </c>
      <c r="S26" t="s">
        <v>176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5"/>
        <v>1</v>
      </c>
      <c r="AK26" t="b">
        <f t="shared" si="7"/>
        <v>1</v>
      </c>
      <c r="AL26" t="b">
        <f t="shared" si="7"/>
        <v>1</v>
      </c>
      <c r="AM26" t="b">
        <f t="shared" si="7"/>
        <v>1</v>
      </c>
      <c r="AN26" t="b">
        <f t="shared" si="7"/>
        <v>1</v>
      </c>
      <c r="AO26" t="b">
        <f t="shared" si="7"/>
        <v>1</v>
      </c>
      <c r="AP26" t="b">
        <f t="shared" si="7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JsonObject:806679B0-AD29-4FF4-A97C-BB7F53AE47FE</v>
      </c>
      <c r="S27" t="s">
        <v>34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5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JsonObject:1F47C19D-157D-4BFD-AA13-355CF90AC7DB</v>
      </c>
      <c r="S28" t="s">
        <v>35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5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amount</v>
      </c>
      <c r="N29" t="str">
        <v>fixed_rate</v>
      </c>
      <c r="P29" t="str" cm="1">
        <f t="array" ref="P29">_xll.ExLibris.Json.CreateJsonObject(P22:Q27)</f>
        <v>JsonObject:449EFBAB-7816-4FCC-B070-E4CD6BDB09B4</v>
      </c>
      <c r="S29" t="s">
        <v>36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175</v>
      </c>
      <c r="AB29" t="s">
        <v>10</v>
      </c>
      <c r="AG29" t="b">
        <f t="shared" si="4"/>
        <v>1</v>
      </c>
      <c r="AH29" t="b">
        <f t="shared" si="5"/>
        <v>1</v>
      </c>
      <c r="AI29" t="b">
        <f t="shared" si="5"/>
        <v>1</v>
      </c>
      <c r="AK29" t="b">
        <f t="shared" ref="AK29:AP30" si="8">I29=W29</f>
        <v>1</v>
      </c>
      <c r="AL29" t="b">
        <f t="shared" si="8"/>
        <v>1</v>
      </c>
      <c r="AM29" t="b">
        <f t="shared" si="8"/>
        <v>1</v>
      </c>
      <c r="AN29" t="b">
        <f t="shared" si="8"/>
        <v>1</v>
      </c>
      <c r="AO29" t="b">
        <f t="shared" si="8"/>
        <v>1</v>
      </c>
      <c r="AP29" t="b">
        <f t="shared" si="8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37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30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5"/>
        <v>1</v>
      </c>
      <c r="AK30" t="b">
        <f t="shared" si="8"/>
        <v>1</v>
      </c>
      <c r="AL30" t="b">
        <f t="shared" si="8"/>
        <v>1</v>
      </c>
      <c r="AM30" t="b">
        <f t="shared" si="8"/>
        <v>1</v>
      </c>
      <c r="AN30" t="b">
        <f t="shared" si="8"/>
        <v>1</v>
      </c>
      <c r="AO30" t="b">
        <f t="shared" si="8"/>
        <v>1</v>
      </c>
      <c r="AP30" t="b">
        <f t="shared" si="8"/>
        <v>1</v>
      </c>
      <c r="AR30" t="b">
        <f t="shared" ref="AR30:AS64" si="9">P30=AD30</f>
        <v>1</v>
      </c>
      <c r="AS30" t="b">
        <f t="shared" si="9"/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38</v>
      </c>
      <c r="T31" t="s">
        <v>8</v>
      </c>
      <c r="U31" t="s">
        <v>8</v>
      </c>
      <c r="AD31" t="s">
        <v>31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5"/>
        <v>1</v>
      </c>
      <c r="AR31" t="b">
        <f t="shared" si="9"/>
        <v>1</v>
      </c>
      <c r="AS31" t="b">
        <f t="shared" si="9"/>
        <v>1</v>
      </c>
    </row>
    <row r="32" spans="5:45" x14ac:dyDescent="0.4">
      <c r="E32" t="str">
        <v>fixed_leg.cashflows.[1].amount</v>
      </c>
      <c r="F32">
        <v>11000000</v>
      </c>
      <c r="G32" cm="1">
        <f t="array" ref="G32">_xll.ExLibris.Json.GetJsonValue($F$1,E32)</f>
        <v>11000000</v>
      </c>
      <c r="I32" t="str" cm="1">
        <f t="array" ref="I32:L38">_xll.ExLibris.Json.GetJsonTable(I19,E8:H8)</f>
        <v>payment _date</v>
      </c>
      <c r="J32" t="str">
        <v>start_date</v>
      </c>
      <c r="K32" t="str">
        <v>end_date</v>
      </c>
      <c r="L32" t="str">
        <v>day_count_type</v>
      </c>
      <c r="P32" t="str">
        <v>fixed_leg.cashflows.[0].end_date</v>
      </c>
      <c r="Q32">
        <v>44632</v>
      </c>
      <c r="S32" t="s">
        <v>177</v>
      </c>
      <c r="T32">
        <v>11000000</v>
      </c>
      <c r="U32">
        <v>11000000</v>
      </c>
      <c r="W32" t="s">
        <v>0</v>
      </c>
      <c r="X32" t="s">
        <v>2</v>
      </c>
      <c r="Y32" t="s">
        <v>4</v>
      </c>
      <c r="Z32" t="s">
        <v>6</v>
      </c>
      <c r="AD32" t="s">
        <v>32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5"/>
        <v>1</v>
      </c>
      <c r="AK32" t="b">
        <f t="shared" ref="AK32:AK38" si="10">I32=W32</f>
        <v>1</v>
      </c>
      <c r="AL32" t="b">
        <f t="shared" ref="AL32:AL38" si="11">J32=X32</f>
        <v>1</v>
      </c>
      <c r="AM32" t="b">
        <f t="shared" ref="AM32:AM38" si="12">K32=Y32</f>
        <v>1</v>
      </c>
      <c r="AN32" t="b">
        <f t="shared" ref="AN32:AN38" si="13">L32=Z32</f>
        <v>1</v>
      </c>
      <c r="AR32" t="b">
        <f t="shared" si="9"/>
        <v>1</v>
      </c>
      <c r="AS32" t="b">
        <f t="shared" si="9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I33">
        <v>44632</v>
      </c>
      <c r="J33">
        <v>44452</v>
      </c>
      <c r="K33">
        <v>44632</v>
      </c>
      <c r="L33" t="str">
        <v>ACT/360</v>
      </c>
      <c r="P33" t="str">
        <v>fixed_leg.cashflows.[0].day_count_type</v>
      </c>
      <c r="Q33" t="str">
        <v>ACT/360</v>
      </c>
      <c r="S33" t="s">
        <v>39</v>
      </c>
      <c r="T33">
        <v>1E-3</v>
      </c>
      <c r="U33">
        <v>1E-3</v>
      </c>
      <c r="W33">
        <v>44632</v>
      </c>
      <c r="X33">
        <v>44452</v>
      </c>
      <c r="Y33">
        <v>44632</v>
      </c>
      <c r="Z33" t="s">
        <v>8</v>
      </c>
      <c r="AD33" t="s">
        <v>33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5"/>
        <v>1</v>
      </c>
      <c r="AK33" t="b">
        <f t="shared" si="10"/>
        <v>1</v>
      </c>
      <c r="AL33" t="b">
        <f t="shared" si="11"/>
        <v>1</v>
      </c>
      <c r="AM33" t="b">
        <f t="shared" si="12"/>
        <v>1</v>
      </c>
      <c r="AN33" t="b">
        <f t="shared" si="13"/>
        <v>1</v>
      </c>
      <c r="AR33" t="b">
        <f t="shared" si="9"/>
        <v>1</v>
      </c>
      <c r="AS33" t="b">
        <f t="shared" si="9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I34">
        <v>44812</v>
      </c>
      <c r="J34">
        <v>44632</v>
      </c>
      <c r="K34">
        <v>44812</v>
      </c>
      <c r="L34" t="str">
        <v>ACT/360</v>
      </c>
      <c r="P34" t="str">
        <v>fixed_leg.cashflows.[0].amount</v>
      </c>
      <c r="Q34">
        <v>10000000</v>
      </c>
      <c r="S34" t="s">
        <v>40</v>
      </c>
      <c r="T34">
        <v>44992</v>
      </c>
      <c r="U34">
        <v>44992</v>
      </c>
      <c r="W34">
        <v>44812</v>
      </c>
      <c r="X34">
        <v>44632</v>
      </c>
      <c r="Y34">
        <v>44812</v>
      </c>
      <c r="Z34" t="s">
        <v>8</v>
      </c>
      <c r="AD34" t="s">
        <v>176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5"/>
        <v>1</v>
      </c>
      <c r="AK34" t="b">
        <f t="shared" si="10"/>
        <v>1</v>
      </c>
      <c r="AL34" t="b">
        <f t="shared" si="11"/>
        <v>1</v>
      </c>
      <c r="AM34" t="b">
        <f t="shared" si="12"/>
        <v>1</v>
      </c>
      <c r="AN34" t="b">
        <f t="shared" si="13"/>
        <v>1</v>
      </c>
      <c r="AR34" t="b">
        <f t="shared" si="9"/>
        <v>1</v>
      </c>
      <c r="AS34" t="b">
        <f t="shared" si="9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I35">
        <v>44992</v>
      </c>
      <c r="J35">
        <v>44812</v>
      </c>
      <c r="K35">
        <v>44992</v>
      </c>
      <c r="L35" t="str">
        <v>ACT/360</v>
      </c>
      <c r="P35" t="str">
        <v>fixed_leg.cashflows.[0].fixed_rate</v>
      </c>
      <c r="Q35">
        <v>1E-3</v>
      </c>
      <c r="S35" t="s">
        <v>41</v>
      </c>
      <c r="T35">
        <v>44812</v>
      </c>
      <c r="U35">
        <v>44812</v>
      </c>
      <c r="W35">
        <v>44992</v>
      </c>
      <c r="X35">
        <v>44812</v>
      </c>
      <c r="Y35">
        <v>44992</v>
      </c>
      <c r="Z35" t="s">
        <v>8</v>
      </c>
      <c r="AD35" t="s">
        <v>34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5"/>
        <v>1</v>
      </c>
      <c r="AK35" t="b">
        <f t="shared" si="10"/>
        <v>1</v>
      </c>
      <c r="AL35" t="b">
        <f t="shared" si="11"/>
        <v>1</v>
      </c>
      <c r="AM35" t="b">
        <f t="shared" si="12"/>
        <v>1</v>
      </c>
      <c r="AN35" t="b">
        <f t="shared" si="13"/>
        <v>1</v>
      </c>
      <c r="AR35" t="b">
        <f t="shared" si="9"/>
        <v>1</v>
      </c>
      <c r="AS35" t="b">
        <f t="shared" si="9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I36">
        <v>45172</v>
      </c>
      <c r="J36">
        <v>44992</v>
      </c>
      <c r="K36">
        <v>45172</v>
      </c>
      <c r="L36" t="str">
        <v>ACT/360</v>
      </c>
      <c r="P36" t="str">
        <v>fixed_leg.cashflows.[1].payment _date</v>
      </c>
      <c r="Q36">
        <v>44812</v>
      </c>
      <c r="S36" t="s">
        <v>42</v>
      </c>
      <c r="T36">
        <v>44992</v>
      </c>
      <c r="U36">
        <v>44992</v>
      </c>
      <c r="W36">
        <v>45172</v>
      </c>
      <c r="X36">
        <v>44992</v>
      </c>
      <c r="Y36">
        <v>45172</v>
      </c>
      <c r="Z36" t="s">
        <v>8</v>
      </c>
      <c r="AD36" t="s">
        <v>35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5"/>
        <v>1</v>
      </c>
      <c r="AK36" t="b">
        <f t="shared" si="10"/>
        <v>1</v>
      </c>
      <c r="AL36" t="b">
        <f t="shared" si="11"/>
        <v>1</v>
      </c>
      <c r="AM36" t="b">
        <f t="shared" si="12"/>
        <v>1</v>
      </c>
      <c r="AN36" t="b">
        <f t="shared" si="13"/>
        <v>1</v>
      </c>
      <c r="AR36" t="b">
        <f t="shared" si="9"/>
        <v>1</v>
      </c>
      <c r="AS36" t="b">
        <f t="shared" si="9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I37">
        <v>45352</v>
      </c>
      <c r="J37">
        <v>45172</v>
      </c>
      <c r="K37">
        <v>45352</v>
      </c>
      <c r="L37" t="str">
        <v>ACT/360</v>
      </c>
      <c r="P37" t="str">
        <v>fixed_leg.cashflows.[1].start_date</v>
      </c>
      <c r="Q37">
        <v>44632</v>
      </c>
      <c r="S37" t="s">
        <v>43</v>
      </c>
      <c r="T37" t="s">
        <v>8</v>
      </c>
      <c r="U37" t="s">
        <v>8</v>
      </c>
      <c r="W37">
        <v>45352</v>
      </c>
      <c r="X37">
        <v>45172</v>
      </c>
      <c r="Y37">
        <v>45352</v>
      </c>
      <c r="Z37" t="s">
        <v>8</v>
      </c>
      <c r="AD37" t="s">
        <v>36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5"/>
        <v>1</v>
      </c>
      <c r="AK37" t="b">
        <f t="shared" si="10"/>
        <v>1</v>
      </c>
      <c r="AL37" t="b">
        <f t="shared" si="11"/>
        <v>1</v>
      </c>
      <c r="AM37" t="b">
        <f t="shared" si="12"/>
        <v>1</v>
      </c>
      <c r="AN37" t="b">
        <f t="shared" si="13"/>
        <v>1</v>
      </c>
      <c r="AR37" t="b">
        <f t="shared" si="9"/>
        <v>1</v>
      </c>
      <c r="AS37" t="b">
        <f t="shared" si="9"/>
        <v>1</v>
      </c>
    </row>
    <row r="38" spans="5:45" x14ac:dyDescent="0.4">
      <c r="E38" t="str">
        <v>fixed_leg.cashflows.[2].amount</v>
      </c>
      <c r="F38">
        <v>12000000</v>
      </c>
      <c r="G38" cm="1">
        <f t="array" ref="G38">_xll.ExLibris.Json.GetJsonValue($F$1,E38)</f>
        <v>12000000</v>
      </c>
      <c r="I38">
        <v>45532</v>
      </c>
      <c r="J38">
        <v>45352</v>
      </c>
      <c r="K38">
        <v>45532</v>
      </c>
      <c r="L38" t="str">
        <v>ACT/360</v>
      </c>
      <c r="P38" t="str">
        <v>fixed_leg.cashflows.[1].end_date</v>
      </c>
      <c r="Q38">
        <v>44812</v>
      </c>
      <c r="S38" t="s">
        <v>178</v>
      </c>
      <c r="T38">
        <v>12000000</v>
      </c>
      <c r="U38">
        <v>12000000</v>
      </c>
      <c r="W38">
        <v>45532</v>
      </c>
      <c r="X38">
        <v>45352</v>
      </c>
      <c r="Y38">
        <v>45532</v>
      </c>
      <c r="Z38" t="s">
        <v>8</v>
      </c>
      <c r="AD38" t="s">
        <v>37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5"/>
        <v>1</v>
      </c>
      <c r="AK38" t="b">
        <f t="shared" si="10"/>
        <v>1</v>
      </c>
      <c r="AL38" t="b">
        <f t="shared" si="11"/>
        <v>1</v>
      </c>
      <c r="AM38" t="b">
        <f t="shared" si="12"/>
        <v>1</v>
      </c>
      <c r="AN38" t="b">
        <f t="shared" si="13"/>
        <v>1</v>
      </c>
      <c r="AR38" t="b">
        <f t="shared" si="9"/>
        <v>1</v>
      </c>
      <c r="AS38" t="b">
        <f t="shared" si="9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44</v>
      </c>
      <c r="T39">
        <v>1E-3</v>
      </c>
      <c r="U39">
        <v>1E-3</v>
      </c>
      <c r="AD39" t="s">
        <v>38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5"/>
        <v>1</v>
      </c>
      <c r="AR39" t="b">
        <f t="shared" si="9"/>
        <v>1</v>
      </c>
      <c r="AS39" t="b">
        <f t="shared" si="9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I40" cm="1">
        <f t="array" ref="I40:N45">_xll.ExLibris.Json.GetJsonTable(I19,,TRUE)</f>
        <v>44632</v>
      </c>
      <c r="J40">
        <v>44452</v>
      </c>
      <c r="K40">
        <v>44632</v>
      </c>
      <c r="L40" t="str">
        <v>ACT/360</v>
      </c>
      <c r="M40">
        <v>10000000</v>
      </c>
      <c r="N40">
        <v>1E-3</v>
      </c>
      <c r="P40" t="str">
        <v>fixed_leg.cashflows.[1].amount</v>
      </c>
      <c r="Q40">
        <v>11000000</v>
      </c>
      <c r="S40" t="s">
        <v>45</v>
      </c>
      <c r="T40">
        <v>45172</v>
      </c>
      <c r="U40">
        <v>45172</v>
      </c>
      <c r="W40">
        <v>44632</v>
      </c>
      <c r="X40">
        <v>44452</v>
      </c>
      <c r="Y40">
        <v>44632</v>
      </c>
      <c r="Z40" t="s">
        <v>8</v>
      </c>
      <c r="AA40">
        <v>10000000</v>
      </c>
      <c r="AB40">
        <v>1E-3</v>
      </c>
      <c r="AD40" t="s">
        <v>177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5"/>
        <v>1</v>
      </c>
      <c r="AK40" t="b">
        <f t="shared" ref="AK40:AK45" si="14">I40=W40</f>
        <v>1</v>
      </c>
      <c r="AL40" t="b">
        <f t="shared" ref="AL40:AL45" si="15">J40=X40</f>
        <v>1</v>
      </c>
      <c r="AM40" t="b">
        <f t="shared" ref="AM40:AM45" si="16">K40=Y40</f>
        <v>1</v>
      </c>
      <c r="AN40" t="b">
        <f t="shared" ref="AN40:AN45" si="17">L40=Z40</f>
        <v>1</v>
      </c>
      <c r="AO40" t="b">
        <f t="shared" ref="AO40:AO45" si="18">M40=AA40</f>
        <v>1</v>
      </c>
      <c r="AP40" t="b">
        <f t="shared" ref="AP40:AP45" si="19">N40=AB40</f>
        <v>1</v>
      </c>
      <c r="AR40" t="b">
        <f t="shared" si="9"/>
        <v>1</v>
      </c>
      <c r="AS40" t="b">
        <f t="shared" si="9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I41">
        <v>44812</v>
      </c>
      <c r="J41">
        <v>44632</v>
      </c>
      <c r="K41">
        <v>44812</v>
      </c>
      <c r="L41" t="str">
        <v>ACT/360</v>
      </c>
      <c r="M41">
        <v>11000000</v>
      </c>
      <c r="N41">
        <v>1E-3</v>
      </c>
      <c r="P41" t="str">
        <v>fixed_leg.cashflows.[1].fixed_rate</v>
      </c>
      <c r="Q41">
        <v>1E-3</v>
      </c>
      <c r="S41" t="s">
        <v>46</v>
      </c>
      <c r="T41">
        <v>44992</v>
      </c>
      <c r="U41">
        <v>44992</v>
      </c>
      <c r="W41">
        <v>44812</v>
      </c>
      <c r="X41">
        <v>44632</v>
      </c>
      <c r="Y41">
        <v>44812</v>
      </c>
      <c r="Z41" t="s">
        <v>8</v>
      </c>
      <c r="AA41">
        <v>11000000</v>
      </c>
      <c r="AB41">
        <v>1E-3</v>
      </c>
      <c r="AD41" t="s">
        <v>39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5"/>
        <v>1</v>
      </c>
      <c r="AK41" t="b">
        <f t="shared" si="14"/>
        <v>1</v>
      </c>
      <c r="AL41" t="b">
        <f t="shared" si="15"/>
        <v>1</v>
      </c>
      <c r="AM41" t="b">
        <f t="shared" si="16"/>
        <v>1</v>
      </c>
      <c r="AN41" t="b">
        <f t="shared" si="17"/>
        <v>1</v>
      </c>
      <c r="AO41" t="b">
        <f t="shared" si="18"/>
        <v>1</v>
      </c>
      <c r="AP41" t="b">
        <f t="shared" si="19"/>
        <v>1</v>
      </c>
      <c r="AR41" t="b">
        <f t="shared" si="9"/>
        <v>1</v>
      </c>
      <c r="AS41" t="b">
        <f t="shared" si="9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I42">
        <v>44992</v>
      </c>
      <c r="J42">
        <v>44812</v>
      </c>
      <c r="K42">
        <v>44992</v>
      </c>
      <c r="L42" t="str">
        <v>ACT/360</v>
      </c>
      <c r="M42">
        <v>12000000</v>
      </c>
      <c r="N42">
        <v>1E-3</v>
      </c>
      <c r="P42" t="str">
        <v>fixed_leg.cashflows.[2].payment _date</v>
      </c>
      <c r="Q42">
        <v>44992</v>
      </c>
      <c r="S42" t="s">
        <v>47</v>
      </c>
      <c r="T42">
        <v>45172</v>
      </c>
      <c r="U42">
        <v>45172</v>
      </c>
      <c r="W42">
        <v>44992</v>
      </c>
      <c r="X42">
        <v>44812</v>
      </c>
      <c r="Y42">
        <v>44992</v>
      </c>
      <c r="Z42" t="s">
        <v>8</v>
      </c>
      <c r="AA42">
        <v>12000000</v>
      </c>
      <c r="AB42">
        <v>1E-3</v>
      </c>
      <c r="AD42" t="s">
        <v>40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5"/>
        <v>1</v>
      </c>
      <c r="AK42" t="b">
        <f t="shared" si="14"/>
        <v>1</v>
      </c>
      <c r="AL42" t="b">
        <f t="shared" si="15"/>
        <v>1</v>
      </c>
      <c r="AM42" t="b">
        <f t="shared" si="16"/>
        <v>1</v>
      </c>
      <c r="AN42" t="b">
        <f t="shared" si="17"/>
        <v>1</v>
      </c>
      <c r="AO42" t="b">
        <f t="shared" si="18"/>
        <v>1</v>
      </c>
      <c r="AP42" t="b">
        <f t="shared" si="19"/>
        <v>1</v>
      </c>
      <c r="AR42" t="b">
        <f t="shared" si="9"/>
        <v>1</v>
      </c>
      <c r="AS42" t="b">
        <f t="shared" si="9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I43">
        <v>45172</v>
      </c>
      <c r="J43">
        <v>44992</v>
      </c>
      <c r="K43">
        <v>45172</v>
      </c>
      <c r="L43" t="str">
        <v>ACT/360</v>
      </c>
      <c r="M43">
        <v>13000000</v>
      </c>
      <c r="N43">
        <v>1E-3</v>
      </c>
      <c r="P43" t="str">
        <v>fixed_leg.cashflows.[2].start_date</v>
      </c>
      <c r="Q43">
        <v>44812</v>
      </c>
      <c r="S43" t="s">
        <v>48</v>
      </c>
      <c r="T43" t="s">
        <v>8</v>
      </c>
      <c r="U43" t="s">
        <v>8</v>
      </c>
      <c r="W43">
        <v>45172</v>
      </c>
      <c r="X43">
        <v>44992</v>
      </c>
      <c r="Y43">
        <v>45172</v>
      </c>
      <c r="Z43" t="s">
        <v>8</v>
      </c>
      <c r="AA43">
        <v>13000000</v>
      </c>
      <c r="AB43">
        <v>1E-3</v>
      </c>
      <c r="AD43" t="s">
        <v>41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5"/>
        <v>1</v>
      </c>
      <c r="AK43" t="b">
        <f t="shared" si="14"/>
        <v>1</v>
      </c>
      <c r="AL43" t="b">
        <f t="shared" si="15"/>
        <v>1</v>
      </c>
      <c r="AM43" t="b">
        <f t="shared" si="16"/>
        <v>1</v>
      </c>
      <c r="AN43" t="b">
        <f t="shared" si="17"/>
        <v>1</v>
      </c>
      <c r="AO43" t="b">
        <f t="shared" si="18"/>
        <v>1</v>
      </c>
      <c r="AP43" t="b">
        <f t="shared" si="19"/>
        <v>1</v>
      </c>
      <c r="AR43" t="b">
        <f t="shared" si="9"/>
        <v>1</v>
      </c>
      <c r="AS43" t="b">
        <f t="shared" si="9"/>
        <v>1</v>
      </c>
    </row>
    <row r="44" spans="5:45" x14ac:dyDescent="0.4">
      <c r="E44" t="str">
        <v>fixed_leg.cashflows.[3].amount</v>
      </c>
      <c r="F44">
        <v>13000000</v>
      </c>
      <c r="G44" cm="1">
        <f t="array" ref="G44">_xll.ExLibris.Json.GetJsonValue($F$1,E44)</f>
        <v>13000000</v>
      </c>
      <c r="I44">
        <v>45352</v>
      </c>
      <c r="J44">
        <v>45172</v>
      </c>
      <c r="K44">
        <v>45352</v>
      </c>
      <c r="L44" t="str">
        <v>ACT/360</v>
      </c>
      <c r="M44">
        <v>14000000</v>
      </c>
      <c r="N44">
        <v>1E-3</v>
      </c>
      <c r="P44" t="str">
        <v>fixed_leg.cashflows.[2].end_date</v>
      </c>
      <c r="Q44">
        <v>44992</v>
      </c>
      <c r="S44" t="s">
        <v>179</v>
      </c>
      <c r="T44">
        <v>13000000</v>
      </c>
      <c r="U44">
        <v>13000000</v>
      </c>
      <c r="W44">
        <v>45352</v>
      </c>
      <c r="X44">
        <v>45172</v>
      </c>
      <c r="Y44">
        <v>45352</v>
      </c>
      <c r="Z44" t="s">
        <v>8</v>
      </c>
      <c r="AA44">
        <v>14000000</v>
      </c>
      <c r="AB44">
        <v>1E-3</v>
      </c>
      <c r="AD44" t="s">
        <v>42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5"/>
        <v>1</v>
      </c>
      <c r="AK44" t="b">
        <f t="shared" si="14"/>
        <v>1</v>
      </c>
      <c r="AL44" t="b">
        <f t="shared" si="15"/>
        <v>1</v>
      </c>
      <c r="AM44" t="b">
        <f t="shared" si="16"/>
        <v>1</v>
      </c>
      <c r="AN44" t="b">
        <f t="shared" si="17"/>
        <v>1</v>
      </c>
      <c r="AO44" t="b">
        <f t="shared" si="18"/>
        <v>1</v>
      </c>
      <c r="AP44" t="b">
        <f t="shared" si="19"/>
        <v>1</v>
      </c>
      <c r="AR44" t="b">
        <f t="shared" si="9"/>
        <v>1</v>
      </c>
      <c r="AS44" t="b">
        <f t="shared" si="9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I45">
        <v>45532</v>
      </c>
      <c r="J45">
        <v>45352</v>
      </c>
      <c r="K45">
        <v>45532</v>
      </c>
      <c r="L45" t="str">
        <v>ACT/360</v>
      </c>
      <c r="M45">
        <v>15000000</v>
      </c>
      <c r="N45">
        <v>1E-3</v>
      </c>
      <c r="P45" t="str">
        <v>fixed_leg.cashflows.[2].day_count_type</v>
      </c>
      <c r="Q45" t="str">
        <v>ACT/360</v>
      </c>
      <c r="S45" t="s">
        <v>49</v>
      </c>
      <c r="T45">
        <v>1E-3</v>
      </c>
      <c r="U45">
        <v>1E-3</v>
      </c>
      <c r="W45">
        <v>45532</v>
      </c>
      <c r="X45">
        <v>45352</v>
      </c>
      <c r="Y45">
        <v>45532</v>
      </c>
      <c r="Z45" t="s">
        <v>8</v>
      </c>
      <c r="AA45">
        <v>15000000</v>
      </c>
      <c r="AB45">
        <v>1E-3</v>
      </c>
      <c r="AD45" t="s">
        <v>43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5"/>
        <v>1</v>
      </c>
      <c r="AK45" t="b">
        <f t="shared" si="14"/>
        <v>1</v>
      </c>
      <c r="AL45" t="b">
        <f t="shared" si="15"/>
        <v>1</v>
      </c>
      <c r="AM45" t="b">
        <f t="shared" si="16"/>
        <v>1</v>
      </c>
      <c r="AN45" t="b">
        <f t="shared" si="17"/>
        <v>1</v>
      </c>
      <c r="AO45" t="b">
        <f t="shared" si="18"/>
        <v>1</v>
      </c>
      <c r="AP45" t="b">
        <f t="shared" si="19"/>
        <v>1</v>
      </c>
      <c r="AR45" t="b">
        <f t="shared" si="9"/>
        <v>1</v>
      </c>
      <c r="AS45" t="b">
        <f t="shared" si="9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fixed_leg.cashflows.[2].amount</v>
      </c>
      <c r="Q46">
        <v>12000000</v>
      </c>
      <c r="S46" t="s">
        <v>50</v>
      </c>
      <c r="T46">
        <v>45352</v>
      </c>
      <c r="U46">
        <v>45352</v>
      </c>
      <c r="AD46" t="s">
        <v>178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5"/>
        <v>1</v>
      </c>
      <c r="AR46" t="b">
        <f t="shared" si="9"/>
        <v>1</v>
      </c>
      <c r="AS46" t="b">
        <f t="shared" si="9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I47" t="str">
        <f>E8</f>
        <v>payment _date</v>
      </c>
      <c r="J47" t="str">
        <f>H8</f>
        <v>day_count_type</v>
      </c>
      <c r="K47" t="str">
        <f>I8</f>
        <v>amount</v>
      </c>
      <c r="P47" t="str">
        <v>fixed_leg.cashflows.[2].fixed_rate</v>
      </c>
      <c r="Q47">
        <v>1E-3</v>
      </c>
      <c r="S47" t="s">
        <v>51</v>
      </c>
      <c r="T47">
        <v>45172</v>
      </c>
      <c r="U47">
        <v>45172</v>
      </c>
      <c r="W47" t="s">
        <v>0</v>
      </c>
      <c r="X47" t="s">
        <v>6</v>
      </c>
      <c r="Y47" t="s">
        <v>174</v>
      </c>
      <c r="AD47" t="s">
        <v>44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5"/>
        <v>1</v>
      </c>
      <c r="AR47" t="b">
        <f t="shared" si="9"/>
        <v>1</v>
      </c>
      <c r="AS47" t="b">
        <f t="shared" si="9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I48" cm="1">
        <f t="array" ref="I48:K53">_xll.ExLibris.Json.GetJsonTable(I19,I47:K47,TRUE)</f>
        <v>44632</v>
      </c>
      <c r="J48" t="str">
        <v>ACT/360</v>
      </c>
      <c r="K48">
        <v>10000000</v>
      </c>
      <c r="P48" t="str">
        <v>fixed_leg.cashflows.[3].payment _date</v>
      </c>
      <c r="Q48">
        <v>45172</v>
      </c>
      <c r="S48" t="s">
        <v>52</v>
      </c>
      <c r="T48">
        <v>45352</v>
      </c>
      <c r="U48">
        <v>45352</v>
      </c>
      <c r="W48">
        <v>44632</v>
      </c>
      <c r="X48" t="s">
        <v>8</v>
      </c>
      <c r="Y48">
        <v>10000000</v>
      </c>
      <c r="AD48" t="s">
        <v>45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5"/>
        <v>1</v>
      </c>
      <c r="AK48" t="b">
        <f t="shared" ref="AK48:AK66" si="20">I48=W48</f>
        <v>1</v>
      </c>
      <c r="AL48" t="b">
        <f t="shared" ref="AL48:AL53" si="21">J48=X48</f>
        <v>1</v>
      </c>
      <c r="AM48" t="b">
        <f t="shared" ref="AM48:AM53" si="22">K48=Y48</f>
        <v>1</v>
      </c>
      <c r="AR48" t="b">
        <f t="shared" si="9"/>
        <v>1</v>
      </c>
      <c r="AS48" t="b">
        <f t="shared" si="9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I49">
        <v>44812</v>
      </c>
      <c r="J49" t="str">
        <v>ACT/360</v>
      </c>
      <c r="K49">
        <v>11000000</v>
      </c>
      <c r="P49" t="str">
        <v>fixed_leg.cashflows.[3].start_date</v>
      </c>
      <c r="Q49">
        <v>44992</v>
      </c>
      <c r="S49" t="s">
        <v>53</v>
      </c>
      <c r="T49" t="s">
        <v>8</v>
      </c>
      <c r="U49" t="s">
        <v>8</v>
      </c>
      <c r="W49">
        <v>44812</v>
      </c>
      <c r="X49" t="s">
        <v>8</v>
      </c>
      <c r="Y49">
        <v>11000000</v>
      </c>
      <c r="AD49" t="s">
        <v>46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5"/>
        <v>1</v>
      </c>
      <c r="AK49" t="b">
        <f t="shared" si="20"/>
        <v>1</v>
      </c>
      <c r="AL49" t="b">
        <f t="shared" si="21"/>
        <v>1</v>
      </c>
      <c r="AM49" t="b">
        <f t="shared" si="22"/>
        <v>1</v>
      </c>
      <c r="AR49" t="b">
        <f t="shared" si="9"/>
        <v>1</v>
      </c>
      <c r="AS49" t="b">
        <f t="shared" si="9"/>
        <v>1</v>
      </c>
    </row>
    <row r="50" spans="5:45" x14ac:dyDescent="0.4">
      <c r="E50" t="str">
        <v>fixed_leg.cashflows.[4].amount</v>
      </c>
      <c r="F50">
        <v>14000000</v>
      </c>
      <c r="G50" cm="1">
        <f t="array" ref="G50">_xll.ExLibris.Json.GetJsonValue($F$1,E50)</f>
        <v>14000000</v>
      </c>
      <c r="I50">
        <v>44992</v>
      </c>
      <c r="J50" t="str">
        <v>ACT/360</v>
      </c>
      <c r="K50">
        <v>12000000</v>
      </c>
      <c r="P50" t="str">
        <v>fixed_leg.cashflows.[3].end_date</v>
      </c>
      <c r="Q50">
        <v>45172</v>
      </c>
      <c r="S50" t="s">
        <v>180</v>
      </c>
      <c r="T50">
        <v>14000000</v>
      </c>
      <c r="U50">
        <v>14000000</v>
      </c>
      <c r="W50">
        <v>44992</v>
      </c>
      <c r="X50" t="s">
        <v>8</v>
      </c>
      <c r="Y50">
        <v>12000000</v>
      </c>
      <c r="AD50" t="s">
        <v>47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5"/>
        <v>1</v>
      </c>
      <c r="AK50" t="b">
        <f t="shared" si="20"/>
        <v>1</v>
      </c>
      <c r="AL50" t="b">
        <f t="shared" si="21"/>
        <v>1</v>
      </c>
      <c r="AM50" t="b">
        <f t="shared" si="22"/>
        <v>1</v>
      </c>
      <c r="AR50" t="b">
        <f t="shared" si="9"/>
        <v>1</v>
      </c>
      <c r="AS50" t="b">
        <f t="shared" si="9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I51">
        <v>45172</v>
      </c>
      <c r="J51" t="str">
        <v>ACT/360</v>
      </c>
      <c r="K51">
        <v>13000000</v>
      </c>
      <c r="P51" t="str">
        <v>fixed_leg.cashflows.[3].day_count_type</v>
      </c>
      <c r="Q51" t="str">
        <v>ACT/360</v>
      </c>
      <c r="S51" t="s">
        <v>54</v>
      </c>
      <c r="T51">
        <v>1E-3</v>
      </c>
      <c r="U51">
        <v>1E-3</v>
      </c>
      <c r="W51">
        <v>45172</v>
      </c>
      <c r="X51" t="s">
        <v>8</v>
      </c>
      <c r="Y51">
        <v>13000000</v>
      </c>
      <c r="AD51" t="s">
        <v>48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5"/>
        <v>1</v>
      </c>
      <c r="AK51" t="b">
        <f t="shared" si="20"/>
        <v>1</v>
      </c>
      <c r="AL51" t="b">
        <f t="shared" si="21"/>
        <v>1</v>
      </c>
      <c r="AM51" t="b">
        <f t="shared" si="22"/>
        <v>1</v>
      </c>
      <c r="AR51" t="b">
        <f t="shared" si="9"/>
        <v>1</v>
      </c>
      <c r="AS51" t="b">
        <f t="shared" si="9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I52">
        <v>45352</v>
      </c>
      <c r="J52" t="str">
        <v>ACT/360</v>
      </c>
      <c r="K52">
        <v>14000000</v>
      </c>
      <c r="P52" t="str">
        <v>fixed_leg.cashflows.[3].amount</v>
      </c>
      <c r="Q52">
        <v>13000000</v>
      </c>
      <c r="S52" t="s">
        <v>55</v>
      </c>
      <c r="T52">
        <v>45532</v>
      </c>
      <c r="U52">
        <v>45532</v>
      </c>
      <c r="W52">
        <v>45352</v>
      </c>
      <c r="X52" t="s">
        <v>8</v>
      </c>
      <c r="Y52">
        <v>14000000</v>
      </c>
      <c r="AD52" t="s">
        <v>179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5"/>
        <v>1</v>
      </c>
      <c r="AK52" t="b">
        <f t="shared" si="20"/>
        <v>1</v>
      </c>
      <c r="AL52" t="b">
        <f t="shared" si="21"/>
        <v>1</v>
      </c>
      <c r="AM52" t="b">
        <f t="shared" si="22"/>
        <v>1</v>
      </c>
      <c r="AR52" t="b">
        <f t="shared" si="9"/>
        <v>1</v>
      </c>
      <c r="AS52" t="b">
        <f t="shared" si="9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I53">
        <v>45532</v>
      </c>
      <c r="J53" t="str">
        <v>ACT/360</v>
      </c>
      <c r="K53">
        <v>15000000</v>
      </c>
      <c r="P53" t="str">
        <v>fixed_leg.cashflows.[3].fixed_rate</v>
      </c>
      <c r="Q53">
        <v>1E-3</v>
      </c>
      <c r="S53" t="s">
        <v>56</v>
      </c>
      <c r="T53">
        <v>45352</v>
      </c>
      <c r="U53">
        <v>45352</v>
      </c>
      <c r="W53">
        <v>45532</v>
      </c>
      <c r="X53" t="s">
        <v>8</v>
      </c>
      <c r="Y53">
        <v>15000000</v>
      </c>
      <c r="AD53" t="s">
        <v>49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5"/>
        <v>1</v>
      </c>
      <c r="AK53" t="b">
        <f t="shared" si="20"/>
        <v>1</v>
      </c>
      <c r="AL53" t="b">
        <f t="shared" si="21"/>
        <v>1</v>
      </c>
      <c r="AM53" t="b">
        <f t="shared" si="22"/>
        <v>1</v>
      </c>
      <c r="AR53" t="b">
        <f t="shared" si="9"/>
        <v>1</v>
      </c>
      <c r="AS53" t="b">
        <f t="shared" si="9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57</v>
      </c>
      <c r="T54">
        <v>45532</v>
      </c>
      <c r="U54">
        <v>45532</v>
      </c>
      <c r="AD54" t="s">
        <v>50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5"/>
        <v>1</v>
      </c>
      <c r="AR54" t="b">
        <f t="shared" si="9"/>
        <v>1</v>
      </c>
      <c r="AS54" t="b">
        <f t="shared" si="9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I55" t="str" cm="1">
        <f t="array" ref="I55:I57">_xll.ExLibris.Json.SearchJsonKeys(F1,"*.*.*.*",E10)</f>
        <v>fixed_leg.cashflows.[1].payment _date</v>
      </c>
      <c r="P55" t="str">
        <v>fixed_leg.cashflows.[4].start_date</v>
      </c>
      <c r="Q55">
        <v>45172</v>
      </c>
      <c r="S55" t="s">
        <v>58</v>
      </c>
      <c r="T55" t="s">
        <v>8</v>
      </c>
      <c r="U55" t="s">
        <v>8</v>
      </c>
      <c r="W55" t="s">
        <v>35</v>
      </c>
      <c r="AD55" t="s">
        <v>51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5"/>
        <v>1</v>
      </c>
      <c r="AK55" t="b">
        <f t="shared" si="20"/>
        <v>1</v>
      </c>
      <c r="AR55" t="b">
        <f t="shared" si="9"/>
        <v>1</v>
      </c>
      <c r="AS55" t="b">
        <f t="shared" si="9"/>
        <v>1</v>
      </c>
    </row>
    <row r="56" spans="5:45" x14ac:dyDescent="0.4">
      <c r="E56" t="str">
        <v>fixed_leg.cashflows.[5].amount</v>
      </c>
      <c r="F56">
        <v>15000000</v>
      </c>
      <c r="G56" cm="1">
        <f t="array" ref="G56">_xll.ExLibris.Json.GetJsonValue($F$1,E56)</f>
        <v>15000000</v>
      </c>
      <c r="I56" t="str">
        <v>fixed_leg.cashflows.[1].end_date</v>
      </c>
      <c r="P56" t="str">
        <v>fixed_leg.cashflows.[4].end_date</v>
      </c>
      <c r="Q56">
        <v>45352</v>
      </c>
      <c r="S56" t="s">
        <v>181</v>
      </c>
      <c r="T56">
        <v>15000000</v>
      </c>
      <c r="U56">
        <v>15000000</v>
      </c>
      <c r="W56" t="s">
        <v>37</v>
      </c>
      <c r="AD56" t="s">
        <v>52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5"/>
        <v>1</v>
      </c>
      <c r="AK56" t="b">
        <f t="shared" si="20"/>
        <v>1</v>
      </c>
      <c r="AR56" t="b">
        <f t="shared" si="9"/>
        <v>1</v>
      </c>
      <c r="AS56" t="b">
        <f t="shared" si="9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I57" t="str">
        <v>fixed_leg.cashflows.[2].start_date</v>
      </c>
      <c r="P57" t="str">
        <v>fixed_leg.cashflows.[4].day_count_type</v>
      </c>
      <c r="Q57" t="str">
        <v>ACT/360</v>
      </c>
      <c r="S57" t="s">
        <v>59</v>
      </c>
      <c r="T57">
        <v>1E-3</v>
      </c>
      <c r="U57">
        <v>1E-3</v>
      </c>
      <c r="W57" t="s">
        <v>41</v>
      </c>
      <c r="AD57" t="s">
        <v>53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5"/>
        <v>1</v>
      </c>
      <c r="AK57" t="b">
        <f t="shared" si="20"/>
        <v>1</v>
      </c>
      <c r="AR57" t="b">
        <f t="shared" si="9"/>
        <v>1</v>
      </c>
      <c r="AS57" t="b">
        <f t="shared" si="9"/>
        <v>1</v>
      </c>
    </row>
    <row r="58" spans="5:45" x14ac:dyDescent="0.4">
      <c r="P58" t="str">
        <v>fixed_leg.cashflows.[4].amount</v>
      </c>
      <c r="Q58">
        <v>14000000</v>
      </c>
      <c r="AD58" t="s">
        <v>180</v>
      </c>
      <c r="AE58">
        <v>14000000</v>
      </c>
      <c r="AR58" t="b">
        <f t="shared" si="9"/>
        <v>1</v>
      </c>
      <c r="AS58" t="b">
        <f t="shared" si="9"/>
        <v>1</v>
      </c>
    </row>
    <row r="59" spans="5:45" x14ac:dyDescent="0.4">
      <c r="I59" t="str" cm="1">
        <f t="array" ref="I59">_xll.ExLibris.Json.SearchJsonKeys(F1,"fixed_leg.cashflows.*.payment _date",E10)</f>
        <v>fixed_leg.cashflows.[1].payment _date</v>
      </c>
      <c r="P59" t="str">
        <v>fixed_leg.cashflows.[4].fixed_rate</v>
      </c>
      <c r="Q59">
        <v>1E-3</v>
      </c>
      <c r="W59" t="s">
        <v>35</v>
      </c>
      <c r="AD59" t="s">
        <v>54</v>
      </c>
      <c r="AE59">
        <v>1E-3</v>
      </c>
      <c r="AK59" t="b">
        <f t="shared" si="20"/>
        <v>1</v>
      </c>
      <c r="AR59" t="b">
        <f t="shared" si="9"/>
        <v>1</v>
      </c>
      <c r="AS59" t="b">
        <f t="shared" si="9"/>
        <v>1</v>
      </c>
    </row>
    <row r="60" spans="5:45" x14ac:dyDescent="0.4">
      <c r="P60" t="str">
        <v>fixed_leg.cashflows.[5].payment _date</v>
      </c>
      <c r="Q60">
        <v>45532</v>
      </c>
      <c r="AD60" t="s">
        <v>55</v>
      </c>
      <c r="AE60">
        <v>45532</v>
      </c>
      <c r="AR60" t="b">
        <f t="shared" si="9"/>
        <v>1</v>
      </c>
      <c r="AS60" t="b">
        <f t="shared" si="9"/>
        <v>1</v>
      </c>
    </row>
    <row r="61" spans="5:45" x14ac:dyDescent="0.4">
      <c r="I61" t="str" cm="1">
        <f t="array" ref="I61:I66">_xll.ExLibris.Json.SearchJsonKeys(F1,"*.*.*.*",H9)</f>
        <v>fixed_leg.cashflows.[0].day_count_type</v>
      </c>
      <c r="P61" t="str">
        <v>fixed_leg.cashflows.[5].start_date</v>
      </c>
      <c r="Q61">
        <v>45352</v>
      </c>
      <c r="W61" t="s">
        <v>33</v>
      </c>
      <c r="AD61" t="s">
        <v>56</v>
      </c>
      <c r="AE61">
        <v>45352</v>
      </c>
      <c r="AK61" t="b">
        <f t="shared" si="20"/>
        <v>1</v>
      </c>
      <c r="AR61" t="b">
        <f t="shared" si="9"/>
        <v>1</v>
      </c>
      <c r="AS61" t="b">
        <f t="shared" si="9"/>
        <v>1</v>
      </c>
    </row>
    <row r="62" spans="5:45" x14ac:dyDescent="0.4">
      <c r="I62" t="str">
        <v>fixed_leg.cashflows.[1].day_count_type</v>
      </c>
      <c r="P62" t="str">
        <v>fixed_leg.cashflows.[5].end_date</v>
      </c>
      <c r="Q62">
        <v>45532</v>
      </c>
      <c r="W62" t="s">
        <v>38</v>
      </c>
      <c r="AD62" t="s">
        <v>57</v>
      </c>
      <c r="AE62">
        <v>45532</v>
      </c>
      <c r="AK62" t="b">
        <f t="shared" si="20"/>
        <v>1</v>
      </c>
      <c r="AR62" t="b">
        <f t="shared" si="9"/>
        <v>1</v>
      </c>
      <c r="AS62" t="b">
        <f t="shared" si="9"/>
        <v>1</v>
      </c>
    </row>
    <row r="63" spans="5:45" x14ac:dyDescent="0.4">
      <c r="I63" t="str">
        <v>fixed_leg.cashflows.[2].day_count_type</v>
      </c>
      <c r="P63" t="str">
        <v>fixed_leg.cashflows.[5].day_count_type</v>
      </c>
      <c r="Q63" t="str">
        <v>ACT/360</v>
      </c>
      <c r="W63" t="s">
        <v>43</v>
      </c>
      <c r="AD63" t="s">
        <v>58</v>
      </c>
      <c r="AE63" t="s">
        <v>8</v>
      </c>
      <c r="AK63" t="b">
        <f t="shared" si="20"/>
        <v>1</v>
      </c>
      <c r="AR63" t="b">
        <f t="shared" si="9"/>
        <v>1</v>
      </c>
      <c r="AS63" t="b">
        <f t="shared" si="9"/>
        <v>1</v>
      </c>
    </row>
    <row r="64" spans="5:45" x14ac:dyDescent="0.4">
      <c r="I64" t="str">
        <v>fixed_leg.cashflows.[3].day_count_type</v>
      </c>
      <c r="P64" t="str">
        <v>fixed_leg.cashflows.[5].amount</v>
      </c>
      <c r="Q64">
        <v>15000000</v>
      </c>
      <c r="W64" t="s">
        <v>48</v>
      </c>
      <c r="AD64" t="s">
        <v>181</v>
      </c>
      <c r="AE64">
        <v>15000000</v>
      </c>
      <c r="AK64" t="b">
        <f t="shared" si="20"/>
        <v>1</v>
      </c>
      <c r="AR64" t="b">
        <f t="shared" si="9"/>
        <v>1</v>
      </c>
      <c r="AS64" t="b">
        <f t="shared" si="9"/>
        <v>1</v>
      </c>
    </row>
    <row r="65" spans="9:45" x14ac:dyDescent="0.4">
      <c r="I65" t="str">
        <v>fixed_leg.cashflows.[4].day_count_type</v>
      </c>
      <c r="P65" t="str">
        <v>fixed_leg.cashflows.[5].fixed_rate</v>
      </c>
      <c r="Q65">
        <v>1E-3</v>
      </c>
      <c r="W65" t="s">
        <v>53</v>
      </c>
      <c r="AD65" t="s">
        <v>59</v>
      </c>
      <c r="AE65">
        <v>1E-3</v>
      </c>
      <c r="AK65" t="b">
        <f t="shared" si="20"/>
        <v>1</v>
      </c>
      <c r="AR65" t="b">
        <f>P65=AD65</f>
        <v>1</v>
      </c>
      <c r="AS65" t="b">
        <f>Q65=AE65</f>
        <v>1</v>
      </c>
    </row>
    <row r="66" spans="9:45" x14ac:dyDescent="0.4">
      <c r="I66" t="str">
        <v>fixed_leg.cashflows.[5].day_count_type</v>
      </c>
      <c r="W66" t="s">
        <v>58</v>
      </c>
      <c r="AK66" t="b">
        <f t="shared" si="20"/>
        <v>1</v>
      </c>
    </row>
    <row r="67" spans="9:45" x14ac:dyDescent="0.4">
      <c r="P67" t="str" cm="1">
        <f t="array" ref="P67:Q72">_xll.ExLibris.Json.GetJsonKeyValues(F1,"fixed_leg.cashflows.*.payment _date")</f>
        <v>fixed_leg.cashflows.[0].payment _date</v>
      </c>
      <c r="Q67">
        <v>44632</v>
      </c>
      <c r="AD67" t="s">
        <v>30</v>
      </c>
      <c r="AE67">
        <v>44632</v>
      </c>
      <c r="AR67" t="b">
        <f t="shared" ref="AR67:AR79" si="23">P67=AD67</f>
        <v>1</v>
      </c>
      <c r="AS67" t="b">
        <f t="shared" ref="AS67:AS79" si="24">Q67=AE67</f>
        <v>1</v>
      </c>
    </row>
    <row r="68" spans="9:45" x14ac:dyDescent="0.4">
      <c r="P68" t="str">
        <v>fixed_leg.cashflows.[1].payment _date</v>
      </c>
      <c r="Q68">
        <v>44812</v>
      </c>
      <c r="AD68" t="s">
        <v>35</v>
      </c>
      <c r="AE68">
        <v>44812</v>
      </c>
      <c r="AR68" t="b">
        <f t="shared" si="23"/>
        <v>1</v>
      </c>
      <c r="AS68" t="b">
        <f t="shared" si="24"/>
        <v>1</v>
      </c>
    </row>
    <row r="69" spans="9:45" x14ac:dyDescent="0.4">
      <c r="P69" t="str">
        <v>fixed_leg.cashflows.[2].payment _date</v>
      </c>
      <c r="Q69">
        <v>44992</v>
      </c>
      <c r="AD69" t="s">
        <v>40</v>
      </c>
      <c r="AE69">
        <v>44992</v>
      </c>
      <c r="AR69" t="b">
        <f t="shared" si="23"/>
        <v>1</v>
      </c>
      <c r="AS69" t="b">
        <f t="shared" si="24"/>
        <v>1</v>
      </c>
    </row>
    <row r="70" spans="9:45" x14ac:dyDescent="0.4">
      <c r="P70" t="str">
        <v>fixed_leg.cashflows.[3].payment _date</v>
      </c>
      <c r="Q70">
        <v>45172</v>
      </c>
      <c r="AD70" t="s">
        <v>45</v>
      </c>
      <c r="AE70">
        <v>45172</v>
      </c>
      <c r="AR70" t="b">
        <f t="shared" si="23"/>
        <v>1</v>
      </c>
      <c r="AS70" t="b">
        <f t="shared" si="24"/>
        <v>1</v>
      </c>
    </row>
    <row r="71" spans="9:45" x14ac:dyDescent="0.4">
      <c r="P71" t="str">
        <v>fixed_leg.cashflows.[4].payment _date</v>
      </c>
      <c r="Q71">
        <v>45352</v>
      </c>
      <c r="AD71" t="s">
        <v>50</v>
      </c>
      <c r="AE71">
        <v>45352</v>
      </c>
      <c r="AR71" t="b">
        <f t="shared" si="23"/>
        <v>1</v>
      </c>
      <c r="AS71" t="b">
        <f t="shared" si="24"/>
        <v>1</v>
      </c>
    </row>
    <row r="72" spans="9:45" x14ac:dyDescent="0.4">
      <c r="P72" t="str">
        <v>fixed_leg.cashflows.[5].payment _date</v>
      </c>
      <c r="Q72">
        <v>45532</v>
      </c>
      <c r="AD72" t="s">
        <v>55</v>
      </c>
      <c r="AE72">
        <v>45532</v>
      </c>
      <c r="AR72" t="b">
        <f t="shared" si="23"/>
        <v>1</v>
      </c>
      <c r="AS72" t="b">
        <f t="shared" si="24"/>
        <v>1</v>
      </c>
    </row>
    <row r="74" spans="9:45" x14ac:dyDescent="0.4">
      <c r="P74" t="str" cm="1">
        <f t="array" ref="P74:Q79">_xll.ExLibris.Json.GetJsonKeyValues(F1,"fixed_leg.cashflows.[3].*")</f>
        <v>fixed_leg.cashflows.[3].payment _date</v>
      </c>
      <c r="Q74">
        <v>45172</v>
      </c>
      <c r="AD74" t="s">
        <v>45</v>
      </c>
      <c r="AE74">
        <v>45172</v>
      </c>
      <c r="AR74" t="b">
        <f t="shared" si="23"/>
        <v>1</v>
      </c>
      <c r="AS74" t="b">
        <f t="shared" si="24"/>
        <v>1</v>
      </c>
    </row>
    <row r="75" spans="9:45" x14ac:dyDescent="0.4">
      <c r="P75" t="str">
        <v>fixed_leg.cashflows.[3].start_date</v>
      </c>
      <c r="Q75">
        <v>44992</v>
      </c>
      <c r="AD75" t="s">
        <v>46</v>
      </c>
      <c r="AE75">
        <v>44992</v>
      </c>
      <c r="AR75" t="b">
        <f t="shared" si="23"/>
        <v>1</v>
      </c>
      <c r="AS75" t="b">
        <f t="shared" si="24"/>
        <v>1</v>
      </c>
    </row>
    <row r="76" spans="9:45" x14ac:dyDescent="0.4">
      <c r="P76" t="str">
        <v>fixed_leg.cashflows.[3].end_date</v>
      </c>
      <c r="Q76">
        <v>45172</v>
      </c>
      <c r="AD76" t="s">
        <v>47</v>
      </c>
      <c r="AE76">
        <v>45172</v>
      </c>
      <c r="AR76" t="b">
        <f t="shared" si="23"/>
        <v>1</v>
      </c>
      <c r="AS76" t="b">
        <f t="shared" si="24"/>
        <v>1</v>
      </c>
    </row>
    <row r="77" spans="9:45" x14ac:dyDescent="0.4">
      <c r="P77" t="str">
        <v>fixed_leg.cashflows.[3].day_count_type</v>
      </c>
      <c r="Q77" t="str">
        <v>ACT/360</v>
      </c>
      <c r="AD77" t="s">
        <v>48</v>
      </c>
      <c r="AE77" t="s">
        <v>8</v>
      </c>
      <c r="AR77" t="b">
        <f t="shared" si="23"/>
        <v>1</v>
      </c>
      <c r="AS77" t="b">
        <f t="shared" si="24"/>
        <v>1</v>
      </c>
    </row>
    <row r="78" spans="9:45" x14ac:dyDescent="0.4">
      <c r="P78" t="str">
        <v>fixed_leg.cashflows.[3].amount</v>
      </c>
      <c r="Q78">
        <v>13000000</v>
      </c>
      <c r="AD78" t="s">
        <v>183</v>
      </c>
      <c r="AE78">
        <v>13000000</v>
      </c>
      <c r="AR78" t="b">
        <f t="shared" si="23"/>
        <v>1</v>
      </c>
      <c r="AS78" t="b">
        <f t="shared" si="24"/>
        <v>1</v>
      </c>
    </row>
    <row r="79" spans="9:45" x14ac:dyDescent="0.4">
      <c r="P79" t="str">
        <v>fixed_leg.cashflows.[3].fixed_rate</v>
      </c>
      <c r="Q79">
        <v>1E-3</v>
      </c>
      <c r="AD79" t="s">
        <v>49</v>
      </c>
      <c r="AE79">
        <v>1E-3</v>
      </c>
      <c r="AR79" t="b">
        <f t="shared" si="23"/>
        <v>1</v>
      </c>
      <c r="AS79" t="b">
        <f t="shared" si="24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79"/>
  <sheetViews>
    <sheetView zoomScaleNormal="100" workbookViewId="0"/>
  </sheetViews>
  <sheetFormatPr defaultRowHeight="18.75" x14ac:dyDescent="0.4"/>
  <cols>
    <col min="1" max="1" width="2.25" customWidth="1"/>
    <col min="2" max="2" width="15.5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3.875" customWidth="1"/>
    <col min="17" max="17" width="54.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25</v>
      </c>
      <c r="F1" t="str" cm="1">
        <f t="array" ref="F1">_xll.ExLibris.Json.CreateJsonObjectAsync(E3:F6)</f>
        <v>JsonObject:723B0A74-DF02-4FD0-9EF4-593C324E3C06</v>
      </c>
      <c r="K1" t="str">
        <f>EXLIBRIS_CONFIGURATION</f>
        <v>ExLibris.Core.ExLibrisConfiguration:43CDA749-FF2B-4DE5-830F-819BA4EA357C</v>
      </c>
    </row>
    <row r="2" spans="2:28" x14ac:dyDescent="0.4">
      <c r="B2" s="5" t="s">
        <v>62</v>
      </c>
      <c r="C2" s="5"/>
    </row>
    <row r="3" spans="2:28" x14ac:dyDescent="0.4">
      <c r="B3" s="6" t="s">
        <v>63</v>
      </c>
      <c r="C3" s="6">
        <f>COUNTIF(AG19:AI57,FALSE)</f>
        <v>0</v>
      </c>
      <c r="E3" t="s">
        <v>13</v>
      </c>
      <c r="F3" t="s">
        <v>15</v>
      </c>
    </row>
    <row r="4" spans="2:28" x14ac:dyDescent="0.4">
      <c r="B4" s="6" t="s">
        <v>64</v>
      </c>
      <c r="C4" s="6">
        <f>COUNTIF(AK20:AP26,FALSE)</f>
        <v>0</v>
      </c>
      <c r="E4" t="s">
        <v>17</v>
      </c>
      <c r="F4" t="s">
        <v>19</v>
      </c>
    </row>
    <row r="5" spans="2:28" x14ac:dyDescent="0.4">
      <c r="B5" s="6" t="s">
        <v>65</v>
      </c>
      <c r="C5" s="6" t="str">
        <f>IF(M6=M7,"ok","ng")</f>
        <v>ok</v>
      </c>
      <c r="E5" t="s">
        <v>21</v>
      </c>
      <c r="F5" t="s">
        <v>23</v>
      </c>
      <c r="L5" t="s">
        <v>65</v>
      </c>
    </row>
    <row r="6" spans="2:28" x14ac:dyDescent="0.4">
      <c r="B6" s="6" t="s">
        <v>67</v>
      </c>
      <c r="C6" s="6">
        <f>COUNTIF(AK29:AP30,FALSE)</f>
        <v>0</v>
      </c>
      <c r="E6" t="s">
        <v>24</v>
      </c>
      <c r="F6" t="str" cm="1">
        <f t="array" ref="F6">_xll.ExLibris.Json.CreateJsonArrayAsync(E8:J14)</f>
        <v>JsonObject:5FD41677-F37C-4EA5-A212-1A6747E83060</v>
      </c>
      <c r="L6" t="s">
        <v>60</v>
      </c>
      <c r="M6" t="str" cm="1">
        <f t="array" ref="M6">_xll.ExLibris.Json.ShowJsonTextAsync(F1)</f>
        <v>{"trade_code":"money_00001","couter_party":"CP00001","fixed_leg":{"pay_or_recieve":"Receive","cashflows":[{"payment _date":44632,"start_date":44452,"end_date":44632,"day_count_type":"ACT/360","amount":10000000,"fixed_rate":0.001},{"payment _date":44812,"start_date":44632,"end_date":44812,"day_count_type":"ACT/360","amount":11000000,"fixed_rate":0.001},{"payment _date":44992,"start_date":44812,"end_date":44992,"day_count_type":"ACT/360","amount":12000000,"fixed_rate":0.001},{"payment _date":45172,"start_date":44992,"end_date":45172,"day_count_type":"ACT/360","amount":13000000,"fixed_rate":0.001},{"payment _date":45352,"start_date":45172,"end_date":45352,"day_count_type":"ACT/360","amount":14000000,"fixed_rate":0.001},{"payment _date":45532,"start_date":45352,"end_date":45532,"day_count_type":"ACT/360","amount":15000000,"fixed_rate":0.001}]}}</v>
      </c>
    </row>
    <row r="7" spans="2:28" x14ac:dyDescent="0.4">
      <c r="B7" s="6" t="s">
        <v>95</v>
      </c>
      <c r="C7" s="6">
        <f>COUNTIF(AR19:AS21,FALSE)</f>
        <v>0</v>
      </c>
      <c r="L7" t="s">
        <v>66</v>
      </c>
      <c r="M7" t="s">
        <v>182</v>
      </c>
    </row>
    <row r="8" spans="2:28" x14ac:dyDescent="0.4">
      <c r="B8" s="6" t="s">
        <v>96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175</v>
      </c>
      <c r="J8" t="s">
        <v>11</v>
      </c>
    </row>
    <row r="9" spans="2:28" x14ac:dyDescent="0.4">
      <c r="B9" s="6" t="s">
        <v>171</v>
      </c>
      <c r="C9" s="6">
        <f>COUNTIF(AR67:AS72,FALSE)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B10" s="6" t="s">
        <v>172</v>
      </c>
      <c r="C10" s="6">
        <f>COUNTIF(AR74:AS79,FALSE)</f>
        <v>0</v>
      </c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B11" s="6" t="s">
        <v>173</v>
      </c>
      <c r="C11" s="6">
        <f>COUNTIF(AK32:AN38,FALSE)</f>
        <v>0</v>
      </c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B12" s="6" t="s">
        <v>187</v>
      </c>
      <c r="C12" s="6">
        <f>COUNTIF(AK40:AP45,FALSE)</f>
        <v>0</v>
      </c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B13" s="6" t="s">
        <v>188</v>
      </c>
      <c r="C13" s="6">
        <f>COUNTIF(AK48:AM53,FALSE)</f>
        <v>0</v>
      </c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B14" s="6" t="s">
        <v>189</v>
      </c>
      <c r="C14" s="6">
        <f>COUNTIF(W55:W57,FALSE)</f>
        <v>0</v>
      </c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5" spans="2:28" x14ac:dyDescent="0.4">
      <c r="B15" s="6" t="s">
        <v>190</v>
      </c>
      <c r="C15" s="6">
        <f>COUNTIF(AK59,FALSE)</f>
        <v>0</v>
      </c>
    </row>
    <row r="16" spans="2:28" s="4" customFormat="1" x14ac:dyDescent="0.4">
      <c r="B16" s="6" t="s">
        <v>191</v>
      </c>
      <c r="C16" s="6">
        <f>COUNTIF(AK61:AK66,FALSE)</f>
        <v>0</v>
      </c>
      <c r="E16" s="4" t="s">
        <v>60</v>
      </c>
      <c r="S16" s="4" t="s">
        <v>184</v>
      </c>
      <c r="AB16" s="4" t="s">
        <v>185</v>
      </c>
    </row>
    <row r="18" spans="5:45" x14ac:dyDescent="0.4">
      <c r="E18" t="s">
        <v>27</v>
      </c>
      <c r="I18" t="s">
        <v>29</v>
      </c>
      <c r="S18" t="s">
        <v>26</v>
      </c>
      <c r="W18" t="s">
        <v>28</v>
      </c>
      <c r="AG18" t="s">
        <v>26</v>
      </c>
      <c r="AK18" t="s">
        <v>28</v>
      </c>
    </row>
    <row r="19" spans="5:45" x14ac:dyDescent="0.4">
      <c r="E19" t="str" cm="1">
        <f t="array" ref="E19:F57">_xll.ExLibris.Json.GetJsonKeyValuesAsync(F1)</f>
        <v>trade_code</v>
      </c>
      <c r="F19" t="str">
        <v>money_00001</v>
      </c>
      <c r="G19" t="str" cm="1">
        <f t="array" ref="G19">_xll.ExLibris.Json.GetJsonValueAsync($F$1,E19)</f>
        <v>money_00001</v>
      </c>
      <c r="I19" t="str" cm="1">
        <f t="array" ref="I19">_xll.ExLibris.Json.GetJsonValueAsync(F1,E6)</f>
        <v>JsonObject:AC506055-B845-4A2C-8C70-9139587E51CD</v>
      </c>
      <c r="P19" t="str" cm="1">
        <f t="array" ref="P19:Q27">_xll.ExLibris.Json.GetJsonKeyValuesAsync(F1,3)</f>
        <v>trade_code</v>
      </c>
      <c r="Q19" t="str">
        <v>money_00001</v>
      </c>
      <c r="S19" t="s">
        <v>12</v>
      </c>
      <c r="T19" t="s">
        <v>14</v>
      </c>
      <c r="U19" t="s">
        <v>14</v>
      </c>
      <c r="AD19" t="s">
        <v>12</v>
      </c>
      <c r="AE19" t="s">
        <v>14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_xll.ExLibris.Json.GetJsonValueAsync($F$1,E20)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amount</v>
      </c>
      <c r="N20" t="str">
        <v>fixed_rate</v>
      </c>
      <c r="P20" t="str">
        <v>couter_party</v>
      </c>
      <c r="Q20" t="str">
        <v>CP00001</v>
      </c>
      <c r="S20" t="s">
        <v>16</v>
      </c>
      <c r="T20" t="s">
        <v>18</v>
      </c>
      <c r="U20" t="s">
        <v>18</v>
      </c>
      <c r="W20" t="s">
        <v>0</v>
      </c>
      <c r="X20" t="s">
        <v>2</v>
      </c>
      <c r="Y20" t="s">
        <v>4</v>
      </c>
      <c r="Z20" t="s">
        <v>6</v>
      </c>
      <c r="AA20" t="s">
        <v>174</v>
      </c>
      <c r="AB20" t="s">
        <v>10</v>
      </c>
      <c r="AD20" t="s">
        <v>16</v>
      </c>
      <c r="AE20" t="s">
        <v>18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_xll.ExLibris.Json.GetJsonValueAsync($F$1,E21)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20</v>
      </c>
      <c r="T21" t="s">
        <v>22</v>
      </c>
      <c r="U21" t="s">
        <v>22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20</v>
      </c>
      <c r="AE21" t="s">
        <v>22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_xll.ExLibris.Json.GetJsonValueAsync($F$1,E22)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JsonObject:A9BA2E40-3407-457D-8B61-C8CCDCD714C4</v>
      </c>
      <c r="S22" t="s">
        <v>30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_xll.ExLibris.Json.GetJsonValueAsync($F$1,E23)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JsonObject:DB7E89B7-F825-44A4-9F04-6B09BE313945</v>
      </c>
      <c r="S23" t="s">
        <v>31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_xll.ExLibris.Json.GetJsonValueAsync($F$1,E24)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JsonObject:EAFD7DA8-DACD-4B48-9B67-89ED7225FC7E</v>
      </c>
      <c r="S24" t="s">
        <v>32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JsonObject:BDDEB479-1F6F-4824-95BF-8B11299D3902</v>
      </c>
      <c r="S25" t="s">
        <v>33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fixed_leg.cashflows.[0].amount</v>
      </c>
      <c r="F26">
        <v>10000000</v>
      </c>
      <c r="G26" cm="1">
        <f t="array" ref="G26">_xll.ExLibris.Json.GetJsonValueAsync($F$1,E26)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JsonObject:85762E8B-EF1C-480A-8072-85D541093E50</v>
      </c>
      <c r="S26" t="s">
        <v>176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_xll.ExLibris.Json.GetJsonValueAsync($F$1,E27)</f>
        <v>1E-3</v>
      </c>
      <c r="P27" t="str">
        <v>fixed_leg.cashflows.[5]</v>
      </c>
      <c r="Q27" t="str">
        <v>JsonObject:3422A119-928D-42F0-9CE7-2D304858FD11</v>
      </c>
      <c r="S27" t="s">
        <v>34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_xll.ExLibris.Json.GetJsonValueAsync($F$1,E28)</f>
        <v>44812</v>
      </c>
      <c r="I28" t="str" cm="1">
        <f t="array" ref="I28">_xll.ExLibris.Json.GetJsonValueAsync(I19,"[2]")</f>
        <v>JsonObject:9D5ABDDB-E037-4074-BD54-A2947424B6D1</v>
      </c>
      <c r="S28" t="s">
        <v>35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_xll.ExLibris.Json.GetJsonValueAsync($F$1,E29)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amount</v>
      </c>
      <c r="N29" t="str">
        <v>fixed_rate</v>
      </c>
      <c r="P29" t="str" cm="1">
        <f t="array" ref="P29">_xll.ExLibris.Json.CreateJsonObjectAsync(P22:Q27)</f>
        <v>JsonObject:D693D436-E61B-47EF-9546-CA389BD1FE50</v>
      </c>
      <c r="S29" t="s">
        <v>36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174</v>
      </c>
      <c r="AB29" t="s">
        <v>10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_xll.ExLibris.Json.GetJsonValueAsync($F$1,E30)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37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30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_xll.ExLibris.Json.GetJsonValueAsync($F$1,E31)</f>
        <v>ACT/360</v>
      </c>
      <c r="P31" t="str">
        <v>fixed_leg.cashflows.[0].start_date</v>
      </c>
      <c r="Q31">
        <v>44452</v>
      </c>
      <c r="S31" t="s">
        <v>38</v>
      </c>
      <c r="T31" t="s">
        <v>8</v>
      </c>
      <c r="U31" t="s">
        <v>8</v>
      </c>
      <c r="AD31" t="s">
        <v>31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fixed_leg.cashflows.[1].amount</v>
      </c>
      <c r="F32">
        <v>11000000</v>
      </c>
      <c r="G32" cm="1">
        <f t="array" ref="G32">_xll.ExLibris.Json.GetJsonValueAsync($F$1,E32)</f>
        <v>11000000</v>
      </c>
      <c r="I32" t="str" cm="1">
        <f t="array" ref="I32:L38">_xll.ExLibris.Json.GetJsonTableAsync(I19,E8:H8)</f>
        <v>payment _date</v>
      </c>
      <c r="J32" t="str">
        <v>start_date</v>
      </c>
      <c r="K32" t="str">
        <v>end_date</v>
      </c>
      <c r="L32" t="str">
        <v>day_count_type</v>
      </c>
      <c r="P32" t="str">
        <v>fixed_leg.cashflows.[0].end_date</v>
      </c>
      <c r="Q32">
        <v>44632</v>
      </c>
      <c r="S32" t="s">
        <v>177</v>
      </c>
      <c r="T32">
        <v>11000000</v>
      </c>
      <c r="U32">
        <v>11000000</v>
      </c>
      <c r="W32" t="s">
        <v>0</v>
      </c>
      <c r="X32" t="s">
        <v>2</v>
      </c>
      <c r="Y32" t="s">
        <v>4</v>
      </c>
      <c r="Z32" t="s">
        <v>6</v>
      </c>
      <c r="AD32" t="s">
        <v>32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K32" t="b">
        <f t="shared" ref="AK32:AN38" si="12">I32=W32</f>
        <v>1</v>
      </c>
      <c r="AL32" t="b">
        <f t="shared" si="12"/>
        <v>1</v>
      </c>
      <c r="AM32" t="b">
        <f t="shared" si="12"/>
        <v>1</v>
      </c>
      <c r="AN32" t="b">
        <f t="shared" si="12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_xll.ExLibris.Json.GetJsonValueAsync($F$1,E33)</f>
        <v>1E-3</v>
      </c>
      <c r="I33">
        <v>44632</v>
      </c>
      <c r="J33">
        <v>44452</v>
      </c>
      <c r="K33">
        <v>44632</v>
      </c>
      <c r="L33" t="str">
        <v>ACT/360</v>
      </c>
      <c r="P33" t="str">
        <v>fixed_leg.cashflows.[0].day_count_type</v>
      </c>
      <c r="Q33" t="str">
        <v>ACT/360</v>
      </c>
      <c r="S33" t="s">
        <v>39</v>
      </c>
      <c r="T33">
        <v>1E-3</v>
      </c>
      <c r="U33">
        <v>1E-3</v>
      </c>
      <c r="W33">
        <v>44632</v>
      </c>
      <c r="X33">
        <v>44452</v>
      </c>
      <c r="Y33">
        <v>44632</v>
      </c>
      <c r="Z33" t="s">
        <v>8</v>
      </c>
      <c r="AD33" t="s">
        <v>33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K33" t="b">
        <f t="shared" si="12"/>
        <v>1</v>
      </c>
      <c r="AL33" t="b">
        <f t="shared" si="12"/>
        <v>1</v>
      </c>
      <c r="AM33" t="b">
        <f t="shared" si="12"/>
        <v>1</v>
      </c>
      <c r="AN33" t="b">
        <f t="shared" si="12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_xll.ExLibris.Json.GetJsonValueAsync($F$1,E34)</f>
        <v>44992</v>
      </c>
      <c r="I34">
        <v>44812</v>
      </c>
      <c r="J34">
        <v>44632</v>
      </c>
      <c r="K34">
        <v>44812</v>
      </c>
      <c r="L34" t="str">
        <v>ACT/360</v>
      </c>
      <c r="P34" t="str">
        <v>fixed_leg.cashflows.[0].amount</v>
      </c>
      <c r="Q34">
        <v>10000000</v>
      </c>
      <c r="S34" t="s">
        <v>40</v>
      </c>
      <c r="T34">
        <v>44992</v>
      </c>
      <c r="U34">
        <v>44992</v>
      </c>
      <c r="W34">
        <v>44812</v>
      </c>
      <c r="X34">
        <v>44632</v>
      </c>
      <c r="Y34">
        <v>44812</v>
      </c>
      <c r="Z34" t="s">
        <v>8</v>
      </c>
      <c r="AD34" t="s">
        <v>176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K34" t="b">
        <f t="shared" si="12"/>
        <v>1</v>
      </c>
      <c r="AL34" t="b">
        <f t="shared" si="12"/>
        <v>1</v>
      </c>
      <c r="AM34" t="b">
        <f t="shared" si="12"/>
        <v>1</v>
      </c>
      <c r="AN34" t="b">
        <f t="shared" si="12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_xll.ExLibris.Json.GetJsonValueAsync($F$1,E35)</f>
        <v>44812</v>
      </c>
      <c r="I35">
        <v>44992</v>
      </c>
      <c r="J35">
        <v>44812</v>
      </c>
      <c r="K35">
        <v>44992</v>
      </c>
      <c r="L35" t="str">
        <v>ACT/360</v>
      </c>
      <c r="P35" t="str">
        <v>fixed_leg.cashflows.[0].fixed_rate</v>
      </c>
      <c r="Q35">
        <v>1E-3</v>
      </c>
      <c r="S35" t="s">
        <v>41</v>
      </c>
      <c r="T35">
        <v>44812</v>
      </c>
      <c r="U35">
        <v>44812</v>
      </c>
      <c r="W35">
        <v>44992</v>
      </c>
      <c r="X35">
        <v>44812</v>
      </c>
      <c r="Y35">
        <v>44992</v>
      </c>
      <c r="Z35" t="s">
        <v>8</v>
      </c>
      <c r="AD35" t="s">
        <v>34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K35" t="b">
        <f t="shared" si="12"/>
        <v>1</v>
      </c>
      <c r="AL35" t="b">
        <f t="shared" si="12"/>
        <v>1</v>
      </c>
      <c r="AM35" t="b">
        <f t="shared" si="12"/>
        <v>1</v>
      </c>
      <c r="AN35" t="b">
        <f t="shared" si="12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_xll.ExLibris.Json.GetJsonValueAsync($F$1,E36)</f>
        <v>44992</v>
      </c>
      <c r="I36">
        <v>45172</v>
      </c>
      <c r="J36">
        <v>44992</v>
      </c>
      <c r="K36">
        <v>45172</v>
      </c>
      <c r="L36" t="str">
        <v>ACT/360</v>
      </c>
      <c r="P36" t="str">
        <v>fixed_leg.cashflows.[1].payment _date</v>
      </c>
      <c r="Q36">
        <v>44812</v>
      </c>
      <c r="S36" t="s">
        <v>42</v>
      </c>
      <c r="T36">
        <v>44992</v>
      </c>
      <c r="U36">
        <v>44992</v>
      </c>
      <c r="W36">
        <v>45172</v>
      </c>
      <c r="X36">
        <v>44992</v>
      </c>
      <c r="Y36">
        <v>45172</v>
      </c>
      <c r="Z36" t="s">
        <v>8</v>
      </c>
      <c r="AD36" t="s">
        <v>35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K36" t="b">
        <f t="shared" si="12"/>
        <v>1</v>
      </c>
      <c r="AL36" t="b">
        <f t="shared" si="12"/>
        <v>1</v>
      </c>
      <c r="AM36" t="b">
        <f t="shared" si="12"/>
        <v>1</v>
      </c>
      <c r="AN36" t="b">
        <f t="shared" si="12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_xll.ExLibris.Json.GetJsonValueAsync($F$1,E37)</f>
        <v>ACT/360</v>
      </c>
      <c r="I37">
        <v>45352</v>
      </c>
      <c r="J37">
        <v>45172</v>
      </c>
      <c r="K37">
        <v>45352</v>
      </c>
      <c r="L37" t="str">
        <v>ACT/360</v>
      </c>
      <c r="P37" t="str">
        <v>fixed_leg.cashflows.[1].start_date</v>
      </c>
      <c r="Q37">
        <v>44632</v>
      </c>
      <c r="S37" t="s">
        <v>43</v>
      </c>
      <c r="T37" t="s">
        <v>8</v>
      </c>
      <c r="U37" t="s">
        <v>8</v>
      </c>
      <c r="W37">
        <v>45352</v>
      </c>
      <c r="X37">
        <v>45172</v>
      </c>
      <c r="Y37">
        <v>45352</v>
      </c>
      <c r="Z37" t="s">
        <v>8</v>
      </c>
      <c r="AD37" t="s">
        <v>36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K37" t="b">
        <f t="shared" si="12"/>
        <v>1</v>
      </c>
      <c r="AL37" t="b">
        <f t="shared" si="12"/>
        <v>1</v>
      </c>
      <c r="AM37" t="b">
        <f t="shared" si="12"/>
        <v>1</v>
      </c>
      <c r="AN37" t="b">
        <f t="shared" si="12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fixed_leg.cashflows.[2].amount</v>
      </c>
      <c r="F38">
        <v>12000000</v>
      </c>
      <c r="G38" cm="1">
        <f t="array" ref="G38">_xll.ExLibris.Json.GetJsonValueAsync($F$1,E38)</f>
        <v>12000000</v>
      </c>
      <c r="I38">
        <v>45532</v>
      </c>
      <c r="J38">
        <v>45352</v>
      </c>
      <c r="K38">
        <v>45532</v>
      </c>
      <c r="L38" t="str">
        <v>ACT/360</v>
      </c>
      <c r="P38" t="str">
        <v>fixed_leg.cashflows.[1].end_date</v>
      </c>
      <c r="Q38">
        <v>44812</v>
      </c>
      <c r="S38" t="s">
        <v>178</v>
      </c>
      <c r="T38">
        <v>12000000</v>
      </c>
      <c r="U38">
        <v>12000000</v>
      </c>
      <c r="W38">
        <v>45532</v>
      </c>
      <c r="X38">
        <v>45352</v>
      </c>
      <c r="Y38">
        <v>45532</v>
      </c>
      <c r="Z38" t="s">
        <v>8</v>
      </c>
      <c r="AD38" t="s">
        <v>37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K38" t="b">
        <f t="shared" si="12"/>
        <v>1</v>
      </c>
      <c r="AL38" t="b">
        <f t="shared" si="12"/>
        <v>1</v>
      </c>
      <c r="AM38" t="b">
        <f t="shared" si="12"/>
        <v>1</v>
      </c>
      <c r="AN38" t="b">
        <f t="shared" si="12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_xll.ExLibris.Json.GetJsonValueAsync($F$1,E39)</f>
        <v>1E-3</v>
      </c>
      <c r="P39" t="str">
        <v>fixed_leg.cashflows.[1].day_count_type</v>
      </c>
      <c r="Q39" t="str">
        <v>ACT/360</v>
      </c>
      <c r="S39" t="s">
        <v>44</v>
      </c>
      <c r="T39">
        <v>1E-3</v>
      </c>
      <c r="U39">
        <v>1E-3</v>
      </c>
      <c r="AD39" t="s">
        <v>38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_xll.ExLibris.Json.GetJsonValueAsync($F$1,E40)</f>
        <v>45172</v>
      </c>
      <c r="I40" cm="1">
        <f t="array" ref="I40:N45">_xll.ExLibris.Json.GetJsonTableAsync(I19,,TRUE)</f>
        <v>44632</v>
      </c>
      <c r="J40">
        <v>44452</v>
      </c>
      <c r="K40">
        <v>44632</v>
      </c>
      <c r="L40" t="str">
        <v>ACT/360</v>
      </c>
      <c r="M40">
        <v>10000000</v>
      </c>
      <c r="N40">
        <v>1E-3</v>
      </c>
      <c r="P40" t="str">
        <v>fixed_leg.cashflows.[1].amount</v>
      </c>
      <c r="Q40">
        <v>11000000</v>
      </c>
      <c r="S40" t="s">
        <v>45</v>
      </c>
      <c r="T40">
        <v>45172</v>
      </c>
      <c r="U40">
        <v>45172</v>
      </c>
      <c r="W40">
        <v>44632</v>
      </c>
      <c r="X40">
        <v>44452</v>
      </c>
      <c r="Y40">
        <v>44632</v>
      </c>
      <c r="Z40" t="s">
        <v>8</v>
      </c>
      <c r="AA40">
        <v>10000000</v>
      </c>
      <c r="AB40">
        <v>1E-3</v>
      </c>
      <c r="AD40" t="s">
        <v>177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K40" t="b">
        <f t="shared" ref="AK40:AK45" si="13">I40=W40</f>
        <v>1</v>
      </c>
      <c r="AL40" t="b">
        <f t="shared" ref="AL40:AL45" si="14">J40=X40</f>
        <v>1</v>
      </c>
      <c r="AM40" t="b">
        <f t="shared" ref="AM40:AM45" si="15">K40=Y40</f>
        <v>1</v>
      </c>
      <c r="AN40" t="b">
        <f t="shared" ref="AN40:AN45" si="16">L40=Z40</f>
        <v>1</v>
      </c>
      <c r="AO40" t="b">
        <f t="shared" ref="AO40:AO45" si="17">M40=AA40</f>
        <v>1</v>
      </c>
      <c r="AP40" t="b">
        <f t="shared" ref="AP40:AP45" si="18">N40=AB40</f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_xll.ExLibris.Json.GetJsonValueAsync($F$1,E41)</f>
        <v>44992</v>
      </c>
      <c r="I41">
        <v>44812</v>
      </c>
      <c r="J41">
        <v>44632</v>
      </c>
      <c r="K41">
        <v>44812</v>
      </c>
      <c r="L41" t="str">
        <v>ACT/360</v>
      </c>
      <c r="M41">
        <v>11000000</v>
      </c>
      <c r="N41">
        <v>1E-3</v>
      </c>
      <c r="P41" t="str">
        <v>fixed_leg.cashflows.[1].fixed_rate</v>
      </c>
      <c r="Q41">
        <v>1E-3</v>
      </c>
      <c r="S41" t="s">
        <v>46</v>
      </c>
      <c r="T41">
        <v>44992</v>
      </c>
      <c r="U41">
        <v>44992</v>
      </c>
      <c r="W41">
        <v>44812</v>
      </c>
      <c r="X41">
        <v>44632</v>
      </c>
      <c r="Y41">
        <v>44812</v>
      </c>
      <c r="Z41" t="s">
        <v>8</v>
      </c>
      <c r="AA41">
        <v>11000000</v>
      </c>
      <c r="AB41">
        <v>1E-3</v>
      </c>
      <c r="AD41" t="s">
        <v>39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K41" t="b">
        <f t="shared" si="13"/>
        <v>1</v>
      </c>
      <c r="AL41" t="b">
        <f t="shared" si="14"/>
        <v>1</v>
      </c>
      <c r="AM41" t="b">
        <f t="shared" si="15"/>
        <v>1</v>
      </c>
      <c r="AN41" t="b">
        <f t="shared" si="16"/>
        <v>1</v>
      </c>
      <c r="AO41" t="b">
        <f t="shared" si="17"/>
        <v>1</v>
      </c>
      <c r="AP41" t="b">
        <f t="shared" si="18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_xll.ExLibris.Json.GetJsonValueAsync($F$1,E42)</f>
        <v>45172</v>
      </c>
      <c r="I42">
        <v>44992</v>
      </c>
      <c r="J42">
        <v>44812</v>
      </c>
      <c r="K42">
        <v>44992</v>
      </c>
      <c r="L42" t="str">
        <v>ACT/360</v>
      </c>
      <c r="M42">
        <v>12000000</v>
      </c>
      <c r="N42">
        <v>1E-3</v>
      </c>
      <c r="P42" t="str">
        <v>fixed_leg.cashflows.[2].payment _date</v>
      </c>
      <c r="Q42">
        <v>44992</v>
      </c>
      <c r="S42" t="s">
        <v>47</v>
      </c>
      <c r="T42">
        <v>45172</v>
      </c>
      <c r="U42">
        <v>45172</v>
      </c>
      <c r="W42">
        <v>44992</v>
      </c>
      <c r="X42">
        <v>44812</v>
      </c>
      <c r="Y42">
        <v>44992</v>
      </c>
      <c r="Z42" t="s">
        <v>8</v>
      </c>
      <c r="AA42">
        <v>12000000</v>
      </c>
      <c r="AB42">
        <v>1E-3</v>
      </c>
      <c r="AD42" t="s">
        <v>40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K42" t="b">
        <f t="shared" si="13"/>
        <v>1</v>
      </c>
      <c r="AL42" t="b">
        <f t="shared" si="14"/>
        <v>1</v>
      </c>
      <c r="AM42" t="b">
        <f t="shared" si="15"/>
        <v>1</v>
      </c>
      <c r="AN42" t="b">
        <f t="shared" si="16"/>
        <v>1</v>
      </c>
      <c r="AO42" t="b">
        <f t="shared" si="17"/>
        <v>1</v>
      </c>
      <c r="AP42" t="b">
        <f t="shared" si="18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_xll.ExLibris.Json.GetJsonValueAsync($F$1,E43)</f>
        <v>ACT/360</v>
      </c>
      <c r="I43">
        <v>45172</v>
      </c>
      <c r="J43">
        <v>44992</v>
      </c>
      <c r="K43">
        <v>45172</v>
      </c>
      <c r="L43" t="str">
        <v>ACT/360</v>
      </c>
      <c r="M43">
        <v>13000000</v>
      </c>
      <c r="N43">
        <v>1E-3</v>
      </c>
      <c r="P43" t="str">
        <v>fixed_leg.cashflows.[2].start_date</v>
      </c>
      <c r="Q43">
        <v>44812</v>
      </c>
      <c r="S43" t="s">
        <v>48</v>
      </c>
      <c r="T43" t="s">
        <v>8</v>
      </c>
      <c r="U43" t="s">
        <v>8</v>
      </c>
      <c r="W43">
        <v>45172</v>
      </c>
      <c r="X43">
        <v>44992</v>
      </c>
      <c r="Y43">
        <v>45172</v>
      </c>
      <c r="Z43" t="s">
        <v>8</v>
      </c>
      <c r="AA43">
        <v>13000000</v>
      </c>
      <c r="AB43">
        <v>1E-3</v>
      </c>
      <c r="AD43" t="s">
        <v>41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K43" t="b">
        <f t="shared" si="13"/>
        <v>1</v>
      </c>
      <c r="AL43" t="b">
        <f t="shared" si="14"/>
        <v>1</v>
      </c>
      <c r="AM43" t="b">
        <f t="shared" si="15"/>
        <v>1</v>
      </c>
      <c r="AN43" t="b">
        <f t="shared" si="16"/>
        <v>1</v>
      </c>
      <c r="AO43" t="b">
        <f t="shared" si="17"/>
        <v>1</v>
      </c>
      <c r="AP43" t="b">
        <f t="shared" si="18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fixed_leg.cashflows.[3].amount</v>
      </c>
      <c r="F44">
        <v>13000000</v>
      </c>
      <c r="G44" cm="1">
        <f t="array" ref="G44">_xll.ExLibris.Json.GetJsonValueAsync($F$1,E44)</f>
        <v>13000000</v>
      </c>
      <c r="I44">
        <v>45352</v>
      </c>
      <c r="J44">
        <v>45172</v>
      </c>
      <c r="K44">
        <v>45352</v>
      </c>
      <c r="L44" t="str">
        <v>ACT/360</v>
      </c>
      <c r="M44">
        <v>14000000</v>
      </c>
      <c r="N44">
        <v>1E-3</v>
      </c>
      <c r="P44" t="str">
        <v>fixed_leg.cashflows.[2].end_date</v>
      </c>
      <c r="Q44">
        <v>44992</v>
      </c>
      <c r="S44" t="s">
        <v>179</v>
      </c>
      <c r="T44">
        <v>13000000</v>
      </c>
      <c r="U44">
        <v>13000000</v>
      </c>
      <c r="W44">
        <v>45352</v>
      </c>
      <c r="X44">
        <v>45172</v>
      </c>
      <c r="Y44">
        <v>45352</v>
      </c>
      <c r="Z44" t="s">
        <v>8</v>
      </c>
      <c r="AA44">
        <v>14000000</v>
      </c>
      <c r="AB44">
        <v>1E-3</v>
      </c>
      <c r="AD44" t="s">
        <v>42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K44" t="b">
        <f t="shared" si="13"/>
        <v>1</v>
      </c>
      <c r="AL44" t="b">
        <f t="shared" si="14"/>
        <v>1</v>
      </c>
      <c r="AM44" t="b">
        <f t="shared" si="15"/>
        <v>1</v>
      </c>
      <c r="AN44" t="b">
        <f t="shared" si="16"/>
        <v>1</v>
      </c>
      <c r="AO44" t="b">
        <f t="shared" si="17"/>
        <v>1</v>
      </c>
      <c r="AP44" t="b">
        <f t="shared" si="18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_xll.ExLibris.Json.GetJsonValueAsync($F$1,E45)</f>
        <v>1E-3</v>
      </c>
      <c r="I45">
        <v>45532</v>
      </c>
      <c r="J45">
        <v>45352</v>
      </c>
      <c r="K45">
        <v>45532</v>
      </c>
      <c r="L45" t="str">
        <v>ACT/360</v>
      </c>
      <c r="M45">
        <v>15000000</v>
      </c>
      <c r="N45">
        <v>1E-3</v>
      </c>
      <c r="P45" t="str">
        <v>fixed_leg.cashflows.[2].day_count_type</v>
      </c>
      <c r="Q45" t="str">
        <v>ACT/360</v>
      </c>
      <c r="S45" t="s">
        <v>49</v>
      </c>
      <c r="T45">
        <v>1E-3</v>
      </c>
      <c r="U45">
        <v>1E-3</v>
      </c>
      <c r="W45">
        <v>45532</v>
      </c>
      <c r="X45">
        <v>45352</v>
      </c>
      <c r="Y45">
        <v>45532</v>
      </c>
      <c r="Z45" t="s">
        <v>8</v>
      </c>
      <c r="AA45">
        <v>15000000</v>
      </c>
      <c r="AB45">
        <v>1E-3</v>
      </c>
      <c r="AD45" t="s">
        <v>43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K45" t="b">
        <f t="shared" si="13"/>
        <v>1</v>
      </c>
      <c r="AL45" t="b">
        <f t="shared" si="14"/>
        <v>1</v>
      </c>
      <c r="AM45" t="b">
        <f t="shared" si="15"/>
        <v>1</v>
      </c>
      <c r="AN45" t="b">
        <f t="shared" si="16"/>
        <v>1</v>
      </c>
      <c r="AO45" t="b">
        <f t="shared" si="17"/>
        <v>1</v>
      </c>
      <c r="AP45" t="b">
        <f t="shared" si="18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_xll.ExLibris.Json.GetJsonValueAsync($F$1,E46)</f>
        <v>45352</v>
      </c>
      <c r="P46" t="str">
        <v>fixed_leg.cashflows.[2].amount</v>
      </c>
      <c r="Q46">
        <v>12000000</v>
      </c>
      <c r="S46" t="s">
        <v>50</v>
      </c>
      <c r="T46">
        <v>45352</v>
      </c>
      <c r="U46">
        <v>45352</v>
      </c>
      <c r="AD46" t="s">
        <v>178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_xll.ExLibris.Json.GetJsonValueAsync($F$1,E47)</f>
        <v>45172</v>
      </c>
      <c r="I47" t="str">
        <f>E8</f>
        <v>payment _date</v>
      </c>
      <c r="J47" t="str">
        <f>H8</f>
        <v>day_count_type</v>
      </c>
      <c r="K47" t="str">
        <f>I8</f>
        <v>amount</v>
      </c>
      <c r="P47" t="str">
        <v>fixed_leg.cashflows.[2].fixed_rate</v>
      </c>
      <c r="Q47">
        <v>1E-3</v>
      </c>
      <c r="S47" t="s">
        <v>51</v>
      </c>
      <c r="T47">
        <v>45172</v>
      </c>
      <c r="U47">
        <v>45172</v>
      </c>
      <c r="AD47" t="s">
        <v>44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_xll.ExLibris.Json.GetJsonValueAsync($F$1,E48)</f>
        <v>45352</v>
      </c>
      <c r="I48" cm="1">
        <f t="array" ref="I48:K53">_xll.ExLibris.Json.GetJsonTableAsync(I19,I47:K47,TRUE)</f>
        <v>44632</v>
      </c>
      <c r="J48" t="str">
        <v>ACT/360</v>
      </c>
      <c r="K48">
        <v>10000000</v>
      </c>
      <c r="P48" t="str">
        <v>fixed_leg.cashflows.[3].payment _date</v>
      </c>
      <c r="Q48">
        <v>45172</v>
      </c>
      <c r="S48" t="s">
        <v>52</v>
      </c>
      <c r="T48">
        <v>45352</v>
      </c>
      <c r="U48">
        <v>45352</v>
      </c>
      <c r="W48">
        <v>44632</v>
      </c>
      <c r="X48" t="s">
        <v>8</v>
      </c>
      <c r="Y48">
        <v>10000000</v>
      </c>
      <c r="AD48" t="s">
        <v>45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K48" t="b">
        <f t="shared" ref="AK48:AK66" si="19">I48=W48</f>
        <v>1</v>
      </c>
      <c r="AL48" t="b">
        <f t="shared" ref="AL48:AL53" si="20">J48=X48</f>
        <v>1</v>
      </c>
      <c r="AM48" t="b">
        <f t="shared" ref="AM48:AM53" si="21">K48=Y48</f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_xll.ExLibris.Json.GetJsonValueAsync($F$1,E49)</f>
        <v>ACT/360</v>
      </c>
      <c r="I49">
        <v>44812</v>
      </c>
      <c r="J49" t="str">
        <v>ACT/360</v>
      </c>
      <c r="K49">
        <v>11000000</v>
      </c>
      <c r="P49" t="str">
        <v>fixed_leg.cashflows.[3].start_date</v>
      </c>
      <c r="Q49">
        <v>44992</v>
      </c>
      <c r="S49" t="s">
        <v>53</v>
      </c>
      <c r="T49" t="s">
        <v>8</v>
      </c>
      <c r="U49" t="s">
        <v>8</v>
      </c>
      <c r="W49">
        <v>44812</v>
      </c>
      <c r="X49" t="s">
        <v>8</v>
      </c>
      <c r="Y49">
        <v>11000000</v>
      </c>
      <c r="AD49" t="s">
        <v>46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K49" t="b">
        <f t="shared" si="19"/>
        <v>1</v>
      </c>
      <c r="AL49" t="b">
        <f t="shared" si="20"/>
        <v>1</v>
      </c>
      <c r="AM49" t="b">
        <f t="shared" si="21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fixed_leg.cashflows.[4].amount</v>
      </c>
      <c r="F50">
        <v>14000000</v>
      </c>
      <c r="G50" cm="1">
        <f t="array" ref="G50">_xll.ExLibris.Json.GetJsonValueAsync($F$1,E50)</f>
        <v>14000000</v>
      </c>
      <c r="I50">
        <v>44992</v>
      </c>
      <c r="J50" t="str">
        <v>ACT/360</v>
      </c>
      <c r="K50">
        <v>12000000</v>
      </c>
      <c r="P50" t="str">
        <v>fixed_leg.cashflows.[3].end_date</v>
      </c>
      <c r="Q50">
        <v>45172</v>
      </c>
      <c r="S50" t="s">
        <v>180</v>
      </c>
      <c r="T50">
        <v>14000000</v>
      </c>
      <c r="U50">
        <v>14000000</v>
      </c>
      <c r="W50">
        <v>44992</v>
      </c>
      <c r="X50" t="s">
        <v>8</v>
      </c>
      <c r="Y50">
        <v>12000000</v>
      </c>
      <c r="AD50" t="s">
        <v>47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K50" t="b">
        <f t="shared" si="19"/>
        <v>1</v>
      </c>
      <c r="AL50" t="b">
        <f t="shared" si="20"/>
        <v>1</v>
      </c>
      <c r="AM50" t="b">
        <f t="shared" si="21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_xll.ExLibris.Json.GetJsonValueAsync($F$1,E51)</f>
        <v>1E-3</v>
      </c>
      <c r="I51">
        <v>45172</v>
      </c>
      <c r="J51" t="str">
        <v>ACT/360</v>
      </c>
      <c r="K51">
        <v>13000000</v>
      </c>
      <c r="P51" t="str">
        <v>fixed_leg.cashflows.[3].day_count_type</v>
      </c>
      <c r="Q51" t="str">
        <v>ACT/360</v>
      </c>
      <c r="S51" t="s">
        <v>54</v>
      </c>
      <c r="T51">
        <v>1E-3</v>
      </c>
      <c r="U51">
        <v>1E-3</v>
      </c>
      <c r="W51">
        <v>45172</v>
      </c>
      <c r="X51" t="s">
        <v>8</v>
      </c>
      <c r="Y51">
        <v>13000000</v>
      </c>
      <c r="AD51" t="s">
        <v>48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K51" t="b">
        <f t="shared" si="19"/>
        <v>1</v>
      </c>
      <c r="AL51" t="b">
        <f t="shared" si="20"/>
        <v>1</v>
      </c>
      <c r="AM51" t="b">
        <f t="shared" si="21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_xll.ExLibris.Json.GetJsonValueAsync($F$1,E52)</f>
        <v>45532</v>
      </c>
      <c r="I52">
        <v>45352</v>
      </c>
      <c r="J52" t="str">
        <v>ACT/360</v>
      </c>
      <c r="K52">
        <v>14000000</v>
      </c>
      <c r="P52" t="str">
        <v>fixed_leg.cashflows.[3].amount</v>
      </c>
      <c r="Q52">
        <v>13000000</v>
      </c>
      <c r="S52" t="s">
        <v>55</v>
      </c>
      <c r="T52">
        <v>45532</v>
      </c>
      <c r="U52">
        <v>45532</v>
      </c>
      <c r="W52">
        <v>45352</v>
      </c>
      <c r="X52" t="s">
        <v>8</v>
      </c>
      <c r="Y52">
        <v>14000000</v>
      </c>
      <c r="AD52" t="s">
        <v>179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K52" t="b">
        <f t="shared" si="19"/>
        <v>1</v>
      </c>
      <c r="AL52" t="b">
        <f t="shared" si="20"/>
        <v>1</v>
      </c>
      <c r="AM52" t="b">
        <f t="shared" si="21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_xll.ExLibris.Json.GetJsonValueAsync($F$1,E53)</f>
        <v>45352</v>
      </c>
      <c r="I53">
        <v>45532</v>
      </c>
      <c r="J53" t="str">
        <v>ACT/360</v>
      </c>
      <c r="K53">
        <v>15000000</v>
      </c>
      <c r="P53" t="str">
        <v>fixed_leg.cashflows.[3].fixed_rate</v>
      </c>
      <c r="Q53">
        <v>1E-3</v>
      </c>
      <c r="S53" t="s">
        <v>56</v>
      </c>
      <c r="T53">
        <v>45352</v>
      </c>
      <c r="U53">
        <v>45352</v>
      </c>
      <c r="W53">
        <v>45532</v>
      </c>
      <c r="X53" t="s">
        <v>8</v>
      </c>
      <c r="Y53">
        <v>15000000</v>
      </c>
      <c r="AD53" t="s">
        <v>49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K53" t="b">
        <f t="shared" si="19"/>
        <v>1</v>
      </c>
      <c r="AL53" t="b">
        <f t="shared" si="20"/>
        <v>1</v>
      </c>
      <c r="AM53" t="b">
        <f t="shared" si="21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_xll.ExLibris.Json.GetJsonValueAsync($F$1,E54)</f>
        <v>45532</v>
      </c>
      <c r="P54" t="str">
        <v>fixed_leg.cashflows.[4].payment _date</v>
      </c>
      <c r="Q54">
        <v>45352</v>
      </c>
      <c r="S54" t="s">
        <v>57</v>
      </c>
      <c r="T54">
        <v>45532</v>
      </c>
      <c r="U54">
        <v>45532</v>
      </c>
      <c r="AD54" t="s">
        <v>50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_xll.ExLibris.Json.GetJsonValueAsync($F$1,E55)</f>
        <v>ACT/360</v>
      </c>
      <c r="I55" t="str" cm="1">
        <f t="array" ref="I55:I57">_xll.ExLibris.Json.SearchJsonKeysAsync(F1,"*.*.*.*",E10)</f>
        <v>fixed_leg.cashflows.[1].payment _date</v>
      </c>
      <c r="P55" t="str">
        <v>fixed_leg.cashflows.[4].start_date</v>
      </c>
      <c r="Q55">
        <v>45172</v>
      </c>
      <c r="S55" t="s">
        <v>58</v>
      </c>
      <c r="T55" t="s">
        <v>8</v>
      </c>
      <c r="U55" t="s">
        <v>8</v>
      </c>
      <c r="W55" t="s">
        <v>35</v>
      </c>
      <c r="AD55" t="s">
        <v>51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K55" t="b">
        <f t="shared" si="19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fixed_leg.cashflows.[5].amount</v>
      </c>
      <c r="F56">
        <v>15000000</v>
      </c>
      <c r="G56" cm="1">
        <f t="array" ref="G56">_xll.ExLibris.Json.GetJsonValueAsync($F$1,E56)</f>
        <v>15000000</v>
      </c>
      <c r="I56" t="str">
        <v>fixed_leg.cashflows.[1].end_date</v>
      </c>
      <c r="P56" t="str">
        <v>fixed_leg.cashflows.[4].end_date</v>
      </c>
      <c r="Q56">
        <v>45352</v>
      </c>
      <c r="S56" t="s">
        <v>181</v>
      </c>
      <c r="T56">
        <v>15000000</v>
      </c>
      <c r="U56">
        <v>15000000</v>
      </c>
      <c r="W56" t="s">
        <v>37</v>
      </c>
      <c r="AD56" t="s">
        <v>52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K56" t="b">
        <f t="shared" si="19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_xll.ExLibris.Json.GetJsonValueAsync($F$1,E57)</f>
        <v>1E-3</v>
      </c>
      <c r="I57" t="str">
        <v>fixed_leg.cashflows.[2].start_date</v>
      </c>
      <c r="P57" t="str">
        <v>fixed_leg.cashflows.[4].day_count_type</v>
      </c>
      <c r="Q57" t="str">
        <v>ACT/360</v>
      </c>
      <c r="S57" t="s">
        <v>59</v>
      </c>
      <c r="T57">
        <v>1E-3</v>
      </c>
      <c r="U57">
        <v>1E-3</v>
      </c>
      <c r="W57" t="s">
        <v>41</v>
      </c>
      <c r="AD57" t="s">
        <v>53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K57" t="b">
        <f t="shared" si="19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fixed_leg.cashflows.[4].amount</v>
      </c>
      <c r="Q58">
        <v>14000000</v>
      </c>
      <c r="AD58" t="s">
        <v>180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I59" t="str" cm="1">
        <f t="array" ref="I59">_xll.ExLibris.Json.SearchJsonKeysAsync(F1,"fixed_leg.cashflows.*.payment _date",E10)</f>
        <v>fixed_leg.cashflows.[1].payment _date</v>
      </c>
      <c r="P59" t="str">
        <v>fixed_leg.cashflows.[4].fixed_rate</v>
      </c>
      <c r="Q59">
        <v>1E-3</v>
      </c>
      <c r="W59" t="s">
        <v>35</v>
      </c>
      <c r="AD59" t="s">
        <v>54</v>
      </c>
      <c r="AE59">
        <v>1E-3</v>
      </c>
      <c r="AK59" t="b">
        <f t="shared" si="19"/>
        <v>1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55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I61" t="str" cm="1">
        <f t="array" ref="I61:I66">_xll.ExLibris.Json.SearchJsonKeysAsync(F1,"*.*.*.*",H9)</f>
        <v>fixed_leg.cashflows.[0].day_count_type</v>
      </c>
      <c r="P61" t="str">
        <v>fixed_leg.cashflows.[5].start_date</v>
      </c>
      <c r="Q61">
        <v>45352</v>
      </c>
      <c r="W61" t="s">
        <v>33</v>
      </c>
      <c r="AD61" t="s">
        <v>56</v>
      </c>
      <c r="AE61">
        <v>45352</v>
      </c>
      <c r="AK61" t="b">
        <f t="shared" si="19"/>
        <v>1</v>
      </c>
      <c r="AR61" t="b">
        <f t="shared" si="10"/>
        <v>1</v>
      </c>
      <c r="AS61" t="b">
        <f t="shared" si="11"/>
        <v>1</v>
      </c>
    </row>
    <row r="62" spans="5:45" x14ac:dyDescent="0.4">
      <c r="I62" t="str">
        <v>fixed_leg.cashflows.[1].day_count_type</v>
      </c>
      <c r="P62" t="str">
        <v>fixed_leg.cashflows.[5].end_date</v>
      </c>
      <c r="Q62">
        <v>45532</v>
      </c>
      <c r="W62" t="s">
        <v>38</v>
      </c>
      <c r="AD62" t="s">
        <v>57</v>
      </c>
      <c r="AE62">
        <v>45532</v>
      </c>
      <c r="AK62" t="b">
        <f t="shared" si="19"/>
        <v>1</v>
      </c>
      <c r="AR62" t="b">
        <f t="shared" si="10"/>
        <v>1</v>
      </c>
      <c r="AS62" t="b">
        <f t="shared" si="11"/>
        <v>1</v>
      </c>
    </row>
    <row r="63" spans="5:45" x14ac:dyDescent="0.4">
      <c r="I63" t="str">
        <v>fixed_leg.cashflows.[2].day_count_type</v>
      </c>
      <c r="P63" t="str">
        <v>fixed_leg.cashflows.[5].day_count_type</v>
      </c>
      <c r="Q63" t="str">
        <v>ACT/360</v>
      </c>
      <c r="W63" t="s">
        <v>43</v>
      </c>
      <c r="AD63" t="s">
        <v>58</v>
      </c>
      <c r="AE63" t="s">
        <v>8</v>
      </c>
      <c r="AK63" t="b">
        <f t="shared" si="19"/>
        <v>1</v>
      </c>
      <c r="AR63" t="b">
        <f t="shared" si="10"/>
        <v>1</v>
      </c>
      <c r="AS63" t="b">
        <f t="shared" si="11"/>
        <v>1</v>
      </c>
    </row>
    <row r="64" spans="5:45" x14ac:dyDescent="0.4">
      <c r="I64" t="str">
        <v>fixed_leg.cashflows.[3].day_count_type</v>
      </c>
      <c r="P64" t="str">
        <v>fixed_leg.cashflows.[5].amount</v>
      </c>
      <c r="Q64">
        <v>15000000</v>
      </c>
      <c r="W64" t="s">
        <v>48</v>
      </c>
      <c r="AD64" t="s">
        <v>181</v>
      </c>
      <c r="AE64">
        <v>15000000</v>
      </c>
      <c r="AK64" t="b">
        <f t="shared" si="19"/>
        <v>1</v>
      </c>
      <c r="AR64" t="b">
        <f t="shared" si="10"/>
        <v>1</v>
      </c>
      <c r="AS64" t="b">
        <f t="shared" si="11"/>
        <v>1</v>
      </c>
    </row>
    <row r="65" spans="9:45" x14ac:dyDescent="0.4">
      <c r="I65" t="str">
        <v>fixed_leg.cashflows.[4].day_count_type</v>
      </c>
      <c r="P65" t="str">
        <v>fixed_leg.cashflows.[5].fixed_rate</v>
      </c>
      <c r="Q65">
        <v>1E-3</v>
      </c>
      <c r="W65" t="s">
        <v>53</v>
      </c>
      <c r="AD65" t="s">
        <v>59</v>
      </c>
      <c r="AE65">
        <v>1E-3</v>
      </c>
      <c r="AK65" t="b">
        <f t="shared" si="19"/>
        <v>1</v>
      </c>
      <c r="AR65" t="b">
        <f>P65=AD65</f>
        <v>1</v>
      </c>
      <c r="AS65" t="b">
        <f>Q65=AE65</f>
        <v>1</v>
      </c>
    </row>
    <row r="66" spans="9:45" x14ac:dyDescent="0.4">
      <c r="I66" t="str">
        <v>fixed_leg.cashflows.[5].day_count_type</v>
      </c>
      <c r="W66" t="s">
        <v>58</v>
      </c>
      <c r="AK66" t="b">
        <f t="shared" si="19"/>
        <v>1</v>
      </c>
    </row>
    <row r="67" spans="9:45" x14ac:dyDescent="0.4">
      <c r="P67" t="str" cm="1">
        <f t="array" ref="P67:Q72">_xll.ExLibris.Json.GetJsonKeyValuesAsync(F1,"fixed_leg.cashflows.*.payment _date")</f>
        <v>fixed_leg.cashflows.[0].payment _date</v>
      </c>
      <c r="Q67">
        <v>44632</v>
      </c>
      <c r="AD67" t="s">
        <v>30</v>
      </c>
      <c r="AE67">
        <v>44632</v>
      </c>
      <c r="AR67" t="b">
        <f t="shared" ref="AR67:AS79" si="22">P67=AD67</f>
        <v>1</v>
      </c>
      <c r="AS67" t="b">
        <f t="shared" si="22"/>
        <v>1</v>
      </c>
    </row>
    <row r="68" spans="9:45" x14ac:dyDescent="0.4">
      <c r="P68" t="str">
        <v>fixed_leg.cashflows.[1].payment _date</v>
      </c>
      <c r="Q68">
        <v>44812</v>
      </c>
      <c r="AD68" t="s">
        <v>35</v>
      </c>
      <c r="AE68">
        <v>44812</v>
      </c>
      <c r="AR68" t="b">
        <f t="shared" si="22"/>
        <v>1</v>
      </c>
      <c r="AS68" t="b">
        <f t="shared" si="22"/>
        <v>1</v>
      </c>
    </row>
    <row r="69" spans="9:45" x14ac:dyDescent="0.4">
      <c r="P69" t="str">
        <v>fixed_leg.cashflows.[2].payment _date</v>
      </c>
      <c r="Q69">
        <v>44992</v>
      </c>
      <c r="AD69" t="s">
        <v>40</v>
      </c>
      <c r="AE69">
        <v>44992</v>
      </c>
      <c r="AR69" t="b">
        <f t="shared" si="22"/>
        <v>1</v>
      </c>
      <c r="AS69" t="b">
        <f t="shared" si="22"/>
        <v>1</v>
      </c>
    </row>
    <row r="70" spans="9:45" x14ac:dyDescent="0.4">
      <c r="P70" t="str">
        <v>fixed_leg.cashflows.[3].payment _date</v>
      </c>
      <c r="Q70">
        <v>45172</v>
      </c>
      <c r="AD70" t="s">
        <v>45</v>
      </c>
      <c r="AE70">
        <v>45172</v>
      </c>
      <c r="AR70" t="b">
        <f t="shared" si="22"/>
        <v>1</v>
      </c>
      <c r="AS70" t="b">
        <f t="shared" si="22"/>
        <v>1</v>
      </c>
    </row>
    <row r="71" spans="9:45" x14ac:dyDescent="0.4">
      <c r="P71" t="str">
        <v>fixed_leg.cashflows.[4].payment _date</v>
      </c>
      <c r="Q71">
        <v>45352</v>
      </c>
      <c r="AD71" t="s">
        <v>50</v>
      </c>
      <c r="AE71">
        <v>45352</v>
      </c>
      <c r="AR71" t="b">
        <f t="shared" si="22"/>
        <v>1</v>
      </c>
      <c r="AS71" t="b">
        <f t="shared" si="22"/>
        <v>1</v>
      </c>
    </row>
    <row r="72" spans="9:45" x14ac:dyDescent="0.4">
      <c r="P72" t="str">
        <v>fixed_leg.cashflows.[5].payment _date</v>
      </c>
      <c r="Q72">
        <v>45532</v>
      </c>
      <c r="AD72" t="s">
        <v>55</v>
      </c>
      <c r="AE72">
        <v>45532</v>
      </c>
      <c r="AR72" t="b">
        <f t="shared" si="22"/>
        <v>1</v>
      </c>
      <c r="AS72" t="b">
        <f t="shared" si="22"/>
        <v>1</v>
      </c>
    </row>
    <row r="74" spans="9:45" x14ac:dyDescent="0.4">
      <c r="P74" t="str" cm="1">
        <f t="array" ref="P74:Q79">_xll.ExLibris.Json.GetJsonKeyValuesAsync(F1,"fixed_leg.cashflows.[3].*")</f>
        <v>fixed_leg.cashflows.[3].payment _date</v>
      </c>
      <c r="Q74">
        <v>45172</v>
      </c>
      <c r="AD74" t="s">
        <v>45</v>
      </c>
      <c r="AE74">
        <v>45172</v>
      </c>
      <c r="AR74" t="b">
        <f t="shared" si="22"/>
        <v>1</v>
      </c>
      <c r="AS74" t="b">
        <f t="shared" si="22"/>
        <v>1</v>
      </c>
    </row>
    <row r="75" spans="9:45" x14ac:dyDescent="0.4">
      <c r="P75" t="str">
        <v>fixed_leg.cashflows.[3].start_date</v>
      </c>
      <c r="Q75">
        <v>44992</v>
      </c>
      <c r="AD75" t="s">
        <v>46</v>
      </c>
      <c r="AE75">
        <v>44992</v>
      </c>
      <c r="AR75" t="b">
        <f t="shared" si="22"/>
        <v>1</v>
      </c>
      <c r="AS75" t="b">
        <f t="shared" si="22"/>
        <v>1</v>
      </c>
    </row>
    <row r="76" spans="9:45" x14ac:dyDescent="0.4">
      <c r="P76" t="str">
        <v>fixed_leg.cashflows.[3].end_date</v>
      </c>
      <c r="Q76">
        <v>45172</v>
      </c>
      <c r="AD76" t="s">
        <v>47</v>
      </c>
      <c r="AE76">
        <v>45172</v>
      </c>
      <c r="AR76" t="b">
        <f t="shared" si="22"/>
        <v>1</v>
      </c>
      <c r="AS76" t="b">
        <f t="shared" si="22"/>
        <v>1</v>
      </c>
    </row>
    <row r="77" spans="9:45" x14ac:dyDescent="0.4">
      <c r="P77" t="str">
        <v>fixed_leg.cashflows.[3].day_count_type</v>
      </c>
      <c r="Q77" t="str">
        <v>ACT/360</v>
      </c>
      <c r="AD77" t="s">
        <v>48</v>
      </c>
      <c r="AE77" t="s">
        <v>8</v>
      </c>
      <c r="AR77" t="b">
        <f t="shared" si="22"/>
        <v>1</v>
      </c>
      <c r="AS77" t="b">
        <f t="shared" si="22"/>
        <v>1</v>
      </c>
    </row>
    <row r="78" spans="9:45" x14ac:dyDescent="0.4">
      <c r="P78" t="str">
        <v>fixed_leg.cashflows.[3].amount</v>
      </c>
      <c r="Q78">
        <v>13000000</v>
      </c>
      <c r="AD78" t="s">
        <v>179</v>
      </c>
      <c r="AE78">
        <v>13000000</v>
      </c>
      <c r="AR78" t="b">
        <f t="shared" si="22"/>
        <v>1</v>
      </c>
      <c r="AS78" t="b">
        <f t="shared" si="22"/>
        <v>1</v>
      </c>
    </row>
    <row r="79" spans="9:45" x14ac:dyDescent="0.4">
      <c r="P79" t="str">
        <v>fixed_leg.cashflows.[3].fixed_rate</v>
      </c>
      <c r="Q79">
        <v>1E-3</v>
      </c>
      <c r="AD79" t="s">
        <v>49</v>
      </c>
      <c r="AE79">
        <v>1E-3</v>
      </c>
      <c r="AR79" t="b">
        <f t="shared" si="22"/>
        <v>1</v>
      </c>
      <c r="AS79" t="b">
        <f t="shared" si="22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25</v>
      </c>
      <c r="F1" t="str" cm="1">
        <f t="array" ref="F1">_xll.ExLibris.Json.CreateJsonObjectAsync(E3:F6, EXLIBRIS_CONFIGURATION)</f>
        <v>JsonObject:12C693CD-48CC-49C9-AB01-A80FB75688C1</v>
      </c>
      <c r="K1" t="str">
        <f>EXLIBRIS_CONFIGURATION</f>
        <v>ExLibris.Core.ExLibrisConfiguration:43CDA749-FF2B-4DE5-830F-819BA4EA357C</v>
      </c>
    </row>
    <row r="2" spans="2:25" x14ac:dyDescent="0.4">
      <c r="B2" s="5" t="s">
        <v>62</v>
      </c>
      <c r="C2" s="5"/>
    </row>
    <row r="3" spans="2:25" x14ac:dyDescent="0.4">
      <c r="B3" s="6" t="s">
        <v>63</v>
      </c>
      <c r="C3" s="6">
        <f>COUNTIF(AA19:AC57,FALSE)</f>
        <v>0</v>
      </c>
      <c r="E3" t="s">
        <v>13</v>
      </c>
      <c r="F3" t="s">
        <v>15</v>
      </c>
    </row>
    <row r="4" spans="2:25" x14ac:dyDescent="0.4">
      <c r="B4" s="6" t="s">
        <v>64</v>
      </c>
      <c r="C4" s="6">
        <f>COUNTIF(AE20:AJ26,FALSE)</f>
        <v>0</v>
      </c>
      <c r="E4" t="s">
        <v>17</v>
      </c>
      <c r="F4" t="s">
        <v>19</v>
      </c>
    </row>
    <row r="5" spans="2:25" x14ac:dyDescent="0.4">
      <c r="B5" s="6" t="s">
        <v>65</v>
      </c>
      <c r="C5" s="6" t="str">
        <f>IF(M6=M7,"ok","ng")</f>
        <v>ok</v>
      </c>
      <c r="E5" t="s">
        <v>21</v>
      </c>
      <c r="F5" t="s">
        <v>23</v>
      </c>
      <c r="L5" t="s">
        <v>65</v>
      </c>
    </row>
    <row r="6" spans="2:25" x14ac:dyDescent="0.4">
      <c r="B6" s="6" t="s">
        <v>67</v>
      </c>
      <c r="C6" s="6">
        <f>COUNTIF(AE29:AJ30,FALSE)</f>
        <v>0</v>
      </c>
      <c r="E6" t="s">
        <v>24</v>
      </c>
      <c r="F6" t="str" cm="1">
        <f t="array" ref="F6">_xll.ExLibris.Json.CreateJsonArrayAsync(E8:J14, EXLIBRIS_CONFIGURATION)</f>
        <v>JsonObject:5AD3287E-29E2-405F-A526-6A7F6095DBAC</v>
      </c>
      <c r="L6" t="s">
        <v>60</v>
      </c>
      <c r="M6" t="str" cm="1">
        <f t="array" ref="M6">_xll.ExLibris.Json.ShowJsonTextAsync(F1)</f>
        <v>{"trade_code":"money_00001","couter_party":"CP00001","fixed_leg":{"pay_or_recieve":"Receive","cashflows":[{"payment _date":"2022-03-12","start_date":"2021-09-13","end_date":"2022-03-12","day_count_type":"ACT/360","amount":10000000,"fixed_rate":0.001},{"payment _date":"2022-09-08","start_date":"2022-03-12","end_date":"2022-09-08","day_count_type":"ACT/360","amount":10000000,"fixed_rate":0.0011},{"payment _date":"2023-03-07","start_date":"2022-09-08","end_date":"2023-03-07","day_count_type":"ACT/360","amount":11000000,"fixed_rate":0.0012000000000000001},{"payment _date":"2023-09-03","start_date":"2023-03-07","end_date":"2023-09-03","day_count_type":"ACT/360","amount":11000000,"fixed_rate":0.0013000000000000002},{"payment _date":"2024-03-01","start_date":"2023-09-03","end_date":"2024-03-01","day_count_type":"ACT/360","amount":12000000,"fixed_rate":0.0014000000000000002},{"payment _date":"2024-08-28","start_date":"2024-03-01","end_date":"2024-08-28","day_count_type":"ACT/360","amount":12000000,"fixed_rate":0.0015000000000000002}]}}</v>
      </c>
    </row>
    <row r="7" spans="2:25" x14ac:dyDescent="0.4">
      <c r="B7" s="6" t="s">
        <v>98</v>
      </c>
      <c r="C7" s="6">
        <f>COUNTIF(AE34:AJ36,FALSE)</f>
        <v>0</v>
      </c>
      <c r="L7" t="s">
        <v>66</v>
      </c>
      <c r="M7" t="s">
        <v>186</v>
      </c>
    </row>
    <row r="8" spans="2:25" x14ac:dyDescent="0.4">
      <c r="B8" s="6" t="s">
        <v>99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175</v>
      </c>
      <c r="J8" t="s">
        <v>11</v>
      </c>
    </row>
    <row r="9" spans="2:25" x14ac:dyDescent="0.4">
      <c r="B9" s="6" t="s">
        <v>100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60</v>
      </c>
      <c r="P16" s="4" t="s">
        <v>61</v>
      </c>
      <c r="Y16" s="4" t="s">
        <v>62</v>
      </c>
    </row>
    <row r="18" spans="5:36" x14ac:dyDescent="0.4">
      <c r="E18" t="s">
        <v>27</v>
      </c>
      <c r="I18" t="s">
        <v>29</v>
      </c>
      <c r="P18" t="s">
        <v>26</v>
      </c>
      <c r="T18" t="s">
        <v>28</v>
      </c>
      <c r="AA18" t="s">
        <v>26</v>
      </c>
      <c r="AE18" t="s">
        <v>28</v>
      </c>
    </row>
    <row r="19" spans="5:36" x14ac:dyDescent="0.4">
      <c r="E19" t="str" cm="1">
        <f t="array" ref="E19:F57">_xll.ExLibris.Json.GetJsonKeyValuesAsync(F1,, EXLIBRIS_CONFIGURATION)</f>
        <v>trade_code</v>
      </c>
      <c r="F19" t="str">
        <v>money_00001</v>
      </c>
      <c r="G19" t="str" cm="1">
        <f t="array" ref="G19">_xll.ExLibris.Json.GetJsonValueAsync($F$1,E19, EXLIBRIS_CONFIGURATION)</f>
        <v>money_00001</v>
      </c>
      <c r="I19" t="str" cm="1">
        <f t="array" ref="I19">_xll.ExLibris.Json.GetJsonValueAsync(F1,E6, EXLIBRIS_CONFIGURATION)</f>
        <v>JsonObject:899588BF-175F-4DC3-8996-72BD863F9876</v>
      </c>
      <c r="P19" t="s">
        <v>12</v>
      </c>
      <c r="Q19" t="s">
        <v>14</v>
      </c>
      <c r="R19" t="s">
        <v>14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_xll.ExLibris.Json.GetJsonValueAsync($F$1,E20, EXLIBRIS_CONFIGURATION)</f>
        <v>CP00001</v>
      </c>
      <c r="I20" t="str" cm="1">
        <f t="array" ref="I20:N26">_xll.ExLibris.Json.GetJsonTableAsync(I19,,,EXLIBRIS_CONFIGURATION)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amount</v>
      </c>
      <c r="N20" t="str">
        <v>fixed_rate</v>
      </c>
      <c r="P20" t="s">
        <v>16</v>
      </c>
      <c r="Q20" t="s">
        <v>18</v>
      </c>
      <c r="R20" t="s">
        <v>18</v>
      </c>
      <c r="T20" t="s">
        <v>0</v>
      </c>
      <c r="U20" t="s">
        <v>2</v>
      </c>
      <c r="V20" t="s">
        <v>4</v>
      </c>
      <c r="W20" t="s">
        <v>6</v>
      </c>
      <c r="X20" t="s">
        <v>175</v>
      </c>
      <c r="Y20" t="s">
        <v>10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_xll.ExLibris.Json.GetJsonValueAsync($F$1,E21,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20</v>
      </c>
      <c r="Q21" t="s">
        <v>22</v>
      </c>
      <c r="R21" t="s">
        <v>22</v>
      </c>
      <c r="T21" t="s">
        <v>85</v>
      </c>
      <c r="U21" t="s">
        <v>86</v>
      </c>
      <c r="V21" t="s">
        <v>85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t="str" cm="1">
        <f t="array" ref="G22">_xll.ExLibris.Json.GetJsonValueAsync($F$1,E22,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30</v>
      </c>
      <c r="Q22" t="s">
        <v>85</v>
      </c>
      <c r="R22" t="s">
        <v>85</v>
      </c>
      <c r="T22" t="s">
        <v>87</v>
      </c>
      <c r="U22" t="s">
        <v>85</v>
      </c>
      <c r="V22" t="s">
        <v>87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_xll.ExLibris.Json.GetJsonValueAsync($F$1,E23,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31</v>
      </c>
      <c r="Q23" t="s">
        <v>86</v>
      </c>
      <c r="R23" t="s">
        <v>86</v>
      </c>
      <c r="T23" t="s">
        <v>88</v>
      </c>
      <c r="U23" t="s">
        <v>87</v>
      </c>
      <c r="V23" t="s">
        <v>88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_xll.ExLibris.Json.GetJsonValueAsync($F$1,E24,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32</v>
      </c>
      <c r="Q24" t="s">
        <v>85</v>
      </c>
      <c r="R24" t="s">
        <v>85</v>
      </c>
      <c r="T24" t="s">
        <v>89</v>
      </c>
      <c r="U24" t="s">
        <v>88</v>
      </c>
      <c r="V24" t="s">
        <v>89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33</v>
      </c>
      <c r="Q25" t="s">
        <v>8</v>
      </c>
      <c r="R25" t="s">
        <v>8</v>
      </c>
      <c r="T25" t="s">
        <v>90</v>
      </c>
      <c r="U25" t="s">
        <v>89</v>
      </c>
      <c r="V25" t="s">
        <v>90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fixed_leg.cashflows.[0].amount</v>
      </c>
      <c r="F26">
        <v>10000000</v>
      </c>
      <c r="G26" cm="1">
        <f t="array" ref="G26">_xll.ExLibris.Json.GetJsonValueAsync($F$1,E26,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176</v>
      </c>
      <c r="Q26">
        <v>10000000</v>
      </c>
      <c r="R26">
        <v>10000000</v>
      </c>
      <c r="T26" t="s">
        <v>91</v>
      </c>
      <c r="U26" t="s">
        <v>90</v>
      </c>
      <c r="V26" t="s">
        <v>91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_xll.ExLibris.Json.GetJsonValueAsync($F$1,E27, EXLIBRIS_CONFIGURATION)</f>
        <v>1E-3</v>
      </c>
      <c r="P27" t="s">
        <v>34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_xll.ExLibris.Json.GetJsonValueAsync($F$1,E28, EXLIBRIS_CONFIGURATION)</f>
        <v>2022-09-08</v>
      </c>
      <c r="I28" t="str" cm="1">
        <f t="array" ref="I28">_xll.ExLibris.Json.GetJsonValueAsync(I19,"[2]", EXLIBRIS_CONFIGURATION)</f>
        <v>JsonObject:7F379375-C6F2-45AE-94C6-59227E422A5C</v>
      </c>
      <c r="P28" t="s">
        <v>35</v>
      </c>
      <c r="Q28" t="s">
        <v>87</v>
      </c>
      <c r="R28" t="s">
        <v>87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_xll.ExLibris.Json.GetJsonValueAsync($F$1,E29, EXLIBRIS_CONFIGURATION)</f>
        <v>2022-03-12</v>
      </c>
      <c r="I29" t="str" cm="1">
        <f t="array" ref="I29:N30">_xll.ExLibris.Json.GetJsonTableAsync(I28,,,EXLIBRIS_CONFIGURATION)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amount</v>
      </c>
      <c r="N29" t="str">
        <v>fixed_rate</v>
      </c>
      <c r="P29" t="s">
        <v>36</v>
      </c>
      <c r="Q29" t="s">
        <v>85</v>
      </c>
      <c r="R29" t="s">
        <v>85</v>
      </c>
      <c r="T29" t="s">
        <v>0</v>
      </c>
      <c r="U29" t="s">
        <v>2</v>
      </c>
      <c r="V29" t="s">
        <v>4</v>
      </c>
      <c r="W29" t="s">
        <v>6</v>
      </c>
      <c r="X29" t="s">
        <v>175</v>
      </c>
      <c r="Y29" t="s">
        <v>10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_xll.ExLibris.Json.GetJsonValueAsync($F$1,E30,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37</v>
      </c>
      <c r="Q30" t="s">
        <v>87</v>
      </c>
      <c r="R30" t="s">
        <v>87</v>
      </c>
      <c r="T30" t="s">
        <v>88</v>
      </c>
      <c r="U30" t="s">
        <v>87</v>
      </c>
      <c r="V30" t="s">
        <v>88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_xll.ExLibris.Json.GetJsonValueAsync($F$1,E31, EXLIBRIS_CONFIGURATION)</f>
        <v>ACT/360</v>
      </c>
      <c r="P31" t="s">
        <v>38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fixed_leg.cashflows.[1].amount</v>
      </c>
      <c r="F32">
        <v>10000000</v>
      </c>
      <c r="G32" cm="1">
        <f t="array" ref="G32">_xll.ExLibris.Json.GetJsonValueAsync($F$1,E32, EXLIBRIS_CONFIGURATION)</f>
        <v>10000000</v>
      </c>
      <c r="I32" t="str" cm="1">
        <f t="array" ref="I32">_xll.ExLibris.Json.GetJsonValueAsync(F1,E6,EXLIBRIS_CONFIGURATION)</f>
        <v>JsonObject:899588BF-175F-4DC3-8996-72BD863F9876</v>
      </c>
      <c r="P32" t="s">
        <v>177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_xll.ExLibris.Json.GetJsonValueAsync($F$1,E33, EXLIBRIS_CONFIGURATION)</f>
        <v>1.1000000000000001E-3</v>
      </c>
      <c r="I33" t="str" cm="1">
        <f t="array" ref="I33">_xll.ExLibris.Json.SearchJsonArrayElementsAsync(I32,I8,I11,EXLIBRIS_CONFIGURATION)</f>
        <v>JsonObject:CBCBE9F8-8976-43EA-841F-18F919FE6754</v>
      </c>
      <c r="P33" t="s">
        <v>39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_xll.ExLibris.Json.GetJsonValueAsync($F$1,E34, EXLIBRIS_CONFIGURATION)</f>
        <v>2023-03-07</v>
      </c>
      <c r="I34" t="str" cm="1">
        <f t="array" ref="I34:N36">_xll.ExLibris.Json.GetJsonTableAsync(I33,,,EXLIBRIS_CONFIGURATION)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amount</v>
      </c>
      <c r="N34" t="str">
        <v>fixed_rate</v>
      </c>
      <c r="P34" t="s">
        <v>40</v>
      </c>
      <c r="Q34" t="s">
        <v>88</v>
      </c>
      <c r="R34" t="s">
        <v>88</v>
      </c>
      <c r="T34" t="s">
        <v>0</v>
      </c>
      <c r="U34" t="s">
        <v>2</v>
      </c>
      <c r="V34" t="s">
        <v>4</v>
      </c>
      <c r="W34" t="s">
        <v>6</v>
      </c>
      <c r="X34" t="s">
        <v>175</v>
      </c>
      <c r="Y34" t="s">
        <v>10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_xll.ExLibris.Json.GetJsonValueAsync($F$1,E35,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41</v>
      </c>
      <c r="Q35" t="s">
        <v>87</v>
      </c>
      <c r="R35" t="s">
        <v>87</v>
      </c>
      <c r="T35" t="s">
        <v>88</v>
      </c>
      <c r="U35" t="s">
        <v>87</v>
      </c>
      <c r="V35" t="s">
        <v>88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_xll.ExLibris.Json.GetJsonValueAsync($F$1,E36,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42</v>
      </c>
      <c r="Q36" t="s">
        <v>88</v>
      </c>
      <c r="R36" t="s">
        <v>88</v>
      </c>
      <c r="T36" t="s">
        <v>89</v>
      </c>
      <c r="U36" t="s">
        <v>88</v>
      </c>
      <c r="V36" t="s">
        <v>89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_xll.ExLibris.Json.GetJsonValueAsync($F$1,E37, EXLIBRIS_CONFIGURATION)</f>
        <v>ACT/360</v>
      </c>
      <c r="P37" t="s">
        <v>43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fixed_leg.cashflows.[2].amount</v>
      </c>
      <c r="F38">
        <v>11000000</v>
      </c>
      <c r="G38" cm="1">
        <f t="array" ref="G38">_xll.ExLibris.Json.GetJsonValueAsync($F$1,E38, EXLIBRIS_CONFIGURATION)</f>
        <v>11000000</v>
      </c>
      <c r="I38" t="str" cm="1">
        <f t="array" ref="I38">_xll.ExLibris.Json.SearchJsonArrayElementsAsync(I32,J8,J11,EXLIBRIS_CONFIGURATION)</f>
        <v>JsonObject:8DE4D8A4-AB01-4C8D-9399-2C971944CC9E</v>
      </c>
      <c r="P38" t="s">
        <v>178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_xll.ExLibris.Json.GetJsonValueAsync($F$1,E39, EXLIBRIS_CONFIGURATION)</f>
        <v>1.2000000000000001E-3</v>
      </c>
      <c r="I39" t="str" cm="1">
        <f t="array" ref="I39:N40">_xll.ExLibris.Json.GetJsonTableAsync(I38,,,EXLIBRIS_CONFIGURATION)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amount</v>
      </c>
      <c r="N39" t="str">
        <v>fixed_rate</v>
      </c>
      <c r="P39" t="s">
        <v>44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175</v>
      </c>
      <c r="Y39" t="s">
        <v>10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_xll.ExLibris.Json.GetJsonValueAsync($F$1,E40,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45</v>
      </c>
      <c r="Q40" t="s">
        <v>89</v>
      </c>
      <c r="R40" t="s">
        <v>89</v>
      </c>
      <c r="T40" t="s">
        <v>88</v>
      </c>
      <c r="U40" t="s">
        <v>87</v>
      </c>
      <c r="V40" t="s">
        <v>88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_xll.ExLibris.Json.GetJsonValueAsync($F$1,E41, EXLIBRIS_CONFIGURATION)</f>
        <v>2023-03-07</v>
      </c>
      <c r="P41" t="s">
        <v>46</v>
      </c>
      <c r="Q41" t="s">
        <v>88</v>
      </c>
      <c r="R41" t="s">
        <v>88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_xll.ExLibris.Json.GetJsonValueAsync($F$1,E42, EXLIBRIS_CONFIGURATION)</f>
        <v>2023-09-03</v>
      </c>
      <c r="I42" t="str" cm="1">
        <f t="array" ref="I42">_xll.ExLibris.Json.SearchJsonArrayElementsAsync(I32,J8,,EXLIBRIS_CONFIGURATION)</f>
        <v>JsonObject:B3B12429-F143-416F-8F54-8CAFF93ABAD4</v>
      </c>
      <c r="P42" t="s">
        <v>47</v>
      </c>
      <c r="Q42" t="s">
        <v>89</v>
      </c>
      <c r="R42" t="s">
        <v>89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_xll.ExLibris.Json.GetJsonValueAsync($F$1,E43, EXLIBRIS_CONFIGURATION)</f>
        <v>ACT/360</v>
      </c>
      <c r="I43" t="str" cm="1">
        <f t="array" ref="I43">_xll.ExLibris.Json.GetJsonTableAsync(I42,,,EXLIBRIS_CONFIGURATION)</f>
        <v/>
      </c>
      <c r="P43" t="s">
        <v>48</v>
      </c>
      <c r="Q43" t="s">
        <v>8</v>
      </c>
      <c r="R43" t="s">
        <v>8</v>
      </c>
      <c r="T43" t="s">
        <v>97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fixed_leg.cashflows.[3].amount</v>
      </c>
      <c r="F44">
        <v>11000000</v>
      </c>
      <c r="G44" cm="1">
        <f t="array" ref="G44">_xll.ExLibris.Json.GetJsonValueAsync($F$1,E44, EXLIBRIS_CONFIGURATION)</f>
        <v>11000000</v>
      </c>
      <c r="P44" t="s">
        <v>179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_xll.ExLibris.Json.GetJsonValueAsync($F$1,E45, EXLIBRIS_CONFIGURATION)</f>
        <v>1.3000000000000002E-3</v>
      </c>
      <c r="P45" t="s">
        <v>49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_xll.ExLibris.Json.GetJsonValueAsync($F$1,E46, EXLIBRIS_CONFIGURATION)</f>
        <v>2024-03-01</v>
      </c>
      <c r="P46" t="s">
        <v>50</v>
      </c>
      <c r="Q46" t="s">
        <v>90</v>
      </c>
      <c r="R46" t="s">
        <v>90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_xll.ExLibris.Json.GetJsonValueAsync($F$1,E47, EXLIBRIS_CONFIGURATION)</f>
        <v>2023-09-03</v>
      </c>
      <c r="P47" t="s">
        <v>51</v>
      </c>
      <c r="Q47" t="s">
        <v>89</v>
      </c>
      <c r="R47" t="s">
        <v>89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_xll.ExLibris.Json.GetJsonValueAsync($F$1,E48, EXLIBRIS_CONFIGURATION)</f>
        <v>2024-03-01</v>
      </c>
      <c r="P48" t="s">
        <v>52</v>
      </c>
      <c r="Q48" t="s">
        <v>90</v>
      </c>
      <c r="R48" t="s">
        <v>90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_xll.ExLibris.Json.GetJsonValueAsync($F$1,E49, EXLIBRIS_CONFIGURATION)</f>
        <v>ACT/360</v>
      </c>
      <c r="P49" t="s">
        <v>53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fixed_leg.cashflows.[4].amount</v>
      </c>
      <c r="F50">
        <v>12000000</v>
      </c>
      <c r="G50" cm="1">
        <f t="array" ref="G50">_xll.ExLibris.Json.GetJsonValueAsync($F$1,E50, EXLIBRIS_CONFIGURATION)</f>
        <v>12000000</v>
      </c>
      <c r="P50" t="s">
        <v>180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_xll.ExLibris.Json.GetJsonValueAsync($F$1,E51, EXLIBRIS_CONFIGURATION)</f>
        <v>1.4000000000000002E-3</v>
      </c>
      <c r="P51" t="s">
        <v>54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_xll.ExLibris.Json.GetJsonValueAsync($F$1,E52, EXLIBRIS_CONFIGURATION)</f>
        <v>2024-08-28</v>
      </c>
      <c r="P52" t="s">
        <v>55</v>
      </c>
      <c r="Q52" t="s">
        <v>91</v>
      </c>
      <c r="R52" t="s">
        <v>91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_xll.ExLibris.Json.GetJsonValueAsync($F$1,E53, EXLIBRIS_CONFIGURATION)</f>
        <v>2024-03-01</v>
      </c>
      <c r="P53" t="s">
        <v>56</v>
      </c>
      <c r="Q53" t="s">
        <v>90</v>
      </c>
      <c r="R53" t="s">
        <v>90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_xll.ExLibris.Json.GetJsonValueAsync($F$1,E54, EXLIBRIS_CONFIGURATION)</f>
        <v>2024-08-28</v>
      </c>
      <c r="P54" t="s">
        <v>57</v>
      </c>
      <c r="Q54" t="s">
        <v>91</v>
      </c>
      <c r="R54" t="s">
        <v>91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_xll.ExLibris.Json.GetJsonValueAsync($F$1,E55, EXLIBRIS_CONFIGURATION)</f>
        <v>ACT/360</v>
      </c>
      <c r="P55" t="s">
        <v>58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fixed_leg.cashflows.[5].amount</v>
      </c>
      <c r="F56">
        <v>12000000</v>
      </c>
      <c r="G56" cm="1">
        <f t="array" ref="G56">_xll.ExLibris.Json.GetJsonValueAsync($F$1,E56, EXLIBRIS_CONFIGURATION)</f>
        <v>12000000</v>
      </c>
      <c r="P56" t="s">
        <v>181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_xll.ExLibris.Json.GetJsonValueAsync($F$1,E57, EXLIBRIS_CONFIGURATION)</f>
        <v>1.5000000000000002E-3</v>
      </c>
      <c r="P57" t="s">
        <v>59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76</v>
      </c>
      <c r="C2" t="str" cm="1">
        <f t="array" ref="C2">_xll.ExLibris.LoadConfigurationAsync(B6:C15)</f>
        <v>ExLibris.Core.ExLibrisConfiguration:43CDA749-FF2B-4DE5-830F-819BA4EA357C</v>
      </c>
    </row>
    <row r="4" spans="2:6" s="4" customFormat="1" ht="18" x14ac:dyDescent="0.4">
      <c r="B4" s="4" t="s">
        <v>78</v>
      </c>
      <c r="E4" s="4" t="s">
        <v>77</v>
      </c>
    </row>
    <row r="6" spans="2:6" x14ac:dyDescent="0.4">
      <c r="B6" t="s">
        <v>68</v>
      </c>
      <c r="C6" t="s">
        <v>69</v>
      </c>
      <c r="E6" t="str" cm="1">
        <f t="array" ref="E6:F15">_xll.ExLibris.DumpObjectAsync(EXLIBRIS_CONFIGURATION)</f>
        <v>excel_value.excel_error_to</v>
      </c>
      <c r="F6" t="str">
        <v>Error</v>
      </c>
    </row>
    <row r="7" spans="2:6" x14ac:dyDescent="0.4">
      <c r="B7" t="s">
        <v>70</v>
      </c>
      <c r="C7" t="s">
        <v>71</v>
      </c>
      <c r="E7" t="str">
        <v>excel_value.excel_missing_to</v>
      </c>
      <c r="F7" t="str">
        <v>Null</v>
      </c>
    </row>
    <row r="8" spans="2:6" x14ac:dyDescent="0.4">
      <c r="B8" t="s">
        <v>72</v>
      </c>
      <c r="C8" t="s">
        <v>71</v>
      </c>
      <c r="E8" t="str">
        <v>excel_value.excel_empty_to</v>
      </c>
      <c r="F8" t="str">
        <v>Null</v>
      </c>
    </row>
    <row r="9" spans="2:6" x14ac:dyDescent="0.4">
      <c r="B9" t="s">
        <v>73</v>
      </c>
      <c r="C9" t="s">
        <v>71</v>
      </c>
      <c r="E9" t="str">
        <v>excel_value.excel_string_empty_to</v>
      </c>
      <c r="F9" t="str">
        <v>Null</v>
      </c>
    </row>
    <row r="10" spans="2:6" x14ac:dyDescent="0.4">
      <c r="B10" t="s">
        <v>74</v>
      </c>
      <c r="C10" t="s">
        <v>79</v>
      </c>
      <c r="E10" t="str">
        <v>excel_value.null_to_excel</v>
      </c>
      <c r="F10" t="str">
        <v>StringEmpty</v>
      </c>
    </row>
    <row r="11" spans="2:6" x14ac:dyDescent="0.4">
      <c r="B11" t="s">
        <v>75</v>
      </c>
      <c r="C11" t="s">
        <v>79</v>
      </c>
      <c r="E11" t="str">
        <v>excel_value.string_empty_to_excel</v>
      </c>
      <c r="F11" t="str">
        <v>StringEmpty</v>
      </c>
    </row>
    <row r="12" spans="2:6" x14ac:dyDescent="0.4">
      <c r="B12" t="s">
        <v>80</v>
      </c>
      <c r="C12" t="s">
        <v>81</v>
      </c>
      <c r="E12" t="str">
        <v>json.double_to_date_text.[0].date_format</v>
      </c>
      <c r="F12" t="str">
        <v>yyyy-MM-dd</v>
      </c>
    </row>
    <row r="13" spans="2:6" x14ac:dyDescent="0.4">
      <c r="B13" t="s">
        <v>82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83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84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J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28.875" customWidth="1"/>
    <col min="7" max="7" width="44.75" bestFit="1" customWidth="1"/>
    <col min="8" max="8" width="44.75" customWidth="1"/>
    <col min="9" max="10" width="39.125" bestFit="1" customWidth="1"/>
  </cols>
  <sheetData>
    <row r="2" spans="2:10" s="4" customFormat="1" ht="18" x14ac:dyDescent="0.4">
      <c r="B2" s="4" t="s">
        <v>92</v>
      </c>
    </row>
    <row r="3" spans="2:10" x14ac:dyDescent="0.4">
      <c r="D3" t="s">
        <v>138</v>
      </c>
      <c r="E3" t="s">
        <v>137</v>
      </c>
      <c r="F3" t="s">
        <v>93</v>
      </c>
      <c r="G3" t="s">
        <v>139</v>
      </c>
      <c r="H3" t="s">
        <v>146</v>
      </c>
      <c r="I3" t="s">
        <v>140</v>
      </c>
      <c r="J3" t="s">
        <v>141</v>
      </c>
    </row>
    <row r="4" spans="2:10" x14ac:dyDescent="0.4">
      <c r="D4" t="str" cm="1">
        <f t="array" ref="D4">_xll.ExLibris.WebSockets.OpenWebSocketAsync("ws://localhost:10101",,E4)</f>
        <v>ExLibris.Core.WebSockets.WebsocketClient:121E0419-755B-4DEF-90FF-294C722460CF</v>
      </c>
      <c r="E4" t="s">
        <v>94</v>
      </c>
      <c r="F4" t="str" cm="1">
        <f t="array" ref="F4">_xll.ExLibris.WebSockets.ObserveWebSocketStatus(D4,1000)</f>
        <v>Closed</v>
      </c>
      <c r="G4" t="e" cm="1">
        <f t="array" ref="G4">_xll.ExLibris.WebSockets.ObserveWebSocketMessage(D4)</f>
        <v>#N/A</v>
      </c>
      <c r="H4" t="e" cm="1">
        <f t="array" ref="H4">_xll.ExLibris.Json.ShowJsonText(_xll.ExLibris.Json.CreateJsonArray($E$3:G4))</f>
        <v>#VALUE!</v>
      </c>
      <c r="I4" t="e" cm="1">
        <f t="array" ref="I4">_xll.ExLibris.WebSockets.SendWebSocketMessage(D4,H4,F4="Open")</f>
        <v>#VALUE!</v>
      </c>
      <c r="J4" t="e" cm="1">
        <f t="array" ref="J4">_xll.ExLibris.WebSockets.SendWebSocketMessage($D$4,"1# "&amp;H4,I4)</f>
        <v>#VALUE!</v>
      </c>
    </row>
    <row r="5" spans="2:10" x14ac:dyDescent="0.4">
      <c r="D5" t="str" cm="1">
        <f t="array" ref="D5">_xll.ExLibris.WebSockets.OpenWebSocketAsync("ws://localhost:10101",,E5)</f>
        <v>ExLibris.Core.WebSockets.WebsocketClient:12BD3209-CEBE-4162-84C0-5AEF35C96429</v>
      </c>
      <c r="E5" t="s">
        <v>142</v>
      </c>
      <c r="F5" t="str" cm="1">
        <f t="array" ref="F5">_xll.ExLibris.WebSockets.ObserveWebSocketStatus(D5,1000)</f>
        <v>Closed</v>
      </c>
      <c r="G5" t="e" cm="1">
        <f t="array" ref="G5">_xll.ExLibris.WebSockets.ObserveWebSocketMessage(D5)</f>
        <v>#N/A</v>
      </c>
      <c r="H5" t="e" cm="1">
        <f t="array" ref="H5">_xll.ExLibris.Json.ShowJsonText(_xll.ExLibris.Json.CreateJsonArray($E$3:G5))</f>
        <v>#VALUE!</v>
      </c>
      <c r="I5" t="e" cm="1">
        <f t="array" ref="I5">_xll.ExLibris.WebSockets.SendWebSocketMessage(D5,H5,F5="Open")</f>
        <v>#VALUE!</v>
      </c>
      <c r="J5" t="e" cm="1">
        <f t="array" ref="J5">_xll.ExLibris.WebSockets.SendWebSocketMessage($D$4,"1# "&amp;H5,I5)</f>
        <v>#VALUE!</v>
      </c>
    </row>
    <row r="6" spans="2:10" x14ac:dyDescent="0.4">
      <c r="D6" t="str" cm="1">
        <f t="array" ref="D6">_xll.ExLibris.WebSockets.OpenWebSocketAsync("ws://localhost:10101",,E6)</f>
        <v>ExLibris.Core.WebSockets.WebsocketClient:74C8D6CA-60DC-464F-BA84-A3FEA294B183</v>
      </c>
      <c r="E6" t="s">
        <v>143</v>
      </c>
      <c r="F6" t="str" cm="1">
        <f t="array" ref="F6">_xll.ExLibris.WebSockets.ObserveWebSocketStatus(D6,1000)</f>
        <v>Closed</v>
      </c>
      <c r="G6" t="e" cm="1">
        <f t="array" ref="G6">_xll.ExLibris.WebSockets.ObserveWebSocketMessage(D6)</f>
        <v>#N/A</v>
      </c>
      <c r="H6" t="e" cm="1">
        <f t="array" ref="H6">_xll.ExLibris.Json.ShowJsonText(_xll.ExLibris.Json.CreateJsonArray($E$3:G6))</f>
        <v>#VALUE!</v>
      </c>
      <c r="I6" t="e" cm="1">
        <f t="array" ref="I6">_xll.ExLibris.WebSockets.SendWebSocketMessage(D6,H6,F6="Open")</f>
        <v>#VALUE!</v>
      </c>
      <c r="J6" t="e" cm="1">
        <f t="array" ref="J6">_xll.ExLibris.WebSockets.SendWebSocketMessage($D$4,"1# "&amp;H6,I6)</f>
        <v>#VALUE!</v>
      </c>
    </row>
    <row r="7" spans="2:10" x14ac:dyDescent="0.4">
      <c r="D7" t="str" cm="1">
        <f t="array" ref="D7">_xll.ExLibris.WebSockets.OpenWebSocketAsync("ws://localhost:10101",,E7)</f>
        <v>ExLibris.Core.WebSockets.WebsocketClient:29251A94-BE50-460E-BBC1-EC62AE73D9E1</v>
      </c>
      <c r="E7" t="s">
        <v>144</v>
      </c>
      <c r="F7" t="str" cm="1">
        <f t="array" ref="F7">_xll.ExLibris.WebSockets.ObserveWebSocketStatus(D7,1000)</f>
        <v>Closed</v>
      </c>
      <c r="G7" t="e" cm="1">
        <f t="array" ref="G7">_xll.ExLibris.WebSockets.ObserveWebSocketMessage(D7)</f>
        <v>#N/A</v>
      </c>
      <c r="H7" t="e" cm="1">
        <f t="array" ref="H7">_xll.ExLibris.Json.ShowJsonText(_xll.ExLibris.Json.CreateJsonArray($E$3:G7))</f>
        <v>#VALUE!</v>
      </c>
      <c r="I7" t="e" cm="1">
        <f t="array" ref="I7">_xll.ExLibris.WebSockets.SendWebSocketMessage(D7,H7,F7="Open")</f>
        <v>#VALUE!</v>
      </c>
      <c r="J7" t="e" cm="1">
        <f t="array" ref="J7">_xll.ExLibris.WebSockets.SendWebSocketMessage($D$4,"1# "&amp;H7,I7)</f>
        <v>#VALUE!</v>
      </c>
    </row>
    <row r="8" spans="2:10" x14ac:dyDescent="0.4">
      <c r="D8" t="str" cm="1">
        <f t="array" ref="D8">_xll.ExLibris.WebSockets.OpenWebSocketAsync("ws://localhost:10101",,E8)</f>
        <v>ExLibris.Core.WebSockets.WebsocketClient:8F4AFFAE-9268-4BEA-8511-A9720EE8CC66</v>
      </c>
      <c r="E8" t="s">
        <v>145</v>
      </c>
      <c r="F8" t="str" cm="1">
        <f t="array" ref="F8">_xll.ExLibris.WebSockets.ObserveWebSocketStatus(D8,1000)</f>
        <v>Closed</v>
      </c>
      <c r="G8" t="e" cm="1">
        <f t="array" ref="G8">_xll.ExLibris.WebSockets.ObserveWebSocketMessage(D8)</f>
        <v>#N/A</v>
      </c>
      <c r="H8" t="e" cm="1">
        <f t="array" ref="H8">_xll.ExLibris.Json.ShowJsonText(_xll.ExLibris.Json.CreateJsonArray($E$3:G8))</f>
        <v>#VALUE!</v>
      </c>
      <c r="I8" t="e" cm="1">
        <f t="array" ref="I8">_xll.ExLibris.WebSockets.SendWebSocketMessage(D8,H8,F8="Open")</f>
        <v>#VALUE!</v>
      </c>
      <c r="J8" t="e" cm="1">
        <f t="array" ref="J8">_xll.ExLibris.WebSockets.SendWebSocketMessage($D$4,"1# "&amp;H8,I8)</f>
        <v>#VALUE!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K52"/>
  <sheetViews>
    <sheetView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11" x14ac:dyDescent="0.4">
      <c r="B2" t="s">
        <v>101</v>
      </c>
      <c r="C2" s="7" t="s">
        <v>107</v>
      </c>
      <c r="E2" t="s">
        <v>109</v>
      </c>
      <c r="K2" t="s">
        <v>147</v>
      </c>
    </row>
    <row r="3" spans="2:11" x14ac:dyDescent="0.4">
      <c r="C3" t="s">
        <v>106</v>
      </c>
    </row>
    <row r="5" spans="2:11" x14ac:dyDescent="0.4">
      <c r="B5" t="str" cm="1">
        <f t="array" ref="B5">_xll.ExLibris.WebAPIs.CreateHeadersAsync(B6:C10)</f>
        <v>ExLibris.Core.WebAPIs.WebAPIHeaders:437A0490-B56D-4295-A88D-8725E2911DF9</v>
      </c>
      <c r="H5" t="str" cm="1">
        <f t="array" ref="H5">_xll.ExLibris.Json.CreateJsonObjectAsync(H6:I11)</f>
        <v>JsonObject:1CC3832E-34D2-4A2A-9616-DC41CB55A6CF</v>
      </c>
    </row>
    <row r="6" spans="2:11" x14ac:dyDescent="0.4">
      <c r="B6" t="s">
        <v>110</v>
      </c>
      <c r="C6" t="s">
        <v>111</v>
      </c>
      <c r="H6" t="s">
        <v>130</v>
      </c>
      <c r="I6" t="s">
        <v>132</v>
      </c>
    </row>
    <row r="7" spans="2:11" x14ac:dyDescent="0.4">
      <c r="B7" t="s">
        <v>112</v>
      </c>
      <c r="C7" t="s">
        <v>118</v>
      </c>
      <c r="H7" t="s">
        <v>131</v>
      </c>
      <c r="I7" t="s">
        <v>133</v>
      </c>
    </row>
    <row r="8" spans="2:11" x14ac:dyDescent="0.4">
      <c r="B8" t="s">
        <v>113</v>
      </c>
      <c r="C8" t="s">
        <v>119</v>
      </c>
      <c r="H8" t="s">
        <v>121</v>
      </c>
      <c r="I8">
        <v>108.5</v>
      </c>
    </row>
    <row r="9" spans="2:11" x14ac:dyDescent="0.4">
      <c r="B9" t="s">
        <v>114</v>
      </c>
      <c r="C9" t="s">
        <v>115</v>
      </c>
      <c r="H9" t="s">
        <v>122</v>
      </c>
      <c r="I9" t="s">
        <v>123</v>
      </c>
    </row>
    <row r="10" spans="2:11" x14ac:dyDescent="0.4">
      <c r="B10" t="s">
        <v>116</v>
      </c>
      <c r="C10" t="s">
        <v>117</v>
      </c>
      <c r="H10" t="s">
        <v>124</v>
      </c>
      <c r="I10" t="s">
        <v>125</v>
      </c>
    </row>
    <row r="11" spans="2:11" x14ac:dyDescent="0.4">
      <c r="H11" t="s">
        <v>126</v>
      </c>
      <c r="I11" s="1">
        <v>44463</v>
      </c>
    </row>
    <row r="12" spans="2:11" x14ac:dyDescent="0.4">
      <c r="B12" s="8">
        <f>COUNTIF(E14:E52,FALSE)</f>
        <v>0</v>
      </c>
      <c r="I12" s="1"/>
    </row>
    <row r="13" spans="2:11" x14ac:dyDescent="0.4">
      <c r="D13" t="s">
        <v>60</v>
      </c>
      <c r="E13" t="s">
        <v>167</v>
      </c>
      <c r="F13" s="1" t="s">
        <v>61</v>
      </c>
    </row>
    <row r="14" spans="2:11" x14ac:dyDescent="0.4">
      <c r="B14" t="s">
        <v>105</v>
      </c>
      <c r="C14" t="s">
        <v>104</v>
      </c>
      <c r="D14" t="str">
        <f>$C$2&amp;"get"</f>
        <v>http://localhost:80/get</v>
      </c>
      <c r="E14" t="b">
        <f t="shared" ref="E14:E52" si="0">D14=F14</f>
        <v>1</v>
      </c>
      <c r="F14" t="s">
        <v>148</v>
      </c>
    </row>
    <row r="15" spans="2:11" x14ac:dyDescent="0.4">
      <c r="C15" t="s">
        <v>102</v>
      </c>
      <c r="D15" t="e" cm="1">
        <f t="array" ref="D15">_xll.ExLibris.WebAPIs.GET(D14)</f>
        <v>#N/A</v>
      </c>
      <c r="F15" t="s">
        <v>149</v>
      </c>
    </row>
    <row r="16" spans="2:11" x14ac:dyDescent="0.4">
      <c r="C16" t="s">
        <v>93</v>
      </c>
      <c r="D16" t="e" cm="1">
        <f t="array" ref="D16">_xll.ExLibris.WebAPIs.WebAPIResponseStatus(D15,TRUE)</f>
        <v>#VALUE!</v>
      </c>
      <c r="E16" t="e">
        <f t="shared" si="0"/>
        <v>#VALUE!</v>
      </c>
      <c r="F16">
        <v>200</v>
      </c>
    </row>
    <row r="17" spans="2:6" x14ac:dyDescent="0.4">
      <c r="C17" t="s">
        <v>103</v>
      </c>
      <c r="D17" t="e" cm="1">
        <f t="array" ref="D17">_xll.ExLibris.WebAPIs.WebAPIResponseContent(D15)</f>
        <v>#VALUE!</v>
      </c>
      <c r="E17" t="e">
        <f t="shared" si="0"/>
        <v>#VALUE!</v>
      </c>
      <c r="F17" t="s">
        <v>168</v>
      </c>
    </row>
    <row r="19" spans="2:6" x14ac:dyDescent="0.4">
      <c r="B19" t="s">
        <v>108</v>
      </c>
      <c r="C19" t="s">
        <v>104</v>
      </c>
      <c r="D19" t="str">
        <f>$C$2&amp;"post"</f>
        <v>http://localhost:80/post</v>
      </c>
      <c r="E19" t="b">
        <f t="shared" si="0"/>
        <v>1</v>
      </c>
      <c r="F19" t="s">
        <v>150</v>
      </c>
    </row>
    <row r="20" spans="2:6" x14ac:dyDescent="0.4">
      <c r="C20" t="s">
        <v>102</v>
      </c>
      <c r="D20" t="e" cm="1">
        <f t="array" ref="D20">_xll.ExLibris.WebAPIs.POST(D19)</f>
        <v>#N/A</v>
      </c>
      <c r="F20" t="s">
        <v>151</v>
      </c>
    </row>
    <row r="21" spans="2:6" x14ac:dyDescent="0.4">
      <c r="C21" t="s">
        <v>93</v>
      </c>
      <c r="D21" t="e" cm="1">
        <f t="array" ref="D21">_xll.ExLibris.WebAPIs.WebAPIResponseStatus(D20,TRUE)</f>
        <v>#VALUE!</v>
      </c>
      <c r="E21" t="e">
        <f t="shared" si="0"/>
        <v>#VALUE!</v>
      </c>
      <c r="F21">
        <v>200</v>
      </c>
    </row>
    <row r="22" spans="2:6" x14ac:dyDescent="0.4">
      <c r="C22" t="s">
        <v>103</v>
      </c>
      <c r="D22" t="e" cm="1">
        <f t="array" ref="D22">_xll.ExLibris.WebAPIs.WebAPIResponseContent(D20)</f>
        <v>#VALUE!</v>
      </c>
      <c r="E22" t="e">
        <f t="shared" si="0"/>
        <v>#VALUE!</v>
      </c>
      <c r="F22" t="s">
        <v>170</v>
      </c>
    </row>
    <row r="24" spans="2:6" x14ac:dyDescent="0.4">
      <c r="B24" t="s">
        <v>120</v>
      </c>
      <c r="C24" t="s">
        <v>104</v>
      </c>
      <c r="D24" t="str">
        <f>$C$2&amp;"bearer"</f>
        <v>http://localhost:80/bearer</v>
      </c>
      <c r="E24" t="b">
        <f t="shared" si="0"/>
        <v>1</v>
      </c>
      <c r="F24" t="s">
        <v>152</v>
      </c>
    </row>
    <row r="25" spans="2:6" x14ac:dyDescent="0.4">
      <c r="C25" t="s">
        <v>102</v>
      </c>
      <c r="D25" t="e" cm="1">
        <f t="array" ref="D25">_xll.ExLibris.WebAPIs.GET(D24,$B$5)</f>
        <v>#N/A</v>
      </c>
      <c r="F25" t="s">
        <v>153</v>
      </c>
    </row>
    <row r="26" spans="2:6" x14ac:dyDescent="0.4">
      <c r="C26" t="s">
        <v>93</v>
      </c>
      <c r="D26" t="e" cm="1">
        <f t="array" ref="D26">_xll.ExLibris.WebAPIs.WebAPIResponseStatus(D25,TRUE)</f>
        <v>#VALUE!</v>
      </c>
      <c r="E26" t="e">
        <f t="shared" si="0"/>
        <v>#VALUE!</v>
      </c>
      <c r="F26">
        <v>200</v>
      </c>
    </row>
    <row r="27" spans="2:6" x14ac:dyDescent="0.4">
      <c r="C27" t="s">
        <v>103</v>
      </c>
      <c r="D27" t="e" cm="1">
        <f t="array" ref="D27">_xll.ExLibris.WebAPIs.WebAPIResponseContent(D25)</f>
        <v>#VALUE!</v>
      </c>
      <c r="E27" t="e">
        <f t="shared" si="0"/>
        <v>#VALUE!</v>
      </c>
      <c r="F27" t="s">
        <v>154</v>
      </c>
    </row>
    <row r="29" spans="2:6" x14ac:dyDescent="0.4">
      <c r="B29" t="s">
        <v>127</v>
      </c>
      <c r="C29" t="s">
        <v>104</v>
      </c>
      <c r="D29" t="str">
        <f>$C$2&amp;"post"</f>
        <v>http://localhost:80/post</v>
      </c>
      <c r="E29" t="b">
        <f t="shared" si="0"/>
        <v>1</v>
      </c>
      <c r="F29" t="s">
        <v>150</v>
      </c>
    </row>
    <row r="30" spans="2:6" x14ac:dyDescent="0.4">
      <c r="C30" t="s">
        <v>102</v>
      </c>
      <c r="D30" t="e" cm="1">
        <f t="array" ref="D30">_xll.ExLibris.WebAPIs.POST(D29,_xll.ExLibris.Json.ShowJsonText(H5),,$B$5)</f>
        <v>#N/A</v>
      </c>
      <c r="F30" t="s">
        <v>155</v>
      </c>
    </row>
    <row r="31" spans="2:6" x14ac:dyDescent="0.4">
      <c r="C31" t="s">
        <v>93</v>
      </c>
      <c r="D31" t="e" cm="1">
        <f t="array" ref="D31">_xll.ExLibris.WebAPIs.WebAPIResponseStatus(D30,TRUE)</f>
        <v>#VALUE!</v>
      </c>
      <c r="E31" t="e">
        <f t="shared" si="0"/>
        <v>#VALUE!</v>
      </c>
      <c r="F31">
        <v>200</v>
      </c>
    </row>
    <row r="32" spans="2:6" x14ac:dyDescent="0.4">
      <c r="C32" t="s">
        <v>103</v>
      </c>
      <c r="D32" t="e" cm="1">
        <f t="array" ref="D32">_xll.ExLibris.WebAPIs.WebAPIResponseContent(D30)</f>
        <v>#VALUE!</v>
      </c>
      <c r="E32" t="e">
        <f t="shared" si="0"/>
        <v>#VALUE!</v>
      </c>
      <c r="F32" t="s">
        <v>156</v>
      </c>
    </row>
    <row r="34" spans="2:6" x14ac:dyDescent="0.4">
      <c r="B34" t="s">
        <v>128</v>
      </c>
      <c r="C34" t="s">
        <v>104</v>
      </c>
      <c r="D34" t="str">
        <f>$C$2&amp;"post"</f>
        <v>http://localhost:80/post</v>
      </c>
      <c r="E34" t="b">
        <f t="shared" si="0"/>
        <v>1</v>
      </c>
      <c r="F34" t="s">
        <v>150</v>
      </c>
    </row>
    <row r="35" spans="2:6" x14ac:dyDescent="0.4">
      <c r="C35" t="s">
        <v>102</v>
      </c>
      <c r="D35" t="e" cm="1">
        <f t="array" ref="D35">_xll.ExLibris.WebAPIs.POST(D34,H5,TRUE,$B$5)</f>
        <v>#N/A</v>
      </c>
      <c r="F35" t="s">
        <v>157</v>
      </c>
    </row>
    <row r="36" spans="2:6" x14ac:dyDescent="0.4">
      <c r="C36" t="s">
        <v>93</v>
      </c>
      <c r="D36" t="e" cm="1">
        <f t="array" ref="D36">_xll.ExLibris.WebAPIs.WebAPIResponseStatus(D35,TRUE)</f>
        <v>#VALUE!</v>
      </c>
      <c r="E36" t="e">
        <f t="shared" si="0"/>
        <v>#VALUE!</v>
      </c>
      <c r="F36">
        <v>200</v>
      </c>
    </row>
    <row r="37" spans="2:6" x14ac:dyDescent="0.4">
      <c r="C37" t="s">
        <v>103</v>
      </c>
      <c r="D37" t="e" cm="1">
        <f t="array" ref="D37">_xll.ExLibris.WebAPIs.WebAPIResponseContent(D35)</f>
        <v>#VALUE!</v>
      </c>
      <c r="E37" t="e">
        <f t="shared" si="0"/>
        <v>#VALUE!</v>
      </c>
      <c r="F37" t="s">
        <v>158</v>
      </c>
    </row>
    <row r="39" spans="2:6" x14ac:dyDescent="0.4">
      <c r="B39" t="s">
        <v>129</v>
      </c>
      <c r="C39" t="s">
        <v>104</v>
      </c>
      <c r="D39" t="str" cm="1">
        <f t="array" ref="D39">_xll.ExLibris.WebAPIs.BuildUri($C$2&amp;"post",H6:I11)</f>
        <v>http://localhost:80/post?currency_pair.left=USD&amp;currency_pair.right=JPY&amp;strike=108.5&amp;call_or_put=CALL&amp;buy_or_sell=SELL&amp;date=44463</v>
      </c>
      <c r="E39" t="b">
        <f t="shared" si="0"/>
        <v>1</v>
      </c>
      <c r="F39" t="s">
        <v>159</v>
      </c>
    </row>
    <row r="40" spans="2:6" x14ac:dyDescent="0.4">
      <c r="C40" t="s">
        <v>102</v>
      </c>
      <c r="D40" t="e" cm="1">
        <f t="array" ref="D40">_xll.ExLibris.WebAPIs.POST(D39,H6:I11,TRUE,$B$5)</f>
        <v>#N/A</v>
      </c>
      <c r="F40" t="s">
        <v>160</v>
      </c>
    </row>
    <row r="41" spans="2:6" x14ac:dyDescent="0.4">
      <c r="C41" t="s">
        <v>93</v>
      </c>
      <c r="D41" t="e" cm="1">
        <f t="array" ref="D41">_xll.ExLibris.WebAPIs.WebAPIResponseStatus(D40,TRUE)</f>
        <v>#VALUE!</v>
      </c>
      <c r="E41" t="e">
        <f t="shared" si="0"/>
        <v>#VALUE!</v>
      </c>
      <c r="F41">
        <v>200</v>
      </c>
    </row>
    <row r="42" spans="2:6" x14ac:dyDescent="0.4">
      <c r="C42" t="s">
        <v>103</v>
      </c>
      <c r="D42" t="e" cm="1">
        <f t="array" ref="D42">_xll.ExLibris.WebAPIs.WebAPIResponseContent(D40)</f>
        <v>#VALUE!</v>
      </c>
      <c r="E42" t="e">
        <f t="shared" si="0"/>
        <v>#VALUE!</v>
      </c>
      <c r="F42" t="s">
        <v>161</v>
      </c>
    </row>
    <row r="44" spans="2:6" x14ac:dyDescent="0.4">
      <c r="B44" t="s">
        <v>134</v>
      </c>
      <c r="C44" t="s">
        <v>104</v>
      </c>
      <c r="D44" t="str" cm="1">
        <f t="array" ref="D44">_xll.ExLibris.WebAPIs.BuildUri($C$2&amp;"get",H6:I11)</f>
        <v>http://localhost:80/get?currency_pair.left=USD&amp;currency_pair.right=JPY&amp;strike=108.5&amp;call_or_put=CALL&amp;buy_or_sell=SELL&amp;date=44463</v>
      </c>
      <c r="E44" t="b">
        <f t="shared" si="0"/>
        <v>1</v>
      </c>
      <c r="F44" t="s">
        <v>162</v>
      </c>
    </row>
    <row r="45" spans="2:6" x14ac:dyDescent="0.4">
      <c r="C45" t="s">
        <v>102</v>
      </c>
      <c r="D45" t="e" cm="1">
        <f t="array" ref="D45">_xll.ExLibris.WebAPIs.GET(D44)</f>
        <v>#N/A</v>
      </c>
      <c r="F45" t="s">
        <v>163</v>
      </c>
    </row>
    <row r="46" spans="2:6" x14ac:dyDescent="0.4">
      <c r="C46" t="s">
        <v>93</v>
      </c>
      <c r="D46" t="e" cm="1">
        <f t="array" ref="D46">_xll.ExLibris.WebAPIs.WebAPIResponseStatus(D45,TRUE)</f>
        <v>#VALUE!</v>
      </c>
      <c r="E46" t="e">
        <f t="shared" si="0"/>
        <v>#VALUE!</v>
      </c>
      <c r="F46">
        <v>200</v>
      </c>
    </row>
    <row r="47" spans="2:6" x14ac:dyDescent="0.4">
      <c r="C47" t="s">
        <v>103</v>
      </c>
      <c r="D47" t="e" cm="1">
        <f t="array" ref="D47">_xll.ExLibris.WebAPIs.WebAPIResponseContent(D45)</f>
        <v>#VALUE!</v>
      </c>
      <c r="E47" t="e">
        <f t="shared" si="0"/>
        <v>#VALUE!</v>
      </c>
      <c r="F47" t="s">
        <v>164</v>
      </c>
    </row>
    <row r="49" spans="2:6" x14ac:dyDescent="0.4">
      <c r="B49" t="s">
        <v>136</v>
      </c>
      <c r="C49" t="s">
        <v>104</v>
      </c>
      <c r="D49" t="str">
        <f>$C$2&amp;"delay/10"</f>
        <v>http://localhost:80/delay/10</v>
      </c>
      <c r="E49" t="b">
        <f t="shared" si="0"/>
        <v>1</v>
      </c>
      <c r="F49" t="s">
        <v>165</v>
      </c>
    </row>
    <row r="50" spans="2:6" x14ac:dyDescent="0.4">
      <c r="C50" t="s">
        <v>102</v>
      </c>
      <c r="D50" t="e" cm="1">
        <f t="array" ref="D50">_xll.ExLibris.WebAPIs.GET(D49)</f>
        <v>#N/A</v>
      </c>
      <c r="F50" t="s">
        <v>166</v>
      </c>
    </row>
    <row r="51" spans="2:6" x14ac:dyDescent="0.4">
      <c r="C51" t="s">
        <v>93</v>
      </c>
      <c r="D51" t="e" cm="1">
        <f t="array" ref="D51">_xll.ExLibris.WebAPIs.WebAPIResponseStatus(D50,TRUE)</f>
        <v>#VALUE!</v>
      </c>
      <c r="E51" t="e">
        <f t="shared" si="0"/>
        <v>#VALUE!</v>
      </c>
      <c r="F51">
        <v>200</v>
      </c>
    </row>
    <row r="52" spans="2:6" x14ac:dyDescent="0.4">
      <c r="C52" t="s">
        <v>103</v>
      </c>
      <c r="D52" t="e" cm="1">
        <f t="array" ref="D52">_xll.ExLibris.WebAPIs.WebAPIResponseContent(D50)</f>
        <v>#VALUE!</v>
      </c>
      <c r="E52" t="e">
        <f t="shared" si="0"/>
        <v>#VALUE!</v>
      </c>
      <c r="F52" t="s">
        <v>169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2" max="2" width="20.625" customWidth="1"/>
    <col min="3" max="3" width="18.25" customWidth="1"/>
  </cols>
  <sheetData>
    <row r="2" spans="2:4" x14ac:dyDescent="0.4">
      <c r="B2" t="str" cm="1">
        <f t="array" ref="B2">_xll.ExLibris.WebAPIs.CreateHeadersAsync(B3:C3)</f>
        <v>ExLibris.Core.WebAPIs.WebAPIHeaders:FF667E97-8802-4FD0-AF9E-C940E2F9AAE9</v>
      </c>
    </row>
    <row r="3" spans="2:4" x14ac:dyDescent="0.4">
      <c r="B3" t="s">
        <v>110</v>
      </c>
      <c r="C3" t="s">
        <v>135</v>
      </c>
    </row>
    <row r="5" spans="2:4" x14ac:dyDescent="0.4">
      <c r="B5" t="s">
        <v>104</v>
      </c>
      <c r="C5" t="str">
        <f>"https://api.github.com/users/"&amp;C3</f>
        <v>https://api.github.com/users/defunkt</v>
      </c>
    </row>
    <row r="6" spans="2:4" x14ac:dyDescent="0.4">
      <c r="B6" t="s">
        <v>102</v>
      </c>
      <c r="C6" t="str" cm="1">
        <f t="array" ref="C6">_xll.ExLibris.WebAPIs.GET(C5,B2)</f>
        <v>ExLibris.Core.WebAPIs.Response:9C1F332F-CD78-40BC-B966-9BF948FBE4EF</v>
      </c>
    </row>
    <row r="7" spans="2:4" x14ac:dyDescent="0.4">
      <c r="B7" t="s">
        <v>93</v>
      </c>
      <c r="C7" t="str" cm="1">
        <f t="array" ref="C7">_xll.ExLibris.WebAPIs.WebAPIResponseStatus(C6)</f>
        <v>OK(200)</v>
      </c>
    </row>
    <row r="8" spans="2:4" x14ac:dyDescent="0.4">
      <c r="B8" t="s">
        <v>103</v>
      </c>
      <c r="C8" t="str" cm="1">
        <f t="array" ref="C8">_xll.ExLibris.WebAPIs.WebAPIResponseContent(C6)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21402,"following":210,"created_at":"2007-10-20T05:24:19Z","updated_at":"2022-03-29T01:48:36Z"}</v>
      </c>
    </row>
    <row r="10" spans="2:4" x14ac:dyDescent="0.4">
      <c r="C10" t="str" cm="1">
        <f t="array" ref="C10">_xll.ExLibris.Json.CreateJsonObjectAsync(C8)</f>
        <v>JsonObject:B91B3779-10B6-4044-9CE2-C525525D2001</v>
      </c>
    </row>
    <row r="11" spans="2:4" x14ac:dyDescent="0.4">
      <c r="C11" t="str" cm="1">
        <f t="array" ref="C11:D42">_xll.ExLibris.Json.GetJsonKeyValuesAsync(C10)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21402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2022-03-29T01:48:36Z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</vt:i4>
      </vt:variant>
    </vt:vector>
  </HeadingPairs>
  <TitlesOfParts>
    <vt:vector size="8" baseType="lpstr">
      <vt:lpstr>json_test</vt:lpstr>
      <vt:lpstr>json_test_async</vt:lpstr>
      <vt:lpstr>json_w_conf_test_async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2022-05-01T09:14:01Z</dcterms:modified>
</cp:coreProperties>
</file>