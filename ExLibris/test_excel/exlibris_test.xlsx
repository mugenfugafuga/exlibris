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40C4A33E-B185-4246-89F1-95B7E2EABBAF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1" r:id="rId1"/>
    <sheet name="configuration" sheetId="2" r:id="rId2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C2" i="2" a="1"/>
  <c r="C2" i="2" l="1"/>
  <c r="F10" i="1"/>
  <c r="G10" i="1" s="1"/>
  <c r="F11" i="1" s="1"/>
  <c r="G11" i="1" s="1"/>
  <c r="F12" i="1" s="1"/>
  <c r="G12" i="1" s="1"/>
  <c r="E12" i="1"/>
  <c r="F13" i="1"/>
  <c r="G13" i="1" s="1"/>
  <c r="E11" i="1"/>
  <c r="E10" i="1"/>
  <c r="E6" i="2" a="1"/>
  <c r="F6" i="1" a="1"/>
  <c r="E6" i="2" l="1"/>
  <c r="F6" i="1"/>
  <c r="F14" i="1"/>
  <c r="G14" i="1" s="1"/>
  <c r="E14" i="1" s="1"/>
  <c r="E13" i="1"/>
  <c r="F1" i="1" a="1"/>
  <c r="F1" i="1" l="1"/>
  <c r="M6" i="1" a="1"/>
  <c r="E19" i="1" a="1"/>
  <c r="G37" i="1" a="1"/>
  <c r="G30" i="1" a="1"/>
  <c r="G40" i="1" a="1"/>
  <c r="G22" i="1" a="1"/>
  <c r="I19" i="1" a="1"/>
  <c r="G35" i="1" a="1"/>
  <c r="G44" i="1" a="1"/>
  <c r="G39" i="1" a="1"/>
  <c r="G38" i="1" a="1"/>
  <c r="G25" i="1" a="1"/>
  <c r="G42" i="1" a="1"/>
  <c r="G28" i="1" a="1"/>
  <c r="G57" i="1" a="1"/>
  <c r="G53" i="1" a="1"/>
  <c r="G52" i="1" a="1"/>
  <c r="G33" i="1" a="1"/>
  <c r="G43" i="1" a="1"/>
  <c r="G24" i="1" a="1"/>
  <c r="G56" i="1" a="1"/>
  <c r="G20" i="1" a="1"/>
  <c r="G45" i="1" a="1"/>
  <c r="G29" i="1" a="1"/>
  <c r="G26" i="1" a="1"/>
  <c r="G49" i="1" a="1"/>
  <c r="G27" i="1" a="1"/>
  <c r="G48" i="1" a="1"/>
  <c r="G34" i="1" a="1"/>
  <c r="G51" i="1" a="1"/>
  <c r="G54" i="1" a="1"/>
  <c r="G46" i="1" a="1"/>
  <c r="G36" i="1" a="1"/>
  <c r="G21" i="1" a="1"/>
  <c r="G23" i="1" a="1"/>
  <c r="G47" i="1" a="1"/>
  <c r="G41" i="1" a="1"/>
  <c r="G55" i="1" a="1"/>
  <c r="G32" i="1" a="1"/>
  <c r="G50" i="1" a="1"/>
  <c r="G31" i="1" a="1"/>
  <c r="G49" i="1" l="1"/>
  <c r="G25" i="1"/>
  <c r="G52" i="1"/>
  <c r="G27" i="1"/>
  <c r="G46" i="1"/>
  <c r="G41" i="1"/>
  <c r="G56" i="1"/>
  <c r="G44" i="1"/>
  <c r="G22" i="1"/>
  <c r="G42" i="1"/>
  <c r="G33" i="1"/>
  <c r="G48" i="1"/>
  <c r="G36" i="1"/>
  <c r="G55" i="1"/>
  <c r="G38" i="1"/>
  <c r="G29" i="1"/>
  <c r="G40" i="1"/>
  <c r="G28" i="1"/>
  <c r="G43" i="1"/>
  <c r="G34" i="1"/>
  <c r="G21" i="1"/>
  <c r="G32" i="1"/>
  <c r="G20" i="1"/>
  <c r="G35" i="1"/>
  <c r="G30" i="1"/>
  <c r="G57" i="1"/>
  <c r="G24" i="1"/>
  <c r="G51" i="1"/>
  <c r="G23" i="1"/>
  <c r="G50" i="1"/>
  <c r="G39" i="1"/>
  <c r="G26" i="1"/>
  <c r="G37" i="1"/>
  <c r="G53" i="1"/>
  <c r="M6" i="1"/>
  <c r="C5" i="1" s="1"/>
  <c r="G54" i="1"/>
  <c r="G47" i="1"/>
  <c r="G31" i="1"/>
  <c r="G45" i="1"/>
  <c r="I19" i="1"/>
  <c r="AA34" i="1"/>
  <c r="AC42" i="1"/>
  <c r="AA47" i="1"/>
  <c r="AB21" i="1"/>
  <c r="AC29" i="1"/>
  <c r="AB48" i="1"/>
  <c r="AC23" i="1"/>
  <c r="AC25" i="1"/>
  <c r="AC41" i="1"/>
  <c r="AC21" i="1"/>
  <c r="AA42" i="1"/>
  <c r="AA24" i="1"/>
  <c r="AC44" i="1"/>
  <c r="AB57" i="1"/>
  <c r="AA35" i="1"/>
  <c r="AA44" i="1"/>
  <c r="AC33" i="1"/>
  <c r="AA54" i="1"/>
  <c r="AB46" i="1"/>
  <c r="AB32" i="1"/>
  <c r="AA26" i="1"/>
  <c r="AB40" i="1"/>
  <c r="AC38" i="1"/>
  <c r="AB31" i="1"/>
  <c r="AC52" i="1"/>
  <c r="AA20" i="1"/>
  <c r="AB28" i="1"/>
  <c r="AB43" i="1"/>
  <c r="AB34" i="1"/>
  <c r="AC28" i="1"/>
  <c r="AB26" i="1"/>
  <c r="AA49" i="1"/>
  <c r="AC19" i="1"/>
  <c r="AB36" i="1"/>
  <c r="AC31" i="1"/>
  <c r="AB56" i="1"/>
  <c r="AB37" i="1"/>
  <c r="AB20" i="1"/>
  <c r="AC36" i="1"/>
  <c r="AC22" i="1"/>
  <c r="AC35" i="1"/>
  <c r="AA22" i="1"/>
  <c r="AC53" i="1"/>
  <c r="AB52" i="1"/>
  <c r="AA56" i="1"/>
  <c r="AA48" i="1"/>
  <c r="AA32" i="1"/>
  <c r="AA53" i="1"/>
  <c r="AA45" i="1"/>
  <c r="AB45" i="1"/>
  <c r="AB47" i="1"/>
  <c r="AC45" i="1"/>
  <c r="AA41" i="1"/>
  <c r="AA57" i="1"/>
  <c r="AC32" i="1"/>
  <c r="AA33" i="1"/>
  <c r="AB39" i="1"/>
  <c r="AC34" i="1"/>
  <c r="AB30" i="1"/>
  <c r="AA27" i="1"/>
  <c r="AA52" i="1"/>
  <c r="AC24" i="1"/>
  <c r="AC51" i="1"/>
  <c r="AB38" i="1"/>
  <c r="AB29" i="1"/>
  <c r="AC46" i="1"/>
  <c r="AA23" i="1"/>
  <c r="AB51" i="1"/>
  <c r="AA25" i="1"/>
  <c r="AB53" i="1"/>
  <c r="AC20" i="1"/>
  <c r="AB41" i="1"/>
  <c r="AB44" i="1"/>
  <c r="AC37" i="1"/>
  <c r="AB27" i="1"/>
  <c r="AC47" i="1"/>
  <c r="AA36" i="1"/>
  <c r="AC26" i="1"/>
  <c r="AB23" i="1"/>
  <c r="AC40" i="1"/>
  <c r="AC48" i="1"/>
  <c r="AA40" i="1"/>
  <c r="AC30" i="1"/>
  <c r="AC39" i="1"/>
  <c r="AB49" i="1"/>
  <c r="AA51" i="1"/>
  <c r="AA37" i="1"/>
  <c r="AB55" i="1"/>
  <c r="AC50" i="1"/>
  <c r="AA38" i="1"/>
  <c r="AC56" i="1"/>
  <c r="AB42" i="1"/>
  <c r="AA50" i="1"/>
  <c r="E19" i="1"/>
  <c r="AA19" i="1" s="1"/>
  <c r="AA31" i="1"/>
  <c r="AB33" i="1"/>
  <c r="AC27" i="1"/>
  <c r="AA39" i="1"/>
  <c r="AA55" i="1"/>
  <c r="AC43" i="1"/>
  <c r="AA21" i="1"/>
  <c r="AB50" i="1"/>
  <c r="AB24" i="1"/>
  <c r="AC57" i="1"/>
  <c r="AA46" i="1"/>
  <c r="AB25" i="1"/>
  <c r="AB22" i="1"/>
  <c r="AB35" i="1"/>
  <c r="AA28" i="1"/>
  <c r="AB54" i="1"/>
  <c r="AC54" i="1"/>
  <c r="AC49" i="1"/>
  <c r="AC55" i="1"/>
  <c r="AA29" i="1"/>
  <c r="AA30" i="1"/>
  <c r="AA43" i="1"/>
  <c r="I28" i="1" a="1"/>
  <c r="I20" i="1" a="1"/>
  <c r="G19" i="1" a="1"/>
  <c r="I28" i="1" l="1"/>
  <c r="AJ22" i="1"/>
  <c r="AE22" i="1"/>
  <c r="AF22" i="1"/>
  <c r="AG23" i="1"/>
  <c r="AG20" i="1"/>
  <c r="AG25" i="1"/>
  <c r="AG26" i="1"/>
  <c r="AH21" i="1"/>
  <c r="AJ23" i="1"/>
  <c r="AF26" i="1"/>
  <c r="AF24" i="1"/>
  <c r="AG22" i="1"/>
  <c r="AE23" i="1"/>
  <c r="AJ24" i="1"/>
  <c r="AH24" i="1"/>
  <c r="AJ26" i="1"/>
  <c r="AH22" i="1"/>
  <c r="AJ20" i="1"/>
  <c r="AF25" i="1"/>
  <c r="AE24" i="1"/>
  <c r="I20" i="1"/>
  <c r="AE20" i="1" s="1"/>
  <c r="AF20" i="1"/>
  <c r="AI20" i="1"/>
  <c r="AE25" i="1"/>
  <c r="AH25" i="1"/>
  <c r="AI21" i="1"/>
  <c r="AH26" i="1"/>
  <c r="AJ21" i="1"/>
  <c r="AI25" i="1"/>
  <c r="AI24" i="1"/>
  <c r="AG24" i="1"/>
  <c r="AI22" i="1"/>
  <c r="AF21" i="1"/>
  <c r="AH23" i="1"/>
  <c r="AF23" i="1"/>
  <c r="AI26" i="1"/>
  <c r="AG21" i="1"/>
  <c r="AE21" i="1"/>
  <c r="AH20" i="1"/>
  <c r="AI23" i="1"/>
  <c r="AE26" i="1"/>
  <c r="AJ25" i="1"/>
  <c r="G19" i="1"/>
  <c r="AB19" i="1"/>
  <c r="C3" i="1" s="1"/>
  <c r="I29" i="1" a="1"/>
  <c r="C4" i="1" l="1"/>
  <c r="AI29" i="1"/>
  <c r="AI30" i="1"/>
  <c r="AG30" i="1"/>
  <c r="AJ30" i="1"/>
  <c r="AF30" i="1"/>
  <c r="AE30" i="1"/>
  <c r="AG29" i="1"/>
  <c r="C6" i="1" s="1"/>
  <c r="AJ29" i="1"/>
  <c r="AH29" i="1"/>
  <c r="AF29" i="1"/>
  <c r="AH30" i="1"/>
  <c r="I29" i="1"/>
  <c r="AE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<sst xmlns="http://schemas.openxmlformats.org/spreadsheetml/2006/main" count="129" uniqueCount="89">
  <si>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</si>
  <si>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</si>
  <si>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</si>
  <si>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</si>
  <si>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</si>
  <si>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</si>
  <si>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</si>
  <si>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</si>
  <si>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</si>
  <si>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</si>
  <si>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</si>
  <si>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</si>
  <si>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</si>
  <si>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</si>
  <si>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</si>
  <si>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</si>
  <si>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</si>
  <si>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</si>
  <si>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</si>
  <si>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</si>
  <si>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</si>
  <si>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</si>
  <si>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</si>
  <si>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</si>
  <si>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</si>
  <si>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</si>
  <si>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</si>
  <si>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</si>
  <si>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</si>
  <si>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</si>
  <si>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</si>
  <si>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</si>
  <si>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</si>
  <si>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</si>
  <si>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</si>
  <si>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</si>
  <si>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</si>
  <si>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</si>
  <si>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</si>
  <si>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</si>
  <si>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</si>
  <si>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</si>
  <si>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</si>
  <si>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</si>
  <si>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</si>
  <si>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</si>
  <si>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</si>
  <si>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</si>
  <si>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</si>
  <si>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</si>
  <si>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</si>
  <si>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</si>
  <si>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</si>
  <si>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</si>
  <si>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</si>
  <si>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</si>
  <si>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</si>
  <si>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</si>
  <si>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</si>
  <si>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</si>
  <si>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</si>
  <si>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</si>
  <si>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</si>
  <si>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</si>
  <si>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</si>
  <si>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</si>
  <si>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</si>
  <si>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</si>
  <si>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</si>
  <si>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</si>
  <si>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</si>
  <si>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</si>
  <si>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</si>
  <si>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</si>
  <si>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</si>
  <si>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t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</si>
  <si>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</si>
  <si>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</si>
  <si>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</si>
  <si>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</si>
  <si>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</si>
  <si>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</si>
  <si>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</si>
  <si>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</si>
  <si>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</si>
  <si>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</si>
  <si>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StringEmpty</t>
    <phoneticPr fontId="1"/>
  </si>
  <si>
    <t>dump</t>
    <phoneticPr fontId="1"/>
  </si>
  <si>
    <t>source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</si>
</sst>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338b2686d0a5481ca1d7a715c02fc348">
      <tp>
        <v>1</v>
        <stp/>
        <stp>db7c934a-05a0-4099-9417-32598604cec0</stp>
        <tr r="G19" s="1"/>
      </tp>
    </main>
    <main first="rtdsrv.338b2686d0a5481ca1d7a715c02fc348">
      <tp>
        <v>1</v>
        <stp/>
        <stp>81383307-4704-45e8-ac6e-3c61b5af1e2c</stp>
        <tr r="G27" s="1"/>
      </tp>
    </main>
    <main first="rtdsrv.338b2686d0a5481ca1d7a715c02fc348">
      <tp>
        <v>1</v>
        <stp/>
        <stp>61310613-2f23-4d91-b594-9a70d29aed7d</stp>
        <tr r="G46" s="1"/>
      </tp>
    </main>
    <main first="rtdsrv.338b2686d0a5481ca1d7a715c02fc348">
      <tp>
        <v>1</v>
        <stp/>
        <stp>a08bb277-787a-4473-8c6b-a84c22c13799</stp>
        <tr r="G29" s="1"/>
      </tp>
      <tp>
        <v>1</v>
        <stp/>
        <stp>7479ee45-567b-4b7d-99ee-94e938a50db0</stp>
        <tr r="G55" s="1"/>
      </tp>
    </main>
    <main first="rtdsrv.338b2686d0a5481ca1d7a715c02fc348">
      <tp>
        <v>1</v>
        <stp/>
        <stp>b9003bba-cfda-43c6-8c7d-d2ea716216d5</stp>
        <tr r="G21" s="1"/>
      </tp>
      <tp>
        <v>1</v>
        <stp/>
        <stp>20d6bb23-8e6f-40b9-afd9-58b30a05bab9</stp>
        <tr r="G33" s="1"/>
      </tp>
      <tp>
        <v>1</v>
        <stp/>
        <stp>76afd489-5e06-4a95-a046-396c622a02ba</stp>
        <tr r="G44" s="1"/>
      </tp>
    </main>
    <main first="rtdsrv.338b2686d0a5481ca1d7a715c02fc348">
      <tp>
        <v>1</v>
        <stp/>
        <stp>d073649e-7b7b-4369-8bb3-a71c10556ab1</stp>
        <tr r="G26" s="1"/>
      </tp>
    </main>
    <main first="rtdsrv.338b2686d0a5481ca1d7a715c02fc348">
      <tp>
        <v>1</v>
        <stp/>
        <stp>1988371a-c057-4c82-94bb-2aeb739eaa4f</stp>
        <tr r="C2" s="2"/>
      </tp>
      <tp>
        <v>1</v>
        <stp/>
        <stp>ec5f4ec3-331f-4764-9bfb-c95ecac92163</stp>
        <tr r="G34" s="1"/>
      </tp>
      <tp>
        <v>1</v>
        <stp/>
        <stp>bc6e7c2c-fe64-4c62-b118-5777ba5b72e2</stp>
        <tr r="G53" s="1"/>
      </tp>
      <tp>
        <v>1</v>
        <stp/>
        <stp>113784f6-4a99-49ff-a9b8-e9a159ac0433</stp>
        <tr r="G50" s="1"/>
      </tp>
      <tp>
        <v>1</v>
        <stp/>
        <stp>30e80543-593e-4586-83bc-af49d0e67339</stp>
        <tr r="I28" s="1"/>
      </tp>
    </main>
    <main first="rtdsrv.338b2686d0a5481ca1d7a715c02fc348">
      <tp>
        <v>1</v>
        <stp/>
        <stp>42002709-6cfb-4f4b-8c39-74466ca0d5f5</stp>
        <tr r="G31" s="1"/>
      </tp>
      <tp>
        <v>1</v>
        <stp/>
        <stp>8439148c-b896-4072-8125-7dc4a33fe563</stp>
        <tr r="G35" s="1"/>
      </tp>
    </main>
    <main first="rtdsrv.338b2686d0a5481ca1d7a715c02fc348">
      <tp>
        <v>1</v>
        <stp/>
        <stp>a713d396-5bbd-4b2a-8472-57dc9efef65e</stp>
        <tr r="G48" s="1"/>
      </tp>
      <tp>
        <v>1</v>
        <stp/>
        <stp>bcbb2da0-ba6e-4043-90cd-81aad0523707</stp>
        <tr r="F6" s="1"/>
      </tp>
    </main>
    <main first="rtdsrv.338b2686d0a5481ca1d7a715c02fc348">
      <tp>
        <v>1</v>
        <stp/>
        <stp>feca29fe-b640-441d-821d-58676af6c020</stp>
        <tr r="G51" s="1"/>
      </tp>
    </main>
    <main first="rtdsrv.338b2686d0a5481ca1d7a715c02fc348">
      <tp>
        <v>1</v>
        <stp/>
        <stp>76d3197e-4439-4e70-8dd4-59d50c5e57fd</stp>
        <tr r="G36" s="1"/>
      </tp>
      <tp>
        <v>1</v>
        <stp/>
        <stp>1e1c60f7-2637-4c84-b7f5-1bbced7bc62c</stp>
        <tr r="G54" s="1"/>
      </tp>
      <tp>
        <v>1</v>
        <stp/>
        <stp>c9476794-10cd-4a7d-94af-1ec41b6af944</stp>
        <tr r="G41" s="1"/>
      </tp>
    </main>
    <main first="rtdsrv.338b2686d0a5481ca1d7a715c02fc348">
      <tp>
        <v>1</v>
        <stp/>
        <stp>d1223670-6717-48f1-8dc1-5d4517cd947c</stp>
        <tr r="G49" s="1"/>
      </tp>
    </main>
    <main first="rtdsrv.338b2686d0a5481ca1d7a715c02fc348">
      <tp>
        <v>1</v>
        <stp/>
        <stp>f4c7c38b-7e8b-43cf-82a2-239fc024a28f</stp>
        <tr r="G38" s="1"/>
      </tp>
      <tp>
        <v>1</v>
        <stp/>
        <stp>e3f12e4d-8262-4df2-88c4-0fceb88fa831</stp>
        <tr r="G56" s="1"/>
      </tp>
    </main>
    <main first="rtdsrv.338b2686d0a5481ca1d7a715c02fc348">
      <tp>
        <v>1</v>
        <stp/>
        <stp>6b993e74-0897-45c5-a246-78fd64577aea</stp>
        <tr r="G45" s="1"/>
      </tp>
      <tp>
        <v>1</v>
        <stp/>
        <stp>0e25020c-8c78-4d6f-8463-b16b902edc3c</stp>
        <tr r="G37" s="1"/>
      </tp>
      <tp>
        <v>1</v>
        <stp/>
        <stp>3ce534ab-097b-41e5-bb29-160fe31b498d</stp>
        <tr r="G52" s="1"/>
      </tp>
      <tp>
        <v>1</v>
        <stp/>
        <stp>c3ebbe81-2dd5-4bbb-b7b3-88a22434542a</stp>
        <tr r="G20" s="1"/>
      </tp>
    </main>
    <main first="rtdsrv.338b2686d0a5481ca1d7a715c02fc348">
      <tp>
        <v>1</v>
        <stp/>
        <stp>64b79961-6e4e-4c57-a2fc-5ea731328a09</stp>
        <tr r="G23" s="1"/>
      </tp>
    </main>
    <main first="rtdsrv.338b2686d0a5481ca1d7a715c02fc348">
      <tp>
        <v>1</v>
        <stp/>
        <stp>2bddcd4b-4492-47cb-8de5-5db7d779b889</stp>
        <tr r="G25" s="1"/>
      </tp>
      <tp>
        <v>1</v>
        <stp/>
        <stp>f9c653ea-ad2e-4454-82bf-f7d71a1d95de</stp>
        <tr r="I19" s="1"/>
      </tp>
    </main>
    <main first="rtdsrv.338b2686d0a5481ca1d7a715c02fc348">
      <tp>
        <v>1</v>
        <stp/>
        <stp>628b88c7-498e-4391-8b5e-b2aad0cb9feb</stp>
        <tr r="G30" s="1"/>
      </tp>
      <tp>
        <v>1</v>
        <stp/>
        <stp>1a0f0dd0-acd7-4ee6-8769-c114645e506e</stp>
        <tr r="G32" s="1"/>
      </tp>
    </main>
    <main first="rtdsrv.338b2686d0a5481ca1d7a715c02fc348">
      <tp>
        <v>1</v>
        <stp/>
        <stp>d79b340a-8c3f-4a1c-b7ba-3ec9e8cb0776</stp>
        <tr r="G43" s="1"/>
      </tp>
      <tp>
        <v>1</v>
        <stp/>
        <stp>6aba81fe-4eb1-4f32-9f21-d2a61d2f5b9a</stp>
        <tr r="G47" s="1"/>
      </tp>
      <tp>
        <v>1</v>
        <stp/>
        <stp>38a987dd-9612-4e15-bf04-01bd3c0ac1ae</stp>
        <tr r="G40" s="1"/>
      </tp>
      <tp>
        <v>1</v>
        <stp/>
        <stp>bd9935d0-6fd9-4e5d-8c4f-013794290b3f</stp>
        <tr r="G24" s="1"/>
      </tp>
    </main>
    <main first="rtdsrv.338b2686d0a5481ca1d7a715c02fc348">
      <tp>
        <v>1</v>
        <stp/>
        <stp>01b052a8-3275-4e03-8d64-4fafe0085689</stp>
        <tr r="G39" s="1"/>
      </tp>
      <tp>
        <v>1</v>
        <stp/>
        <stp>c7d12237-d761-42fa-a347-87cbdab6d731</stp>
        <tr r="G42" s="1"/>
      </tp>
    </main>
    <main first="rtdsrv.338b2686d0a5481ca1d7a715c02fc348">
      <tp>
        <v>1</v>
        <stp/>
        <stp>e0e7f079-4dd7-48db-99c9-1a535cd7bcce</stp>
        <tr r="G22" s="1"/>
      </tp>
    </main>
    <main first="rtdsrv.338b2686d0a5481ca1d7a715c02fc348">
      <tp>
        <v>1</v>
        <stp/>
        <stp>4bd1b648-f5e1-458d-bc0f-7ef0fd1e6047</stp>
        <tr r="G57" s="1"/>
      </tp>
      <tp>
        <v>1</v>
        <stp/>
        <stp>d4c64079-36c3-4a37-ad83-699112043d87</stp>
        <tr r="G28" s="1"/>
      </tp>
    </main>
    <main first="rtdsrv.338b2686d0a5481ca1d7a715c02fc348">
      <tp>
        <v>1</v>
        <stp/>
        <stp>ca3d20ad-ecb8-45c2-a795-e7541f9608c9</stp>
        <tr r="F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tabSelected="1"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0.25" bestFit="1" customWidth="1"/>
    <col min="8" max="8" width="15.5" bestFit="1" customWidth="1"/>
    <col min="9" max="9" width="11.125" bestFit="1" customWidth="1"/>
    <col min="10" max="10" width="9.875" bestFit="1" customWidth="1"/>
    <col min="11" max="11" width="15.5" bestFit="1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JsonObject:0838F36D-BC2D-4C5B-9061-F326FB80E0D2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76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JsonObject:5C06331A-9600-4945-8FE8-F9960C752555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v>
      </c>
    </row>
    <row r="7" spans="2:25" x14ac:dyDescent="0.4">
      <c r="L7" t="s">
        <v>74</v>
      </c>
      <c r="M7" t="s">
        <v>75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44631</v>
      </c>
      <c r="F9" s="1">
        <v>44451</v>
      </c>
      <c r="G9" s="1">
        <f>F9+180</f>
        <v>44631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44811</v>
      </c>
      <c r="F10" s="1">
        <f>G9</f>
        <v>44631</v>
      </c>
      <c r="G10" s="1">
        <f>F10+180</f>
        <v>44811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44991</v>
      </c>
      <c r="F11" s="1">
        <f t="shared" ref="F11:F14" si="1">G10</f>
        <v>44811</v>
      </c>
      <c r="G11" s="1">
        <f t="shared" ref="G11:G14" si="2">F11+180</f>
        <v>44991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45171</v>
      </c>
      <c r="F12" s="1">
        <f t="shared" si="1"/>
        <v>44991</v>
      </c>
      <c r="G12" s="1">
        <f t="shared" si="2"/>
        <v>45171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45351</v>
      </c>
      <c r="F13" s="1">
        <f t="shared" si="1"/>
        <v>45171</v>
      </c>
      <c r="G13" s="1">
        <f t="shared" si="2"/>
        <v>45351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45531</v>
      </c>
      <c r="F14" s="1">
        <f t="shared" si="1"/>
        <v>45351</v>
      </c>
      <c r="G14" s="1">
        <f t="shared" si="2"/>
        <v>45531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JsonObject:675CD045-2482-4B40-8DA2-774B437D9EBC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>
        <v>44631</v>
      </c>
      <c r="J21">
        <v>44451</v>
      </c>
      <c r="K21">
        <v>44631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>
        <v>44631</v>
      </c>
      <c r="U21">
        <v>44451</v>
      </c>
      <c r="V21">
        <v>44631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>
        <v>44631</v>
      </c>
      <c r="G22" cm="1">
        <f t="array" ref="G22">_xll.ExLibris.Json.GetJsonValue($F$1,E22, EXLIBRIS_CONFIGURATION)</f>
        <v>44631</v>
      </c>
      <c r="I22">
        <v>44811</v>
      </c>
      <c r="J22">
        <v>44631</v>
      </c>
      <c r="K22">
        <v>44811</v>
      </c>
      <c r="L22" t="str">
        <v>ACT/360</v>
      </c>
      <c r="M22">
        <v>11000000</v>
      </c>
      <c r="N22">
        <v>1E-3</v>
      </c>
      <c r="P22" t="s">
        <v>32</v>
      </c>
      <c r="Q22">
        <v>44631</v>
      </c>
      <c r="R22">
        <v>44631</v>
      </c>
      <c r="T22">
        <v>44811</v>
      </c>
      <c r="U22">
        <v>44631</v>
      </c>
      <c r="V22">
        <v>44811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>
        <v>44451</v>
      </c>
      <c r="G23" cm="1">
        <f t="array" ref="G23">_xll.ExLibris.Json.GetJsonValue($F$1,E23, EXLIBRIS_CONFIGURATION)</f>
        <v>44451</v>
      </c>
      <c r="I23">
        <v>44991</v>
      </c>
      <c r="J23">
        <v>44811</v>
      </c>
      <c r="K23">
        <v>44991</v>
      </c>
      <c r="L23" t="str">
        <v>ACT/360</v>
      </c>
      <c r="M23">
        <v>12000000</v>
      </c>
      <c r="N23">
        <v>1E-3</v>
      </c>
      <c r="P23" t="s">
        <v>33</v>
      </c>
      <c r="Q23">
        <v>44451</v>
      </c>
      <c r="R23">
        <v>44451</v>
      </c>
      <c r="T23">
        <v>44991</v>
      </c>
      <c r="U23">
        <v>44811</v>
      </c>
      <c r="V23">
        <v>44991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>
        <v>44631</v>
      </c>
      <c r="G24" cm="1">
        <f t="array" ref="G24">_xll.ExLibris.Json.GetJsonValue($F$1,E24, EXLIBRIS_CONFIGURATION)</f>
        <v>44631</v>
      </c>
      <c r="I24">
        <v>45171</v>
      </c>
      <c r="J24">
        <v>44991</v>
      </c>
      <c r="K24">
        <v>45171</v>
      </c>
      <c r="L24" t="str">
        <v>ACT/360</v>
      </c>
      <c r="M24">
        <v>13000000</v>
      </c>
      <c r="N24">
        <v>1E-3</v>
      </c>
      <c r="P24" t="s">
        <v>34</v>
      </c>
      <c r="Q24">
        <v>44631</v>
      </c>
      <c r="R24">
        <v>44631</v>
      </c>
      <c r="T24">
        <v>45171</v>
      </c>
      <c r="U24">
        <v>44991</v>
      </c>
      <c r="V24">
        <v>45171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>
        <v>45351</v>
      </c>
      <c r="J25">
        <v>45171</v>
      </c>
      <c r="K25">
        <v>45351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>
        <v>45351</v>
      </c>
      <c r="U25">
        <v>45171</v>
      </c>
      <c r="V25">
        <v>45351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>
        <v>45531</v>
      </c>
      <c r="J26">
        <v>45351</v>
      </c>
      <c r="K26">
        <v>45531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>
        <v>45531</v>
      </c>
      <c r="U26">
        <v>45351</v>
      </c>
      <c r="V26">
        <v>45531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>
        <v>44811</v>
      </c>
      <c r="G28" cm="1">
        <f t="array" ref="G28">_xll.ExLibris.Json.GetJsonValue($F$1,E28, EXLIBRIS_CONFIGURATION)</f>
        <v>44811</v>
      </c>
      <c r="I28" t="str" cm="1">
        <f t="array" ref="I28">_xll.ExLibris.Json.GetJsonValue(I19,"[2]", EXLIBRIS_CONFIGURATION)</f>
        <v>JsonObject:1ED7DDC1-F6E3-4ED4-819A-19B839ED30B6</v>
      </c>
      <c r="P28" t="s">
        <v>38</v>
      </c>
      <c r="Q28">
        <v>44811</v>
      </c>
      <c r="R28">
        <v>44811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>
        <v>44631</v>
      </c>
      <c r="G29" cm="1">
        <f t="array" ref="G29">_xll.ExLibris.Json.GetJsonValue($F$1,E29, EXLIBRIS_CONFIGURATION)</f>
        <v>44631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>
        <v>44631</v>
      </c>
      <c r="R29">
        <v>44631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>
        <v>44811</v>
      </c>
      <c r="G30" cm="1">
        <f t="array" ref="G30">_xll.ExLibris.Json.GetJsonValue($F$1,E30, EXLIBRIS_CONFIGURATION)</f>
        <v>44811</v>
      </c>
      <c r="I30">
        <v>44991</v>
      </c>
      <c r="J30">
        <v>44811</v>
      </c>
      <c r="K30">
        <v>44991</v>
      </c>
      <c r="L30" t="str">
        <v>ACT/360</v>
      </c>
      <c r="M30">
        <v>12000000</v>
      </c>
      <c r="N30">
        <v>1E-3</v>
      </c>
      <c r="P30" t="s">
        <v>40</v>
      </c>
      <c r="Q30">
        <v>44811</v>
      </c>
      <c r="R30">
        <v>44811</v>
      </c>
      <c r="T30">
        <v>44991</v>
      </c>
      <c r="U30">
        <v>44811</v>
      </c>
      <c r="V30">
        <v>44991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>
        <v>44991</v>
      </c>
      <c r="G34" cm="1">
        <f t="array" ref="G34">_xll.ExLibris.Json.GetJsonValue($F$1,E34, EXLIBRIS_CONFIGURATION)</f>
        <v>44991</v>
      </c>
      <c r="P34" t="s">
        <v>44</v>
      </c>
      <c r="Q34">
        <v>44991</v>
      </c>
      <c r="R34">
        <v>44991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>
        <v>44811</v>
      </c>
      <c r="G35" cm="1">
        <f t="array" ref="G35">_xll.ExLibris.Json.GetJsonValue($F$1,E35, EXLIBRIS_CONFIGURATION)</f>
        <v>44811</v>
      </c>
      <c r="P35" t="s">
        <v>45</v>
      </c>
      <c r="Q35">
        <v>44811</v>
      </c>
      <c r="R35">
        <v>44811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>
        <v>44991</v>
      </c>
      <c r="G36" cm="1">
        <f t="array" ref="G36">_xll.ExLibris.Json.GetJsonValue($F$1,E36, EXLIBRIS_CONFIGURATION)</f>
        <v>44991</v>
      </c>
      <c r="P36" t="s">
        <v>46</v>
      </c>
      <c r="Q36">
        <v>44991</v>
      </c>
      <c r="R36">
        <v>44991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>
        <v>45171</v>
      </c>
      <c r="G40" cm="1">
        <f t="array" ref="G40">_xll.ExLibris.Json.GetJsonValue($F$1,E40, EXLIBRIS_CONFIGURATION)</f>
        <v>45171</v>
      </c>
      <c r="P40" t="s">
        <v>50</v>
      </c>
      <c r="Q40">
        <v>45171</v>
      </c>
      <c r="R40">
        <v>45171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>
        <v>44991</v>
      </c>
      <c r="G41" cm="1">
        <f t="array" ref="G41">_xll.ExLibris.Json.GetJsonValue($F$1,E41, EXLIBRIS_CONFIGURATION)</f>
        <v>44991</v>
      </c>
      <c r="P41" t="s">
        <v>51</v>
      </c>
      <c r="Q41">
        <v>44991</v>
      </c>
      <c r="R41">
        <v>44991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>
        <v>45171</v>
      </c>
      <c r="G42" cm="1">
        <f t="array" ref="G42">_xll.ExLibris.Json.GetJsonValue($F$1,E42, EXLIBRIS_CONFIGURATION)</f>
        <v>45171</v>
      </c>
      <c r="P42" t="s">
        <v>52</v>
      </c>
      <c r="Q42">
        <v>45171</v>
      </c>
      <c r="R42">
        <v>45171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>
        <v>45351</v>
      </c>
      <c r="G46" cm="1">
        <f t="array" ref="G46">_xll.ExLibris.Json.GetJsonValue($F$1,E46, EXLIBRIS_CONFIGURATION)</f>
        <v>45351</v>
      </c>
      <c r="P46" t="s">
        <v>56</v>
      </c>
      <c r="Q46">
        <v>45351</v>
      </c>
      <c r="R46">
        <v>45351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>
        <v>45171</v>
      </c>
      <c r="G47" cm="1">
        <f t="array" ref="G47">_xll.ExLibris.Json.GetJsonValue($F$1,E47, EXLIBRIS_CONFIGURATION)</f>
        <v>45171</v>
      </c>
      <c r="P47" t="s">
        <v>57</v>
      </c>
      <c r="Q47">
        <v>45171</v>
      </c>
      <c r="R47">
        <v>45171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>
        <v>45351</v>
      </c>
      <c r="G48" cm="1">
        <f t="array" ref="G48">_xll.ExLibris.Json.GetJsonValue($F$1,E48, EXLIBRIS_CONFIGURATION)</f>
        <v>45351</v>
      </c>
      <c r="P48" t="s">
        <v>58</v>
      </c>
      <c r="Q48">
        <v>45351</v>
      </c>
      <c r="R48">
        <v>45351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>
        <v>45531</v>
      </c>
      <c r="G52" cm="1">
        <f t="array" ref="G52">_xll.ExLibris.Json.GetJsonValue($F$1,E52, EXLIBRIS_CONFIGURATION)</f>
        <v>45531</v>
      </c>
      <c r="P52" t="s">
        <v>62</v>
      </c>
      <c r="Q52">
        <v>45531</v>
      </c>
      <c r="R52">
        <v>45531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>
        <v>45351</v>
      </c>
      <c r="G53" cm="1">
        <f t="array" ref="G53">_xll.ExLibris.Json.GetJsonValue($F$1,E53, EXLIBRIS_CONFIGURATION)</f>
        <v>45351</v>
      </c>
      <c r="P53" t="s">
        <v>63</v>
      </c>
      <c r="Q53">
        <v>45351</v>
      </c>
      <c r="R53">
        <v>45351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>
        <v>45531</v>
      </c>
      <c r="G54" cm="1">
        <f t="array" ref="G54">_xll.ExLibris.Json.GetJsonValue($F$1,E54, EXLIBRIS_CONFIGURATION)</f>
        <v>45531</v>
      </c>
      <c r="P54" t="s">
        <v>64</v>
      </c>
      <c r="Q54">
        <v>45531</v>
      </c>
      <c r="R54">
        <v>45531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1"/>
  <sheetViews>
    <sheetView workbookViewId="0"/>
  </sheetViews>
  <sheetFormatPr defaultRowHeight="18.75" x14ac:dyDescent="0.4"/>
  <cols>
    <col min="1" max="1" width="3.5" customWidth="1"/>
    <col min="2" max="2" width="33.25" bestFit="1" customWidth="1"/>
    <col min="5" max="5" width="33.25" bestFit="1" customWidth="1"/>
  </cols>
  <sheetData>
    <row r="2" spans="2:6" x14ac:dyDescent="0.4">
      <c r="B2" t="s">
        <v>85</v>
      </c>
      <c r="C2" t="str" cm="1">
        <f t="array" ref="C2">_xll.ExLibris.LoadConfiguration(B6:C11)</f>
        <v>ExLibris.Core.ExLibrisConfiguration:89BCC54C-D90C-403F-A5AE-3B35EB9B4C1F</v>
      </c>
    </row>
    <row r="4" spans="2:6" s="4" customFormat="1" ht="18" x14ac:dyDescent="0.4">
      <c r="B4" s="4" t="s">
        <v>88</v>
      </c>
      <c r="E4" s="4" t="s">
        <v>87</v>
      </c>
    </row>
    <row r="6" spans="2:6" x14ac:dyDescent="0.4">
      <c r="B6" t="s">
        <v>77</v>
      </c>
      <c r="C6" t="s">
        <v>78</v>
      </c>
      <c r="E6" t="str" cm="1">
        <f t="array" ref="E6:F11">_xll.DumpObject(EXLIBRIS_CONFIGURATION)</f>
        <v>excel_value.excel_error_to</v>
      </c>
      <c r="F6" t="str">
        <v>Error</v>
      </c>
    </row>
    <row r="7" spans="2:6" x14ac:dyDescent="0.4">
      <c r="B7" t="s">
        <v>79</v>
      </c>
      <c r="C7" t="s">
        <v>80</v>
      </c>
      <c r="E7" t="str">
        <v>excel_value.excel_missing_to</v>
      </c>
      <c r="F7" t="str">
        <v>Null</v>
      </c>
    </row>
    <row r="8" spans="2:6" x14ac:dyDescent="0.4">
      <c r="B8" t="s">
        <v>81</v>
      </c>
      <c r="C8" t="s">
        <v>80</v>
      </c>
      <c r="E8" t="str">
        <v>excel_value.excel_empty_to</v>
      </c>
      <c r="F8" t="str">
        <v>Null</v>
      </c>
    </row>
    <row r="9" spans="2:6" x14ac:dyDescent="0.4">
      <c r="B9" t="s">
        <v>82</v>
      </c>
      <c r="C9" t="s">
        <v>80</v>
      </c>
      <c r="E9" t="str">
        <v>excel_value.excel_string_empty_to</v>
      </c>
      <c r="F9" t="str">
        <v>Null</v>
      </c>
    </row>
    <row r="10" spans="2:6" x14ac:dyDescent="0.4">
      <c r="B10" t="s">
        <v>83</v>
      </c>
      <c r="C10" t="s">
        <v>86</v>
      </c>
      <c r="E10" t="str">
        <v>excel_value.null_to_excel</v>
      </c>
      <c r="F10" t="str">
        <v>StringEmpty</v>
      </c>
    </row>
    <row r="11" spans="2:6" x14ac:dyDescent="0.4">
      <c r="B11" t="s">
        <v>84</v>
      </c>
      <c r="C11" t="s">
        <v>86</v>
      </c>
      <c r="E11" t="str">
        <v>excel_value.string_empty_to_excel</v>
      </c>
      <c r="F11" t="str">
        <v>StringEmpty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json_test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2021-09-12T14:09:53Z</dcterms:modified>
</cp:coreProperties>
</file>