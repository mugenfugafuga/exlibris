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52877A10-F1B3-45C7-B3B3-63F3316701B7}" xr6:coauthVersionLast="47" xr6:coauthVersionMax="47" xr10:uidLastSave="{00000000-0000-0000-0000-000000000000}"/>
  <bookViews>
    <workbookView xWindow="-120" yWindow="-120" windowWidth="29040" windowHeight="15840" xr2:uid="{705CD0B7-27A9-4291-85BD-6034C0FEE3E4}"/>
  </bookViews>
  <sheets>
    <sheet name="json_test" sheetId="1" r:id="rId1"/>
    <sheet name="json_w_conf_test" sheetId="4" r:id="rId2"/>
    <sheet name="configuration" sheetId="2" r:id="rId3"/>
    <sheet name="websocket" sheetId="3" r:id="rId4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" i="4" l="1"/>
  <c r="I12" i="4" s="1"/>
  <c r="I13" i="4" s="1"/>
  <c r="I14" i="4" s="1"/>
  <c r="I10" i="4"/>
  <c r="G9" i="4"/>
  <c r="E9" i="4" s="1"/>
  <c r="I10" i="1"/>
  <c r="I11" i="1" s="1"/>
  <c r="I12" i="1" s="1"/>
  <c r="I13" i="1" s="1"/>
  <c r="I14" i="1" s="1"/>
  <c r="G9" i="1"/>
  <c r="E9" i="1" s="1"/>
  <c r="C2" i="2" a="1"/>
  <c r="E17" i="3" a="1"/>
  <c r="E4" i="3" a="1"/>
  <c r="E17" i="3" l="1"/>
  <c r="E4" i="3"/>
  <c r="F10" i="4"/>
  <c r="G10" i="4" s="1"/>
  <c r="C2" i="2"/>
  <c r="F10" i="1"/>
  <c r="G10" i="1" s="1"/>
  <c r="F11" i="1" s="1"/>
  <c r="G11" i="1" s="1"/>
  <c r="F12" i="1" s="1"/>
  <c r="G12" i="1" s="1"/>
  <c r="E12" i="1" s="1"/>
  <c r="E19" i="3" a="1"/>
  <c r="E20" i="3" a="1"/>
  <c r="E6" i="2" a="1"/>
  <c r="E7" i="3" a="1"/>
  <c r="E6" i="3" a="1"/>
  <c r="E19" i="3" l="1"/>
  <c r="E20" i="3"/>
  <c r="K1" i="1"/>
  <c r="K1" i="4"/>
  <c r="F11" i="4"/>
  <c r="G11" i="4" s="1"/>
  <c r="E10" i="4"/>
  <c r="E7" i="3"/>
  <c r="E6" i="3"/>
  <c r="F13" i="1"/>
  <c r="G13" i="1" s="1"/>
  <c r="F14" i="1" s="1"/>
  <c r="G14" i="1" s="1"/>
  <c r="E14" i="1" s="1"/>
  <c r="E10" i="1"/>
  <c r="E11" i="1"/>
  <c r="E6" i="2"/>
  <c r="E9" i="3" a="1"/>
  <c r="E22" i="3" a="1"/>
  <c r="E22" i="3" l="1"/>
  <c r="E11" i="4"/>
  <c r="F12" i="4"/>
  <c r="G12" i="4" s="1"/>
  <c r="E9" i="3"/>
  <c r="E13" i="1"/>
  <c r="F6" i="1" a="1"/>
  <c r="E10" i="3" a="1"/>
  <c r="E23" i="3" a="1"/>
  <c r="F6" i="1" l="1"/>
  <c r="E23" i="3"/>
  <c r="F13" i="4"/>
  <c r="G13" i="4" s="1"/>
  <c r="E12" i="4"/>
  <c r="E10" i="3"/>
  <c r="F1" i="1" a="1"/>
  <c r="E24" i="3" a="1"/>
  <c r="E11" i="3" a="1"/>
  <c r="F1" i="1" l="1"/>
  <c r="E24" i="3"/>
  <c r="E13" i="4"/>
  <c r="F14" i="4"/>
  <c r="G14" i="4" s="1"/>
  <c r="E14" i="4" s="1"/>
  <c r="E11" i="3"/>
  <c r="E25" i="3" a="1"/>
  <c r="F6" i="4" a="1"/>
  <c r="I19" i="1" a="1"/>
  <c r="P19" i="1" a="1"/>
  <c r="M6" i="1" a="1"/>
  <c r="E12" i="3" a="1"/>
  <c r="E19" i="1" a="1"/>
  <c r="G36" i="1" a="1"/>
  <c r="G52" i="1" a="1"/>
  <c r="G50" i="1" a="1"/>
  <c r="G21" i="1" a="1"/>
  <c r="G43" i="1" a="1"/>
  <c r="G40" i="1" a="1"/>
  <c r="G23" i="1" a="1"/>
  <c r="G27" i="1" a="1"/>
  <c r="G33" i="1" a="1"/>
  <c r="G34" i="1" a="1"/>
  <c r="G37" i="1" a="1"/>
  <c r="G35" i="1" a="1"/>
  <c r="G32" i="1" a="1"/>
  <c r="G51" i="1" a="1"/>
  <c r="G25" i="1" a="1"/>
  <c r="G38" i="1" a="1"/>
  <c r="G28" i="1" a="1"/>
  <c r="G57" i="1" a="1"/>
  <c r="G24" i="1" a="1"/>
  <c r="G46" i="1" a="1"/>
  <c r="G53" i="1" a="1"/>
  <c r="G44" i="1" a="1"/>
  <c r="G47" i="1" a="1"/>
  <c r="G26" i="1" a="1"/>
  <c r="G29" i="1" a="1"/>
  <c r="G30" i="1" a="1"/>
  <c r="G42" i="1" a="1"/>
  <c r="G54" i="1" a="1"/>
  <c r="G39" i="1" a="1"/>
  <c r="G56" i="1" a="1"/>
  <c r="G48" i="1" a="1"/>
  <c r="G41" i="1" a="1"/>
  <c r="G31" i="1" a="1"/>
  <c r="G49" i="1" a="1"/>
  <c r="G20" i="1" a="1"/>
  <c r="G55" i="1" a="1"/>
  <c r="G22" i="1" a="1"/>
  <c r="G45" i="1" a="1"/>
  <c r="AS21" i="1" l="1"/>
  <c r="AR21" i="1"/>
  <c r="AS19" i="1"/>
  <c r="AS20" i="1"/>
  <c r="AR20" i="1"/>
  <c r="P19" i="1"/>
  <c r="AR19" i="1" s="1"/>
  <c r="C7" i="1" s="1"/>
  <c r="G44" i="1"/>
  <c r="G40" i="1"/>
  <c r="G45" i="1"/>
  <c r="G42" i="1"/>
  <c r="G57" i="1"/>
  <c r="G41" i="1"/>
  <c r="G33" i="1"/>
  <c r="G24" i="1"/>
  <c r="G35" i="1"/>
  <c r="G29" i="1"/>
  <c r="G21" i="1"/>
  <c r="G32" i="1"/>
  <c r="G53" i="1"/>
  <c r="G36" i="1"/>
  <c r="G31" i="1"/>
  <c r="G55" i="1"/>
  <c r="G50" i="1"/>
  <c r="G52" i="1"/>
  <c r="G28" i="1"/>
  <c r="G48" i="1"/>
  <c r="G37" i="1"/>
  <c r="G26" i="1"/>
  <c r="G51" i="1"/>
  <c r="G56" i="1"/>
  <c r="G27" i="1"/>
  <c r="G49" i="1"/>
  <c r="G34" i="1"/>
  <c r="G20" i="1"/>
  <c r="G22" i="1"/>
  <c r="G43" i="1"/>
  <c r="G47" i="1"/>
  <c r="G25" i="1"/>
  <c r="G54" i="1"/>
  <c r="G46" i="1"/>
  <c r="G38" i="1"/>
  <c r="G39" i="1"/>
  <c r="G30" i="1"/>
  <c r="G23" i="1"/>
  <c r="E19" i="1"/>
  <c r="I19" i="1"/>
  <c r="E25" i="3"/>
  <c r="F6" i="4"/>
  <c r="E12" i="3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M6" i="1"/>
  <c r="C5" i="1" s="1"/>
  <c r="P29" i="1" a="1"/>
  <c r="E13" i="3" a="1"/>
  <c r="F1" i="4" a="1"/>
  <c r="I28" i="1" a="1"/>
  <c r="I20" i="1" a="1"/>
  <c r="E26" i="3" a="1"/>
  <c r="G19" i="1" a="1"/>
  <c r="P29" i="1" l="1"/>
  <c r="I20" i="1"/>
  <c r="AK20" i="1" s="1"/>
  <c r="I28" i="1"/>
  <c r="G19" i="1"/>
  <c r="E26" i="3"/>
  <c r="F1" i="4"/>
  <c r="E13" i="3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P30" i="1" a="1"/>
  <c r="I29" i="1" a="1"/>
  <c r="E14" i="3" a="1"/>
  <c r="M6" i="4" a="1"/>
  <c r="E19" i="4" a="1"/>
  <c r="G54" i="4" a="1"/>
  <c r="G38" i="4" a="1"/>
  <c r="G50" i="4" a="1"/>
  <c r="G24" i="4" a="1"/>
  <c r="G48" i="4" a="1"/>
  <c r="E27" i="3" a="1"/>
  <c r="G53" i="4" a="1"/>
  <c r="G47" i="4" a="1"/>
  <c r="G56" i="4" a="1"/>
  <c r="G40" i="4" a="1"/>
  <c r="I19" i="4" a="1"/>
  <c r="G51" i="4" a="1"/>
  <c r="G49" i="4" a="1"/>
  <c r="G23" i="4" a="1"/>
  <c r="G26" i="4" a="1"/>
  <c r="G41" i="4" a="1"/>
  <c r="G43" i="4" a="1"/>
  <c r="G35" i="4" a="1"/>
  <c r="G44" i="4" a="1"/>
  <c r="G30" i="4" a="1"/>
  <c r="G31" i="4" a="1"/>
  <c r="G34" i="4" a="1"/>
  <c r="G25" i="4" a="1"/>
  <c r="G28" i="4" a="1"/>
  <c r="G36" i="4" a="1"/>
  <c r="G33" i="4" a="1"/>
  <c r="G42" i="4" a="1"/>
  <c r="G27" i="4" a="1"/>
  <c r="G52" i="4" a="1"/>
  <c r="G20" i="4" a="1"/>
  <c r="G29" i="4" a="1"/>
  <c r="G39" i="4" a="1"/>
  <c r="G32" i="4" a="1"/>
  <c r="G46" i="4" a="1"/>
  <c r="G57" i="4" a="1"/>
  <c r="G55" i="4" a="1"/>
  <c r="G21" i="4" a="1"/>
  <c r="G37" i="4" a="1"/>
  <c r="G22" i="4" a="1"/>
  <c r="G45" i="4" a="1"/>
  <c r="AR47" i="1" l="1"/>
  <c r="AS50" i="1"/>
  <c r="AR54" i="1"/>
  <c r="AS53" i="1"/>
  <c r="AR53" i="1"/>
  <c r="AS56" i="1"/>
  <c r="AR60" i="1"/>
  <c r="AS59" i="1"/>
  <c r="P30" i="1"/>
  <c r="AR30" i="1" s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C8" i="1"/>
  <c r="I29" i="1"/>
  <c r="AK29" i="1" s="1"/>
  <c r="E27" i="3"/>
  <c r="C3" i="1"/>
  <c r="C4" i="1"/>
  <c r="G50" i="4"/>
  <c r="G23" i="4"/>
  <c r="G29" i="4"/>
  <c r="G31" i="4"/>
  <c r="G39" i="4"/>
  <c r="G47" i="4"/>
  <c r="G55" i="4"/>
  <c r="G26" i="4"/>
  <c r="G28" i="4"/>
  <c r="G36" i="4"/>
  <c r="G44" i="4"/>
  <c r="G52" i="4"/>
  <c r="G34" i="4"/>
  <c r="G21" i="4"/>
  <c r="G33" i="4"/>
  <c r="G41" i="4"/>
  <c r="G49" i="4"/>
  <c r="G57" i="4"/>
  <c r="G24" i="4"/>
  <c r="G38" i="4"/>
  <c r="G46" i="4"/>
  <c r="G54" i="4"/>
  <c r="G42" i="4"/>
  <c r="G53" i="4"/>
  <c r="G45" i="4"/>
  <c r="G37" i="4"/>
  <c r="G25" i="4"/>
  <c r="G56" i="4"/>
  <c r="G48" i="4"/>
  <c r="G40" i="4"/>
  <c r="G32" i="4"/>
  <c r="G30" i="4"/>
  <c r="G22" i="4"/>
  <c r="G20" i="4"/>
  <c r="G51" i="4"/>
  <c r="G43" i="4"/>
  <c r="G35" i="4"/>
  <c r="G27" i="4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E19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M6" i="4"/>
  <c r="C5" i="4" s="1"/>
  <c r="I19" i="4"/>
  <c r="E14" i="3"/>
  <c r="AL29" i="1"/>
  <c r="AM30" i="1"/>
  <c r="AP30" i="1"/>
  <c r="AM29" i="1"/>
  <c r="AN29" i="1"/>
  <c r="AO30" i="1"/>
  <c r="AP29" i="1"/>
  <c r="AN30" i="1"/>
  <c r="AL30" i="1"/>
  <c r="AO29" i="1"/>
  <c r="AK30" i="1"/>
  <c r="G19" i="4" a="1"/>
  <c r="E28" i="3" a="1"/>
  <c r="I20" i="4" a="1"/>
  <c r="I28" i="4" a="1"/>
  <c r="E15" i="3" a="1"/>
  <c r="E28" i="3" l="1"/>
  <c r="G19" i="4"/>
  <c r="I28" i="4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I20" i="4"/>
  <c r="AE20" i="4" s="1"/>
  <c r="AF26" i="4"/>
  <c r="AJ22" i="4"/>
  <c r="AB19" i="4"/>
  <c r="AA19" i="4"/>
  <c r="C3" i="4" s="1"/>
  <c r="E15" i="3"/>
  <c r="C6" i="1"/>
  <c r="I29" i="4" a="1"/>
  <c r="AI30" i="4" l="1"/>
  <c r="AH30" i="4"/>
  <c r="AG30" i="4"/>
  <c r="AJ29" i="4"/>
  <c r="AF30" i="4"/>
  <c r="AI29" i="4"/>
  <c r="I29" i="4"/>
  <c r="AE29" i="4" s="1"/>
  <c r="AE30" i="4"/>
  <c r="AH29" i="4"/>
  <c r="AG29" i="4"/>
  <c r="AF29" i="4"/>
  <c r="AJ30" i="4"/>
  <c r="C4" i="4"/>
  <c r="C6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<sst xmlns="http://schemas.openxmlformats.org/spreadsheetml/2006/main" count="379" uniqueCount="116">
  <si>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</si>
  <si>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</si>
  <si>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</si>
  <si>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</si>
  <si>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</si>
  <si>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</si>
  <si>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</si>
  <si>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</si>
  <si>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</si>
  <si>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</si>
  <si>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</si>
  <si>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</si>
  <si>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</si>
  <si>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</si>
  <si>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</si>
  <si>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</si>
  <si>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</si>
  <si>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</si>
  <si>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</si>
  <si>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</si>
  <si>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</si>
  <si>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</si>
  <si>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</si>
  <si>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</si>
  <si>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</si>
  <si>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</si>
  <si>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</si>
  <si>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</si>
  <si>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</si>
  <si>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</si>
  <si>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</si>
  <si>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</si>
  <si>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</si>
  <si>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</si>
  <si>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</si>
  <si>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</si>
  <si>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</si>
  <si>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</si>
  <si>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</si>
  <si>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</si>
  <si>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</si>
  <si>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</si>
  <si>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</si>
  <si>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</si>
  <si>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</si>
  <si>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</si>
  <si>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</si>
  <si>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</si>
  <si>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</si>
  <si>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</si>
  <si>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</si>
  <si>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</si>
  <si>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</si>
  <si>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</si>
  <si>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</si>
  <si>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</si>
  <si>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</si>
  <si>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</si>
  <si>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</si>
  <si>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</si>
  <si>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</si>
  <si>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</si>
  <si>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</si>
  <si>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</si>
  <si>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</si>
  <si>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</si>
  <si>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</si>
  <si>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</si>
  <si>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</si>
  <si>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</si>
  <si>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</si>
  <si>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</si>
  <si>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</si>
  <si>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</si>
  <si>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</si>
  <si>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</si>
  <si>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</si>
  <si>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</si>
  <si>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</si>
  <si>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</si>
  <si>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</si>
  <si>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</si>
  <si>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</si>
  <si>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</si>
  <si>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</si>
  <si>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</si>
  <si>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</si>
  <si>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</si>
  <si>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</si>
  <si>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</si>
  <si>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</si>
  <si>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</si>
  <si>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</si>
  <si>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</si>
  <si>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</si>
  <si>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</si>
  <si>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</si>
  <si>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</si>
  <si>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</si>
  <si>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</si>
  <si>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_date":"2022-09-08","start_date":"2022-03-12","end_date":"2022-09-08","day_count_type":"ACT/360","amout":11000000,"fixed_rate":0.001},{"payment _date":"2023-03-07","start_date":"2022-09-08","end_date":"2023-03-07","day_count_type":"ACT/360","amout":12000000,"fixed_rate":0.001},{"payment _date":"2023-09-03","start_date":"2023-03-07","end_date":"2023-09-03","day_count_type":"ACT/360","amout":13000000,"fixed_rate":0.001},{"payment _date":"2024-03-01","start_date":"2023-09-03","end_date":"2024-03-01","day_count_type":"ACT/360","amout":14000000,"fixed_rate":0.001},{"payment _date":"2024-08-28","start_date":"2024-03-01","end_date":"2024-08-28","day_count_type":"ACT/360","amout":15000000,"fixed_rate":0.001}]}}</t>
  </si>
  <si>
    <t>client</t>
    <phoneticPr fontId="1"/>
  </si>
  <si>
    <t>status</t>
    <phoneticPr fontId="1"/>
  </si>
  <si>
    <t>message</t>
    <phoneticPr fontId="1"/>
  </si>
  <si>
    <t>message 0</t>
    <phoneticPr fontId="1"/>
  </si>
  <si>
    <t>message 1</t>
  </si>
  <si>
    <t>message 2</t>
  </si>
  <si>
    <t>message 3</t>
  </si>
  <si>
    <t>message 4</t>
  </si>
  <si>
    <t>message 5</t>
  </si>
  <si>
    <t>message 6</t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</si>
  <si>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</si>
  <si>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</si>
  <si>
    <t>client1</t>
    <phoneticPr fontId="1"/>
  </si>
  <si>
    <t>keyvalues1</t>
    <phoneticPr fontId="1"/>
  </si>
  <si>
    <t>table3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</si>
</sst>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4f71aace325a499b836bfd0f6b877e4c">
      <tp>
        <v>1</v>
        <stp/>
        <stp>8b266871-b605-451c-9340-96dd10bd8976</stp>
        <tr r="E6" s="3"/>
      </tp>
      <tp>
        <v>1</v>
        <stp/>
        <stp>4bae0147-0d67-4488-8d65-e83c8e1dbace</stp>
        <tr r="G47" s="1"/>
      </tp>
      <tp>
        <v>1</v>
        <stp/>
        <stp>57a29ce7-243a-49ee-8a54-baf4fb7bbd34</stp>
        <tr r="G55" s="1"/>
      </tp>
    </main>
    <main first="rtdsrv.4f71aace325a499b836bfd0f6b877e4c">
      <tp>
        <v>1</v>
        <stp/>
        <stp>4163b705-a18d-4b6d-b35d-ae46066c14e9</stp>
        <tr r="G43" s="4"/>
      </tp>
      <tp>
        <v>1</v>
        <stp/>
        <stp>6a6b9490-09b5-4900-891f-9c78bddaf25b</stp>
        <tr r="G54" s="4"/>
      </tp>
    </main>
    <main first="rtdsrv.4f71aace325a499b836bfd0f6b877e4c">
      <tp>
        <v>1</v>
        <stp/>
        <stp>1addcbe8-55cc-414b-8019-be397cb481b7</stp>
        <tr r="G23" s="4"/>
      </tp>
    </main>
    <main first="rtdsrv.4f71aace325a499b836bfd0f6b877e4c">
      <tp>
        <v>1</v>
        <stp/>
        <stp>fb1214e3-b538-48b3-9e44-8d40314db522</stp>
        <tr r="I28" s="4"/>
      </tp>
    </main>
    <main first="rtdsrv.4f71aace325a499b836bfd0f6b877e4c">
      <tp>
        <v>1</v>
        <stp/>
        <stp>1f155c50-bf1e-4b8a-9d25-1b1cc08c4238</stp>
        <tr r="I19" s="4"/>
      </tp>
      <tp>
        <v>1</v>
        <stp/>
        <stp>587faa86-a1fa-4931-8150-247ab8dd5d05</stp>
        <tr r="G46" s="1"/>
      </tp>
    </main>
    <main first="rtdsrv.4f71aace325a499b836bfd0f6b877e4c">
      <tp>
        <v>1</v>
        <stp/>
        <stp>9d9901ba-c07c-4de4-89ef-2287d79a869e</stp>
        <tr r="F1" s="4"/>
      </tp>
      <tp>
        <v>1</v>
        <stp/>
        <stp>17533588-4af8-4e69-9195-8c878e79ee77</stp>
        <tr r="G45" s="1"/>
      </tp>
    </main>
    <main first="rtdsrv.4f71aace325a499b836bfd0f6b877e4c">
      <tp>
        <v>1</v>
        <stp/>
        <stp>c2eff6ec-90e0-43c7-a185-60a52ee6621e</stp>
        <tr r="G44" s="4"/>
      </tp>
    </main>
    <main first="rtdsrv.4f71aace325a499b836bfd0f6b877e4c">
      <tp>
        <v>1</v>
        <stp/>
        <stp>349ebc8d-c6a1-436d-bbd5-e8700b499866</stp>
        <tr r="G33" s="4"/>
      </tp>
    </main>
    <main first="rtdsrv.4f71aace325a499b836bfd0f6b877e4c">
      <tp>
        <v>1</v>
        <stp/>
        <stp>83b38bd8-f4a2-46d8-b09c-acfa62cb302c</stp>
        <tr r="G31" s="4"/>
      </tp>
      <tp>
        <v>1</v>
        <stp/>
        <stp>295aa45c-0223-43dd-98a2-4ef1c9816374</stp>
        <tr r="G40" s="4"/>
      </tp>
    </main>
    <main first="rtdsrv.4f71aace325a499b836bfd0f6b877e4c">
      <tp>
        <v>1</v>
        <stp/>
        <stp>6194f773-4e58-446d-8a9c-9604b85816b0</stp>
        <tr r="G23" s="1"/>
      </tp>
      <tp>
        <v>1</v>
        <stp/>
        <stp>113f6e08-0927-4ae5-9fc7-ef710a470b9f</stp>
        <tr r="G24" s="1"/>
      </tp>
      <tp>
        <v>1</v>
        <stp/>
        <stp>cdaa407f-a2d2-4306-86ec-fd706aa994f2</stp>
        <tr r="G50" s="4"/>
      </tp>
    </main>
    <main first="rtdsrv.4f71aace325a499b836bfd0f6b877e4c">
      <tp>
        <v>1</v>
        <stp/>
        <stp>821072e5-bc6d-474c-bcc8-5b70aa3249c9</stp>
        <tr r="G52" s="4"/>
      </tp>
    </main>
    <main first="rtdsrv.4f71aace325a499b836bfd0f6b877e4c">
      <tp>
        <v>1</v>
        <stp/>
        <stp>b70d8356-6cd7-4ee5-a98f-7358766a3c20</stp>
        <tr r="G38" s="4"/>
      </tp>
    </main>
    <main first="rtdsrv.4f71aace325a499b836bfd0f6b877e4c">
      <tp>
        <v>1</v>
        <stp/>
        <stp>da984842-f31f-4be3-b8d8-f96252e8b973</stp>
        <tr r="G26" s="4"/>
      </tp>
    </main>
    <main first="rtdsrv.4f71aace325a499b836bfd0f6b877e4c">
      <tp>
        <v>1</v>
        <stp/>
        <stp>1c11f703-7eb2-4001-bafd-dcfb15ad6873</stp>
        <tr r="G48" s="4"/>
      </tp>
      <tp>
        <v>1</v>
        <stp/>
        <stp>89bb6b5e-59c0-45b0-92a4-c2383b9e95a1</stp>
        <tr r="G51" s="1"/>
      </tp>
    </main>
    <main first="rtdsrv.4f71aace325a499b836bfd0f6b877e4c">
      <tp>
        <v>1</v>
        <stp/>
        <stp>cf645a20-1d65-4640-af2c-119808173f09</stp>
        <tr r="G54" s="1"/>
      </tp>
      <tp>
        <v>2</v>
        <stp/>
        <stp>71f9e4a4-0cc6-4c54-8615-402fad66e852</stp>
        <tr r="E19" s="3"/>
      </tp>
      <tp>
        <v>1</v>
        <stp/>
        <stp>545e4b14-faec-4e48-a313-414ecd277031</stp>
        <tr r="G50" s="1"/>
      </tp>
      <tp>
        <v>1</v>
        <stp/>
        <stp>718d3480-f185-4049-95e9-f7df1d060082</stp>
        <tr r="P19" s="1"/>
      </tp>
    </main>
    <main first="rtdsrv.4f71aace325a499b836bfd0f6b877e4c">
      <tp>
        <v>1</v>
        <stp/>
        <stp>ba67df44-c074-425a-8cc3-aa341b13692b</stp>
        <tr r="G45" s="4"/>
      </tp>
      <tp>
        <v>1</v>
        <stp/>
        <stp>7a5a7273-0481-4883-885b-58ea48478972</stp>
        <tr r="G57" s="1"/>
      </tp>
    </main>
    <main first="rtdsrv.4f71aace325a499b836bfd0f6b877e4c">
      <tp>
        <v>1</v>
        <stp/>
        <stp>c17002ae-dab7-488f-b2b3-a80ec529e28b</stp>
        <tr r="G26" s="1"/>
      </tp>
      <tp>
        <v>1</v>
        <stp/>
        <stp>b9339e3b-b03e-454d-a6d8-de99cd99dc74</stp>
        <tr r="G19" s="4"/>
      </tp>
    </main>
    <main first="rtdsrv.4f71aace325a499b836bfd0f6b877e4c">
      <tp>
        <v>1</v>
        <stp/>
        <stp>2c30cd29-e878-40d7-8b73-e86902795517</stp>
        <tr r="F1" s="1"/>
      </tp>
      <tp>
        <v>1</v>
        <stp/>
        <stp>430d5d6f-5494-4da3-84e8-c9688bc8f2b2</stp>
        <tr r="G39" s="1"/>
      </tp>
    </main>
    <main first="rtdsrv.4f71aace325a499b836bfd0f6b877e4c">
      <tp>
        <v>1</v>
        <stp/>
        <stp>255fd695-c436-4249-a688-1bc98e2a7841</stp>
        <tr r="G27" s="4"/>
      </tp>
      <tp>
        <v>1</v>
        <stp/>
        <stp>2552e3eb-539e-48ed-ae7e-7a6779f35f03</stp>
        <tr r="I28" s="1"/>
      </tp>
    </main>
    <main first="rtdsrv.4f71aace325a499b836bfd0f6b877e4c">
      <tp>
        <v>1</v>
        <stp/>
        <stp>27842b44-08dd-48b0-8995-c47c85544349</stp>
        <tr r="G38" s="1"/>
      </tp>
      <tp>
        <v>1</v>
        <stp/>
        <stp>3a79f843-312b-43c2-b855-23589ed93d35</stp>
        <tr r="G47" s="4"/>
      </tp>
    </main>
    <main first="rtdsrv.4f71aace325a499b836bfd0f6b877e4c">
      <tp>
        <v>1</v>
        <stp/>
        <stp>80416d9d-0d03-4b19-b1e8-0dbf166e5545</stp>
        <tr r="G43" s="1"/>
      </tp>
      <tp>
        <v>1</v>
        <stp/>
        <stp>c43bd51b-f5e1-4c2e-a4ea-1516fa6d2317</stp>
        <tr r="G42" s="1"/>
      </tp>
      <tp>
        <v>1</v>
        <stp/>
        <stp>e2f3b2bf-24e1-4295-a12b-b54a4e7b5e08</stp>
        <tr r="G24" s="4"/>
      </tp>
      <tp>
        <v>1</v>
        <stp/>
        <stp>27c232a8-357e-43ab-bd06-fd79baf7ea18</stp>
        <tr r="G21" s="4"/>
      </tp>
      <tp>
        <v>1</v>
        <stp/>
        <stp>2ba53cec-7cd6-4cb6-b922-6269fe63fe15</stp>
        <tr r="G44" s="1"/>
      </tp>
      <tp>
        <v>1</v>
        <stp/>
        <stp>f8f83b47-ea59-46c5-a64f-91699659090e</stp>
        <tr r="G51" s="4"/>
      </tp>
    </main>
    <main first="rtdsrv.4f71aace325a499b836bfd0f6b877e4c">
      <tp>
        <v>1</v>
        <stp/>
        <stp>11f5c004-d32f-4149-9ca2-56c22874e323</stp>
        <tr r="G34" s="1"/>
      </tp>
    </main>
    <main first="rtdsrv.4f71aace325a499b836bfd0f6b877e4c">
      <tp>
        <v>1</v>
        <stp/>
        <stp>1d79f584-c29e-4de4-b624-15b5ee65adf1</stp>
        <tr r="G56" s="4"/>
      </tp>
      <tp>
        <v>1</v>
        <stp/>
        <stp>d17dfc9e-23f0-4de5-9e7e-40029141ccc3</stp>
        <tr r="G40" s="1"/>
      </tp>
      <tp>
        <v>1</v>
        <stp/>
        <stp>2de5d6bf-5e35-4b52-98f6-151d34349329</stp>
        <tr r="G41" s="1"/>
      </tp>
    </main>
    <main first="rtdsrv.4f71aace325a499b836bfd0f6b877e4c">
      <tp>
        <v>1</v>
        <stp/>
        <stp>999925e6-a973-424b-af08-70c7062b38ac</stp>
        <tr r="G35" s="4"/>
      </tp>
      <tp>
        <v>1</v>
        <stp/>
        <stp>3c295dff-e4a8-4646-b617-57f78c68103e</stp>
        <tr r="F6" s="4"/>
      </tp>
    </main>
    <main first="rtdsrv.4f71aace325a499b836bfd0f6b877e4c">
      <tp>
        <v>1</v>
        <stp/>
        <stp>8186f115-44c6-4a76-bd13-8dc1a2335de3</stp>
        <tr r="G22" s="1"/>
      </tp>
      <tp>
        <v>1</v>
        <stp/>
        <stp>0c614bc8-4770-4416-bddd-8185d58aaace</stp>
        <tr r="G25" s="1"/>
      </tp>
      <tp>
        <v>1</v>
        <stp/>
        <stp>f2f1c59c-6121-484d-b9fc-1bab5c609020</stp>
        <tr r="G29" s="4"/>
      </tp>
      <tp>
        <v>1</v>
        <stp/>
        <stp>07a4e063-4ab1-4f12-aca8-ecd724bbe5ae</stp>
        <tr r="G21" s="1"/>
      </tp>
      <tp>
        <v>1</v>
        <stp/>
        <stp>4173253c-bf00-4e35-833c-9dc6261c90c7</stp>
        <tr r="G25" s="4"/>
      </tp>
    </main>
    <main first="rtdsrv.4f71aace325a499b836bfd0f6b877e4c">
      <tp>
        <v>1</v>
        <stp/>
        <stp>3a8c2ea4-d8f3-4bb9-8115-3ff5054908f3</stp>
        <tr r="G29" s="1"/>
      </tp>
      <tp>
        <v>1</v>
        <stp/>
        <stp>bd129158-f05a-4fc8-8dc4-441dff7089f4</stp>
        <tr r="G55" s="4"/>
      </tp>
      <tp>
        <v>1</v>
        <stp/>
        <stp>f0cc7e91-339e-4f31-8822-bffc89a39912</stp>
        <tr r="G48" s="1"/>
      </tp>
    </main>
    <main first="rtdsrv.4f71aace325a499b836bfd0f6b877e4c">
      <tp>
        <v>1</v>
        <stp/>
        <stp>79a457b1-4de5-4861-be04-92fcd904d39b</stp>
        <tr r="G19" s="1"/>
      </tp>
      <tp>
        <v>1</v>
        <stp/>
        <stp>efe3f7c9-0873-426b-be51-2a0b0083ad86</stp>
        <tr r="G37" s="4"/>
      </tp>
      <tp>
        <v>1</v>
        <stp/>
        <stp>113287e1-07d9-4572-bb63-040a416a636e</stp>
        <tr r="G52" s="1"/>
      </tp>
    </main>
    <main first="rtdsrv.4f71aace325a499b836bfd0f6b877e4c">
      <tp>
        <v>1</v>
        <stp/>
        <stp>1729ab4b-7e8b-4ea4-ad68-939ca28f6e58</stp>
        <tr r="G27" s="1"/>
      </tp>
      <tp>
        <v>1</v>
        <stp/>
        <stp>0ca64ebb-4e8e-44b5-a2b4-bab88805c837</stp>
        <tr r="G32" s="1"/>
      </tp>
      <tp>
        <v>1</v>
        <stp/>
        <stp>501c11c1-722f-4e42-81f4-967d23408cbd</stp>
        <tr r="F6" s="1"/>
      </tp>
      <tp>
        <v>1</v>
        <stp/>
        <stp>d2cacac1-e787-484c-99fd-91bff247d43b</stp>
        <tr r="G36" s="4"/>
      </tp>
      <tp>
        <v>1</v>
        <stp/>
        <stp>f8777e23-40cd-443b-b9c2-c901937c5f89</stp>
        <tr r="G49" s="4"/>
      </tp>
      <tp>
        <v>1</v>
        <stp/>
        <stp>217763d1-4754-4cd8-b282-a90cd8b3d2d2</stp>
        <tr r="G20" s="1"/>
      </tp>
    </main>
    <main first="rtdsrv.4f71aace325a499b836bfd0f6b877e4c">
      <tp>
        <v>1</v>
        <stp/>
        <stp>85d8af6a-be03-4cd5-a225-7b515b12f361</stp>
        <tr r="G34" s="4"/>
      </tp>
      <tp>
        <v>1</v>
        <stp/>
        <stp>8612f0e6-cf52-4782-821c-037cb6f41f17</stp>
        <tr r="G36" s="1"/>
      </tp>
      <tp>
        <v>1</v>
        <stp/>
        <stp>609151f1-2a33-444f-9d3a-7c7104a7548b</stp>
        <tr r="G20" s="4"/>
      </tp>
    </main>
    <main first="rtdsrv.4f71aace325a499b836bfd0f6b877e4c">
      <tp>
        <v>1</v>
        <stp/>
        <stp>75fef74d-a48a-4dc3-b1f4-5436afb16a63</stp>
        <tr r="G53" s="1"/>
      </tp>
    </main>
    <main first="rtdsrv.4f71aace325a499b836bfd0f6b877e4c">
      <tp>
        <v>1</v>
        <stp/>
        <stp>ad2254d2-ca1a-43cb-bda4-803023ca64b4</stp>
        <tr r="E7" s="3"/>
      </tp>
      <tp>
        <v>1</v>
        <stp/>
        <stp>c6fc1df5-7ac8-4402-8a52-2b7f03a2744d</stp>
        <tr r="G53" s="4"/>
      </tp>
    </main>
    <main first="rtdsrv.4f71aace325a499b836bfd0f6b877e4c">
      <tp>
        <v>1</v>
        <stp/>
        <stp>ead48723-45fa-4c0e-b2e6-02f66d230397</stp>
        <tr r="G30" s="4"/>
      </tp>
      <tp>
        <v>1</v>
        <stp/>
        <stp>1a5a3ccf-95ee-4d79-aeb5-0f6da58084d4</stp>
        <tr r="G57" s="4"/>
      </tp>
      <tp>
        <v>1</v>
        <stp/>
        <stp>11b17745-1d84-434d-85d9-685775c8025d</stp>
        <tr r="P29" s="1"/>
      </tp>
    </main>
    <main first="rtdsrv.4f71aace325a499b836bfd0f6b877e4c">
      <tp>
        <v>1</v>
        <stp/>
        <stp>75d38090-2134-470f-b49f-9d4b95b411f3</stp>
        <tr r="G28" s="4"/>
      </tp>
      <tp>
        <v>1</v>
        <stp/>
        <stp>b07346bb-75c5-4c80-8a6e-a6a52934c137</stp>
        <tr r="G28" s="1"/>
      </tp>
      <tp>
        <v>1</v>
        <stp/>
        <stp>2be77c6d-9869-4513-bdb7-93e931415bf1</stp>
        <tr r="G46" s="4"/>
      </tp>
      <tp>
        <v>1</v>
        <stp/>
        <stp>c13a6b84-56f3-40f0-85a0-5ca489f23df6</stp>
        <tr r="E17" s="3"/>
      </tp>
    </main>
    <main first="rtdsrv.4f71aace325a499b836bfd0f6b877e4c">
      <tp>
        <v>1</v>
        <stp/>
        <stp>149b894e-2c91-48e1-b85d-2d6cdb2de450</stp>
        <tr r="G39" s="4"/>
      </tp>
    </main>
    <main first="rtdsrv.4f71aace325a499b836bfd0f6b877e4c">
      <tp>
        <v>1</v>
        <stp/>
        <stp>6903d874-73eb-49fa-82da-d8c82552345f</stp>
        <tr r="G30" s="1"/>
      </tp>
      <tp>
        <v>1</v>
        <stp/>
        <stp>e8678673-243c-47b4-aa09-3a2852e4bab3</stp>
        <tr r="G56" s="1"/>
      </tp>
      <tp>
        <v>1</v>
        <stp/>
        <stp>67c5d08c-e50f-4d3b-b18f-21b601ec7240</stp>
        <tr r="C2" s="2"/>
      </tp>
    </main>
    <main first="rtdsrv.4f71aace325a499b836bfd0f6b877e4c">
      <tp>
        <v>1</v>
        <stp/>
        <stp>d28ab38a-3a2c-4d58-9720-101e85c856c1</stp>
        <tr r="G31" s="1"/>
      </tp>
    </main>
    <main first="rtdsrv.4f71aace325a499b836bfd0f6b877e4c">
      <tp>
        <v>1</v>
        <stp/>
        <stp>6108a201-d12b-4544-8121-dad2e9b80251</stp>
        <tr r="G35" s="1"/>
      </tp>
      <tp>
        <v>1</v>
        <stp/>
        <stp>288837ab-cad4-4a96-8c70-975c8e85943d</stp>
        <tr r="G32" s="4"/>
      </tp>
      <tp>
        <v>1</v>
        <stp/>
        <stp>74053748-6a7e-4921-b32a-7095b2b71887</stp>
        <tr r="G22" s="4"/>
      </tp>
    </main>
    <main first="rtdsrv.4f71aace325a499b836bfd0f6b877e4c">
      <tp>
        <v>33</v>
        <stp/>
        <stp>c3ad1f91-6114-461c-a7f7-09efed5357a5</stp>
        <tr r="E20" s="3"/>
      </tp>
    </main>
    <main first="rtdsrv.4f71aace325a499b836bfd0f6b877e4c">
      <tp>
        <v>1</v>
        <stp/>
        <stp>48820364-459b-4994-8570-ec8d11700b8c</stp>
        <tr r="E4" s="3"/>
      </tp>
      <tp>
        <v>1</v>
        <stp/>
        <stp>3d62ac29-391a-459c-adc8-924fd94e12d3</stp>
        <tr r="I19" s="1"/>
      </tp>
    </main>
    <main first="rtdsrv.4f71aace325a499b836bfd0f6b877e4c">
      <tp>
        <v>1</v>
        <stp/>
        <stp>e286e8a0-42e1-4b02-a729-3e26ab08f77c</stp>
        <tr r="G49" s="1"/>
      </tp>
      <tp>
        <v>1</v>
        <stp/>
        <stp>055c55a9-295e-48c2-9596-31bcbca2ce01</stp>
        <tr r="G41" s="4"/>
      </tp>
    </main>
    <main first="rtdsrv.4f71aace325a499b836bfd0f6b877e4c">
      <tp>
        <v>1</v>
        <stp/>
        <stp>9f669866-ecfd-4851-9fea-d15f95cc3ec4</stp>
        <tr r="G42" s="4"/>
      </tp>
    </main>
    <main first="rtdsrv.4f71aace325a499b836bfd0f6b877e4c">
      <tp>
        <v>1</v>
        <stp/>
        <stp>332597c7-85d4-431f-aadd-07cdaef72ca0</stp>
        <tr r="G33" s="1"/>
      </tp>
    </main>
    <main first="rtdsrv.4f71aace325a499b836bfd0f6b877e4c">
      <tp>
        <v>1</v>
        <stp/>
        <stp>7210d7af-f60e-4f7f-a176-f86d3f8e7cac</stp>
        <tr r="G37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volatileDependencies" Target="volatileDependencies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65"/>
  <sheetViews>
    <sheetView tabSelected="1"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40.75" customWidth="1"/>
    <col min="17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_xll.ExLibris.Json.CreateJsonObject(E3:F6)</f>
        <v>JsonObject:A90E9D9A-D769-488B-BA4A-7DC68DDAE374</v>
      </c>
      <c r="K1" t="str">
        <f>EXLIBRIS_CONFIGURATION</f>
        <v>ExLibris.Core.ExLibrisConfiguration:3DBC2D14-284C-4875-833A-7330C5C56AB2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_xll.ExLibris.Json.CreateJsonArray(E8:J14)</f>
        <v>JsonObject:05B87254-C6AC-4550-9DAB-537F01796631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114</v>
      </c>
      <c r="C7" s="6">
        <f>COUNTIF(AR19:AS21,FALSE)</f>
        <v>0</v>
      </c>
      <c r="L7" t="s">
        <v>74</v>
      </c>
      <c r="M7" t="s">
        <v>112</v>
      </c>
    </row>
    <row r="8" spans="2:28" x14ac:dyDescent="0.4">
      <c r="B8" s="6" t="s">
        <v>115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JsonObject:726D8B20-9BBE-486A-89AE-24693B6C9A94</v>
      </c>
      <c r="P19" t="str" cm="1">
        <f t="array" ref="P19:Q27">_xll.ExLibris.Json.GetJsonKeyValues(F1,,3)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JsonObject:0BCBA1E4-04F2-4A64-BE7A-7CC302F24F93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JsonObject:E05AC574-6535-4FD8-8C3A-311EC3318237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JsonObject:35843975-D2C9-4969-AB74-971876A5041B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JsonObject:A19E2369-7E3C-4840-A99D-0730DC46FD2F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JsonObject:9E3A70AD-EDDD-4C62-A87A-400B8D84BFA4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tr">
        <v>fixed_leg.cashflows.[5]</v>
      </c>
      <c r="Q27" t="str">
        <v>JsonObject:33F26FF0-6428-4583-A96F-22A67FB214A3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JsonObject:033FD9F7-EF14-42CA-952E-A63F2C7DC36A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_xll.ExLibris.Json.CreateJsonObject(P22:Q27)</f>
        <v>JsonObject:56EAB903-BAA2-479F-910A-6BF19D91752D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10"/>
        <v>1</v>
      </c>
      <c r="AS61" t="b">
        <f t="shared" si="11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10"/>
        <v>1</v>
      </c>
      <c r="AS62" t="b">
        <f t="shared" si="11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10"/>
        <v>1</v>
      </c>
      <c r="AS63" t="b">
        <f t="shared" si="11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10"/>
        <v>1</v>
      </c>
      <c r="AS64" t="b">
        <f t="shared" si="11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>
      <selection activeCell="B2" sqref="B2"/>
    </sheetView>
  </sheetViews>
  <sheetFormatPr defaultRowHeight="18.75" x14ac:dyDescent="0.4"/>
  <cols>
    <col min="1" max="1" width="2.25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JsonObject:86C5E29F-D324-48A8-9522-F1FA8030568E</v>
      </c>
      <c r="K1" t="str">
        <f>EXLIBRIS_CONFIGURATION</f>
        <v>ExLibris.Core.ExLibrisConfiguration:3DBC2D14-284C-4875-833A-7330C5C56AB2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JsonObject:C6663F5F-000E-4D61-B837-BC7ABB53F0F9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_date":"2022-09-08","start_date":"2022-03-12","end_date":"2022-09-08","day_count_type":"ACT/360","amout":11000000,"fixed_rate":0.001},{"payment _date":"2023-03-07","start_date":"2022-09-08","end_date":"2023-03-07","day_count_type":"ACT/360","amout":12000000,"fixed_rate":0.001},{"payment _date":"2023-09-03","start_date":"2023-03-07","end_date":"2023-09-03","day_count_type":"ACT/360","amout":13000000,"fixed_rate":0.001},{"payment _date":"2024-03-01","start_date":"2023-09-03","end_date":"2024-03-01","day_count_type":"ACT/360","amout":14000000,"fixed_rate":0.001},{"payment _date":"2024-08-28","start_date":"2024-03-01","end_date":"2024-08-28","day_count_type":"ACT/360","amout":15000000,"fixed_rate":0.001}]}}</v>
      </c>
    </row>
    <row r="7" spans="2:25" x14ac:dyDescent="0.4">
      <c r="L7" t="s">
        <v>74</v>
      </c>
      <c r="M7" t="s">
        <v>100</v>
      </c>
    </row>
    <row r="8" spans="2:25" x14ac:dyDescent="0.4"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JsonObject:4AF288B1-6716-40F0-9D27-F704DDFB7A50</v>
      </c>
      <c r="P19" t="s">
        <v>14</v>
      </c>
      <c r="Q19" t="s">
        <v>16</v>
      </c>
      <c r="R19" t="s">
        <v>16</v>
      </c>
      <c r="AA19" t="b">
        <f t="shared" ref="AA19:AA57" si="4">E19=P19</f>
        <v>1</v>
      </c>
      <c r="AB19" t="b">
        <f t="shared" ref="AB19:AC57" si="5">E19=P19</f>
        <v>1</v>
      </c>
      <c r="AC19" t="b">
        <f t="shared" si="5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4"/>
        <v>1</v>
      </c>
      <c r="AB20" t="b">
        <f t="shared" si="5"/>
        <v>1</v>
      </c>
      <c r="AC20" t="b">
        <f t="shared" si="5"/>
        <v>1</v>
      </c>
      <c r="AE20" t="b">
        <f t="shared" ref="AE20:AJ26" si="6">I20=T20</f>
        <v>1</v>
      </c>
      <c r="AF20" t="b">
        <f t="shared" si="6"/>
        <v>1</v>
      </c>
      <c r="AG20" t="b">
        <f t="shared" si="6"/>
        <v>1</v>
      </c>
      <c r="AH20" t="b">
        <f t="shared" si="6"/>
        <v>1</v>
      </c>
      <c r="AI20" t="b">
        <f t="shared" si="6"/>
        <v>1</v>
      </c>
      <c r="AJ20" t="b">
        <f t="shared" si="6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4"/>
        <v>1</v>
      </c>
      <c r="AB21" t="b">
        <f t="shared" si="5"/>
        <v>1</v>
      </c>
      <c r="AC21" t="b">
        <f t="shared" si="5"/>
        <v>1</v>
      </c>
      <c r="AE21" t="b">
        <f t="shared" si="6"/>
        <v>1</v>
      </c>
      <c r="AF21" t="b">
        <f t="shared" si="6"/>
        <v>1</v>
      </c>
      <c r="AG21" t="b">
        <f t="shared" si="6"/>
        <v>1</v>
      </c>
      <c r="AH21" t="b">
        <f t="shared" si="6"/>
        <v>1</v>
      </c>
      <c r="AI21" t="b">
        <f t="shared" si="6"/>
        <v>1</v>
      </c>
      <c r="AJ21" t="b">
        <f t="shared" si="6"/>
        <v>1</v>
      </c>
    </row>
    <row r="22" spans="5:36" x14ac:dyDescent="0.4">
      <c r="E22" t="str">
        <v>fixed_leg.cashflows.[0].payment _date</v>
      </c>
      <c r="F22" t="str">
        <v>2022-03-12</v>
      </c>
      <c r="G22" s="1" t="str" cm="1">
        <f t="array" ref="G22">_xll.ExLibris.Json.GetJsonValue($F$1,E22,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11000000</v>
      </c>
      <c r="N22">
        <v>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11000000</v>
      </c>
      <c r="Y22">
        <v>1E-3</v>
      </c>
      <c r="AA22" t="b">
        <f t="shared" si="4"/>
        <v>1</v>
      </c>
      <c r="AB22" t="b">
        <f t="shared" si="5"/>
        <v>1</v>
      </c>
      <c r="AC22" t="b">
        <f t="shared" si="5"/>
        <v>1</v>
      </c>
      <c r="AE22" t="b">
        <f t="shared" si="6"/>
        <v>1</v>
      </c>
      <c r="AF22" t="b">
        <f t="shared" si="6"/>
        <v>1</v>
      </c>
      <c r="AG22" t="b">
        <f t="shared" si="6"/>
        <v>1</v>
      </c>
      <c r="AH22" t="b">
        <f t="shared" si="6"/>
        <v>1</v>
      </c>
      <c r="AI22" t="b">
        <f t="shared" si="6"/>
        <v>1</v>
      </c>
      <c r="AJ22" t="b">
        <f t="shared" si="6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12000000</v>
      </c>
      <c r="N23">
        <v>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12000000</v>
      </c>
      <c r="Y23">
        <v>1E-3</v>
      </c>
      <c r="AA23" t="b">
        <f t="shared" si="4"/>
        <v>1</v>
      </c>
      <c r="AB23" t="b">
        <f t="shared" si="5"/>
        <v>1</v>
      </c>
      <c r="AC23" t="b">
        <f t="shared" si="5"/>
        <v>1</v>
      </c>
      <c r="AE23" t="b">
        <f t="shared" si="6"/>
        <v>1</v>
      </c>
      <c r="AF23" t="b">
        <f t="shared" si="6"/>
        <v>1</v>
      </c>
      <c r="AG23" t="b">
        <f t="shared" si="6"/>
        <v>1</v>
      </c>
      <c r="AH23" t="b">
        <f t="shared" si="6"/>
        <v>1</v>
      </c>
      <c r="AI23" t="b">
        <f t="shared" si="6"/>
        <v>1</v>
      </c>
      <c r="AJ23" t="b">
        <f t="shared" si="6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13000000</v>
      </c>
      <c r="N24">
        <v>1E-3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13000000</v>
      </c>
      <c r="Y24">
        <v>1E-3</v>
      </c>
      <c r="AA24" t="b">
        <f t="shared" si="4"/>
        <v>1</v>
      </c>
      <c r="AB24" t="b">
        <f t="shared" si="5"/>
        <v>1</v>
      </c>
      <c r="AC24" t="b">
        <f t="shared" si="5"/>
        <v>1</v>
      </c>
      <c r="AE24" t="b">
        <f t="shared" si="6"/>
        <v>1</v>
      </c>
      <c r="AF24" t="b">
        <f t="shared" si="6"/>
        <v>1</v>
      </c>
      <c r="AG24" t="b">
        <f t="shared" si="6"/>
        <v>1</v>
      </c>
      <c r="AH24" t="b">
        <f t="shared" si="6"/>
        <v>1</v>
      </c>
      <c r="AI24" t="b">
        <f t="shared" si="6"/>
        <v>1</v>
      </c>
      <c r="AJ24" t="b">
        <f t="shared" si="6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14000000</v>
      </c>
      <c r="N25">
        <v>1E-3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14000000</v>
      </c>
      <c r="Y25">
        <v>1E-3</v>
      </c>
      <c r="AA25" t="b">
        <f t="shared" si="4"/>
        <v>1</v>
      </c>
      <c r="AB25" t="b">
        <f t="shared" si="5"/>
        <v>1</v>
      </c>
      <c r="AC25" t="b">
        <f t="shared" si="5"/>
        <v>1</v>
      </c>
      <c r="AE25" t="b">
        <f t="shared" si="6"/>
        <v>1</v>
      </c>
      <c r="AF25" t="b">
        <f t="shared" si="6"/>
        <v>1</v>
      </c>
      <c r="AG25" t="b">
        <f t="shared" si="6"/>
        <v>1</v>
      </c>
      <c r="AH25" t="b">
        <f t="shared" si="6"/>
        <v>1</v>
      </c>
      <c r="AI25" t="b">
        <f t="shared" si="6"/>
        <v>1</v>
      </c>
      <c r="AJ25" t="b">
        <f t="shared" si="6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15000000</v>
      </c>
      <c r="N26">
        <v>1E-3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15000000</v>
      </c>
      <c r="Y26">
        <v>1E-3</v>
      </c>
      <c r="AA26" t="b">
        <f t="shared" si="4"/>
        <v>1</v>
      </c>
      <c r="AB26" t="b">
        <f t="shared" si="5"/>
        <v>1</v>
      </c>
      <c r="AC26" t="b">
        <f t="shared" si="5"/>
        <v>1</v>
      </c>
      <c r="AE26" t="b">
        <f t="shared" si="6"/>
        <v>1</v>
      </c>
      <c r="AF26" t="b">
        <f t="shared" si="6"/>
        <v>1</v>
      </c>
      <c r="AG26" t="b">
        <f t="shared" si="6"/>
        <v>1</v>
      </c>
      <c r="AH26" t="b">
        <f t="shared" si="6"/>
        <v>1</v>
      </c>
      <c r="AI26" t="b">
        <f t="shared" si="6"/>
        <v>1</v>
      </c>
      <c r="AJ26" t="b">
        <f t="shared" si="6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4"/>
        <v>1</v>
      </c>
      <c r="AB27" t="b">
        <f t="shared" si="5"/>
        <v>1</v>
      </c>
      <c r="AC27" t="b">
        <f t="shared" si="5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_xll.ExLibris.Json.GetJsonValue($F$1,E28, EXLIBRIS_CONFIGURATION)</f>
        <v>2022-09-08</v>
      </c>
      <c r="I28" t="str" cm="1">
        <f t="array" ref="I28">_xll.ExLibris.Json.GetJsonValue(I19,"[2]", EXLIBRIS_CONFIGURATION)</f>
        <v>JsonObject:281CC426-AAFB-4A91-BC34-F8660F1D2F1C</v>
      </c>
      <c r="P28" t="s">
        <v>38</v>
      </c>
      <c r="Q28" t="s">
        <v>95</v>
      </c>
      <c r="R28" t="s">
        <v>95</v>
      </c>
      <c r="AA28" t="b">
        <f t="shared" si="4"/>
        <v>1</v>
      </c>
      <c r="AB28" t="b">
        <f t="shared" si="5"/>
        <v>1</v>
      </c>
      <c r="AC28" t="b">
        <f t="shared" si="5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_xll.ExLibris.Json.GetJsonValue($F$1,E29, EXLIBRIS_CONFIGURATION)</f>
        <v>2022-03-12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4"/>
        <v>1</v>
      </c>
      <c r="AB29" t="b">
        <f t="shared" si="5"/>
        <v>1</v>
      </c>
      <c r="AC29" t="b">
        <f t="shared" si="5"/>
        <v>1</v>
      </c>
      <c r="AE29" t="b">
        <f t="shared" ref="AE29:AJ30" si="7">I29=T29</f>
        <v>1</v>
      </c>
      <c r="AF29" t="b">
        <f t="shared" si="7"/>
        <v>1</v>
      </c>
      <c r="AG29" t="b">
        <f t="shared" si="7"/>
        <v>1</v>
      </c>
      <c r="AH29" t="b">
        <f t="shared" si="7"/>
        <v>1</v>
      </c>
      <c r="AI29" t="b">
        <f t="shared" si="7"/>
        <v>1</v>
      </c>
      <c r="AJ29" t="b">
        <f t="shared" si="7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12000000</v>
      </c>
      <c r="N30">
        <v>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12000000</v>
      </c>
      <c r="Y30">
        <v>1E-3</v>
      </c>
      <c r="AA30" t="b">
        <f t="shared" si="4"/>
        <v>1</v>
      </c>
      <c r="AB30" t="b">
        <f t="shared" si="5"/>
        <v>1</v>
      </c>
      <c r="AC30" t="b">
        <f t="shared" si="5"/>
        <v>1</v>
      </c>
      <c r="AE30" t="b">
        <f t="shared" si="7"/>
        <v>1</v>
      </c>
      <c r="AF30" t="b">
        <f t="shared" si="7"/>
        <v>1</v>
      </c>
      <c r="AG30" t="b">
        <f t="shared" si="7"/>
        <v>1</v>
      </c>
      <c r="AH30" t="b">
        <f t="shared" si="7"/>
        <v>1</v>
      </c>
      <c r="AI30" t="b">
        <f t="shared" si="7"/>
        <v>1</v>
      </c>
      <c r="AJ30" t="b">
        <f t="shared" si="7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4"/>
        <v>1</v>
      </c>
      <c r="AB31" t="b">
        <f t="shared" si="5"/>
        <v>1</v>
      </c>
      <c r="AC31" t="b">
        <f t="shared" si="5"/>
        <v>1</v>
      </c>
    </row>
    <row r="32" spans="5:36" x14ac:dyDescent="0.4">
      <c r="E32" t="str">
        <v>fixed_leg.cashflows.[1].amout</v>
      </c>
      <c r="F32">
        <v>11000000</v>
      </c>
      <c r="G32" cm="1">
        <f t="array" ref="G32">_xll.ExLibris.Json.GetJsonValue($F$1,E32, EXLIBRIS_CONFIGURATION)</f>
        <v>11000000</v>
      </c>
      <c r="P32" t="s">
        <v>42</v>
      </c>
      <c r="Q32">
        <v>11000000</v>
      </c>
      <c r="R32">
        <v>11000000</v>
      </c>
      <c r="AA32" t="b">
        <f t="shared" si="4"/>
        <v>1</v>
      </c>
      <c r="AB32" t="b">
        <f t="shared" si="5"/>
        <v>1</v>
      </c>
      <c r="AC32" t="b">
        <f t="shared" si="5"/>
        <v>1</v>
      </c>
    </row>
    <row r="33" spans="5:29" x14ac:dyDescent="0.4">
      <c r="E33" t="str">
        <v>fixed_leg.cashflows.[1].fixed_rate</v>
      </c>
      <c r="F33">
        <v>1E-3</v>
      </c>
      <c r="G33" cm="1">
        <f t="array" ref="G33">_xll.ExLibris.Json.GetJsonValue($F$1,E33, EXLIBRIS_CONFIGURATION)</f>
        <v>1E-3</v>
      </c>
      <c r="P33" t="s">
        <v>43</v>
      </c>
      <c r="Q33">
        <v>1E-3</v>
      </c>
      <c r="R33">
        <v>1E-3</v>
      </c>
      <c r="AA33" t="b">
        <f t="shared" si="4"/>
        <v>1</v>
      </c>
      <c r="AB33" t="b">
        <f t="shared" si="5"/>
        <v>1</v>
      </c>
      <c r="AC33" t="b">
        <f t="shared" si="5"/>
        <v>1</v>
      </c>
    </row>
    <row r="34" spans="5:29" x14ac:dyDescent="0.4">
      <c r="E34" t="str">
        <v>fixed_leg.cashflows.[2].payment _date</v>
      </c>
      <c r="F34" t="str">
        <v>2023-03-07</v>
      </c>
      <c r="G34" t="str" cm="1">
        <f t="array" ref="G34">_xll.ExLibris.Json.GetJsonValue($F$1,E34, EXLIBRIS_CONFIGURATION)</f>
        <v>2023-03-07</v>
      </c>
      <c r="P34" t="s">
        <v>44</v>
      </c>
      <c r="Q34" t="s">
        <v>96</v>
      </c>
      <c r="R34" t="s">
        <v>96</v>
      </c>
      <c r="AA34" t="b">
        <f t="shared" si="4"/>
        <v>1</v>
      </c>
      <c r="AB34" t="b">
        <f t="shared" si="5"/>
        <v>1</v>
      </c>
      <c r="AC34" t="b">
        <f t="shared" si="5"/>
        <v>1</v>
      </c>
    </row>
    <row r="35" spans="5:29" x14ac:dyDescent="0.4">
      <c r="E35" t="str">
        <v>fixed_leg.cashflows.[2].start_date</v>
      </c>
      <c r="F35" t="str">
        <v>2022-09-08</v>
      </c>
      <c r="G35" t="str" cm="1">
        <f t="array" ref="G35">_xll.ExLibris.Json.GetJsonValue($F$1,E35, EXLIBRIS_CONFIGURATION)</f>
        <v>2022-09-08</v>
      </c>
      <c r="P35" t="s">
        <v>45</v>
      </c>
      <c r="Q35" t="s">
        <v>95</v>
      </c>
      <c r="R35" t="s">
        <v>95</v>
      </c>
      <c r="AA35" t="b">
        <f t="shared" si="4"/>
        <v>1</v>
      </c>
      <c r="AB35" t="b">
        <f t="shared" si="5"/>
        <v>1</v>
      </c>
      <c r="AC35" t="b">
        <f t="shared" si="5"/>
        <v>1</v>
      </c>
    </row>
    <row r="36" spans="5:29" x14ac:dyDescent="0.4">
      <c r="E36" t="str">
        <v>fixed_leg.cashflows.[2].end_date</v>
      </c>
      <c r="F36" t="str">
        <v>2023-03-07</v>
      </c>
      <c r="G36" t="str" cm="1">
        <f t="array" ref="G36">_xll.ExLibris.Json.GetJsonValue($F$1,E36, EXLIBRIS_CONFIGURATION)</f>
        <v>2023-03-07</v>
      </c>
      <c r="P36" t="s">
        <v>46</v>
      </c>
      <c r="Q36" t="s">
        <v>96</v>
      </c>
      <c r="R36" t="s">
        <v>96</v>
      </c>
      <c r="AA36" t="b">
        <f t="shared" si="4"/>
        <v>1</v>
      </c>
      <c r="AB36" t="b">
        <f t="shared" si="5"/>
        <v>1</v>
      </c>
      <c r="AC36" t="b">
        <f t="shared" si="5"/>
        <v>1</v>
      </c>
    </row>
    <row r="37" spans="5:29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4"/>
        <v>1</v>
      </c>
      <c r="AB37" t="b">
        <f t="shared" si="5"/>
        <v>1</v>
      </c>
      <c r="AC37" t="b">
        <f t="shared" si="5"/>
        <v>1</v>
      </c>
    </row>
    <row r="38" spans="5:29" x14ac:dyDescent="0.4">
      <c r="E38" t="str">
        <v>fixed_leg.cashflows.[2].amout</v>
      </c>
      <c r="F38">
        <v>12000000</v>
      </c>
      <c r="G38" cm="1">
        <f t="array" ref="G38">_xll.ExLibris.Json.GetJsonValue($F$1,E38, EXLIBRIS_CONFIGURATION)</f>
        <v>12000000</v>
      </c>
      <c r="P38" t="s">
        <v>48</v>
      </c>
      <c r="Q38">
        <v>12000000</v>
      </c>
      <c r="R38">
        <v>12000000</v>
      </c>
      <c r="AA38" t="b">
        <f t="shared" si="4"/>
        <v>1</v>
      </c>
      <c r="AB38" t="b">
        <f t="shared" si="5"/>
        <v>1</v>
      </c>
      <c r="AC38" t="b">
        <f t="shared" si="5"/>
        <v>1</v>
      </c>
    </row>
    <row r="39" spans="5:29" x14ac:dyDescent="0.4">
      <c r="E39" t="str">
        <v>fixed_leg.cashflows.[2].fixed_rate</v>
      </c>
      <c r="F39">
        <v>1E-3</v>
      </c>
      <c r="G39" cm="1">
        <f t="array" ref="G39">_xll.ExLibris.Json.GetJsonValue($F$1,E39, EXLIBRIS_CONFIGURATION)</f>
        <v>1E-3</v>
      </c>
      <c r="P39" t="s">
        <v>49</v>
      </c>
      <c r="Q39">
        <v>1E-3</v>
      </c>
      <c r="R39">
        <v>1E-3</v>
      </c>
      <c r="AA39" t="b">
        <f t="shared" si="4"/>
        <v>1</v>
      </c>
      <c r="AB39" t="b">
        <f t="shared" si="5"/>
        <v>1</v>
      </c>
      <c r="AC39" t="b">
        <f t="shared" si="5"/>
        <v>1</v>
      </c>
    </row>
    <row r="40" spans="5:29" x14ac:dyDescent="0.4">
      <c r="E40" t="str">
        <v>fixed_leg.cashflows.[3].payment _date</v>
      </c>
      <c r="F40" t="str">
        <v>2023-09-03</v>
      </c>
      <c r="G40" t="str" cm="1">
        <f t="array" ref="G40">_xll.ExLibris.Json.GetJsonValue($F$1,E40, EXLIBRIS_CONFIGURATION)</f>
        <v>2023-09-03</v>
      </c>
      <c r="P40" t="s">
        <v>50</v>
      </c>
      <c r="Q40" t="s">
        <v>97</v>
      </c>
      <c r="R40" t="s">
        <v>97</v>
      </c>
      <c r="AA40" t="b">
        <f t="shared" si="4"/>
        <v>1</v>
      </c>
      <c r="AB40" t="b">
        <f t="shared" si="5"/>
        <v>1</v>
      </c>
      <c r="AC40" t="b">
        <f t="shared" si="5"/>
        <v>1</v>
      </c>
    </row>
    <row r="41" spans="5:29" x14ac:dyDescent="0.4">
      <c r="E41" t="str">
        <v>fixed_leg.cashflows.[3].start_date</v>
      </c>
      <c r="F41" t="str">
        <v>2023-03-07</v>
      </c>
      <c r="G41" t="str" cm="1">
        <f t="array" ref="G41">_xll.ExLibris.Json.GetJsonValue($F$1,E41,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4"/>
        <v>1</v>
      </c>
      <c r="AB41" t="b">
        <f t="shared" si="5"/>
        <v>1</v>
      </c>
      <c r="AC41" t="b">
        <f t="shared" si="5"/>
        <v>1</v>
      </c>
    </row>
    <row r="42" spans="5:29" x14ac:dyDescent="0.4">
      <c r="E42" t="str">
        <v>fixed_leg.cashflows.[3].end_date</v>
      </c>
      <c r="F42" t="str">
        <v>2023-09-03</v>
      </c>
      <c r="G42" t="str" cm="1">
        <f t="array" ref="G42">_xll.ExLibris.Json.GetJsonValue($F$1,E42, EXLIBRIS_CONFIGURATION)</f>
        <v>2023-09-03</v>
      </c>
      <c r="P42" t="s">
        <v>52</v>
      </c>
      <c r="Q42" t="s">
        <v>97</v>
      </c>
      <c r="R42" t="s">
        <v>97</v>
      </c>
      <c r="AA42" t="b">
        <f t="shared" si="4"/>
        <v>1</v>
      </c>
      <c r="AB42" t="b">
        <f t="shared" si="5"/>
        <v>1</v>
      </c>
      <c r="AC42" t="b">
        <f t="shared" si="5"/>
        <v>1</v>
      </c>
    </row>
    <row r="43" spans="5:29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P43" t="s">
        <v>53</v>
      </c>
      <c r="Q43" t="s">
        <v>8</v>
      </c>
      <c r="R43" t="s">
        <v>8</v>
      </c>
      <c r="AA43" t="b">
        <f t="shared" si="4"/>
        <v>1</v>
      </c>
      <c r="AB43" t="b">
        <f t="shared" si="5"/>
        <v>1</v>
      </c>
      <c r="AC43" t="b">
        <f t="shared" si="5"/>
        <v>1</v>
      </c>
    </row>
    <row r="44" spans="5:29" x14ac:dyDescent="0.4">
      <c r="E44" t="str">
        <v>fixed_leg.cashflows.[3].amout</v>
      </c>
      <c r="F44">
        <v>13000000</v>
      </c>
      <c r="G44" cm="1">
        <f t="array" ref="G44">_xll.ExLibris.Json.GetJsonValue($F$1,E44, EXLIBRIS_CONFIGURATION)</f>
        <v>13000000</v>
      </c>
      <c r="P44" t="s">
        <v>54</v>
      </c>
      <c r="Q44">
        <v>13000000</v>
      </c>
      <c r="R44">
        <v>13000000</v>
      </c>
      <c r="AA44" t="b">
        <f t="shared" si="4"/>
        <v>1</v>
      </c>
      <c r="AB44" t="b">
        <f t="shared" si="5"/>
        <v>1</v>
      </c>
      <c r="AC44" t="b">
        <f t="shared" si="5"/>
        <v>1</v>
      </c>
    </row>
    <row r="45" spans="5:29" x14ac:dyDescent="0.4">
      <c r="E45" t="str">
        <v>fixed_leg.cashflows.[3].fixed_rate</v>
      </c>
      <c r="F45">
        <v>1E-3</v>
      </c>
      <c r="G45" cm="1">
        <f t="array" ref="G45">_xll.ExLibris.Json.GetJsonValue($F$1,E45, EXLIBRIS_CONFIGURATION)</f>
        <v>1E-3</v>
      </c>
      <c r="P45" t="s">
        <v>55</v>
      </c>
      <c r="Q45">
        <v>1E-3</v>
      </c>
      <c r="R45">
        <v>1E-3</v>
      </c>
      <c r="AA45" t="b">
        <f t="shared" si="4"/>
        <v>1</v>
      </c>
      <c r="AB45" t="b">
        <f t="shared" si="5"/>
        <v>1</v>
      </c>
      <c r="AC45" t="b">
        <f t="shared" si="5"/>
        <v>1</v>
      </c>
    </row>
    <row r="46" spans="5:29" x14ac:dyDescent="0.4">
      <c r="E46" t="str">
        <v>fixed_leg.cashflows.[4].payment _date</v>
      </c>
      <c r="F46" t="str">
        <v>2024-03-01</v>
      </c>
      <c r="G46" t="str" cm="1">
        <f t="array" ref="G46">_xll.ExLibris.Json.GetJsonValue($F$1,E46,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4"/>
        <v>1</v>
      </c>
      <c r="AB46" t="b">
        <f t="shared" si="5"/>
        <v>1</v>
      </c>
      <c r="AC46" t="b">
        <f t="shared" si="5"/>
        <v>1</v>
      </c>
    </row>
    <row r="47" spans="5:29" x14ac:dyDescent="0.4">
      <c r="E47" t="str">
        <v>fixed_leg.cashflows.[4].start_date</v>
      </c>
      <c r="F47" t="str">
        <v>2023-09-03</v>
      </c>
      <c r="G47" t="str" cm="1">
        <f t="array" ref="G47">_xll.ExLibris.Json.GetJsonValue($F$1,E47,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4"/>
        <v>1</v>
      </c>
      <c r="AB47" t="b">
        <f t="shared" si="5"/>
        <v>1</v>
      </c>
      <c r="AC47" t="b">
        <f t="shared" si="5"/>
        <v>1</v>
      </c>
    </row>
    <row r="48" spans="5:29" x14ac:dyDescent="0.4">
      <c r="E48" t="str">
        <v>fixed_leg.cashflows.[4].end_date</v>
      </c>
      <c r="F48" t="str">
        <v>2024-03-01</v>
      </c>
      <c r="G48" t="str" cm="1">
        <f t="array" ref="G48">_xll.ExLibris.Json.GetJsonValue($F$1,E48,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4"/>
        <v>1</v>
      </c>
      <c r="AB48" t="b">
        <f t="shared" si="5"/>
        <v>1</v>
      </c>
      <c r="AC48" t="b">
        <f t="shared" si="5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4"/>
        <v>1</v>
      </c>
      <c r="AB49" t="b">
        <f t="shared" si="5"/>
        <v>1</v>
      </c>
      <c r="AC49" t="b">
        <f t="shared" si="5"/>
        <v>1</v>
      </c>
    </row>
    <row r="50" spans="5:29" x14ac:dyDescent="0.4">
      <c r="E50" t="str">
        <v>fixed_leg.cashflows.[4].amout</v>
      </c>
      <c r="F50">
        <v>14000000</v>
      </c>
      <c r="G50" cm="1">
        <f t="array" ref="G50">_xll.ExLibris.Json.GetJsonValue($F$1,E50, EXLIBRIS_CONFIGURATION)</f>
        <v>14000000</v>
      </c>
      <c r="P50" t="s">
        <v>60</v>
      </c>
      <c r="Q50">
        <v>14000000</v>
      </c>
      <c r="R50">
        <v>14000000</v>
      </c>
      <c r="AA50" t="b">
        <f t="shared" si="4"/>
        <v>1</v>
      </c>
      <c r="AB50" t="b">
        <f t="shared" si="5"/>
        <v>1</v>
      </c>
      <c r="AC50" t="b">
        <f t="shared" si="5"/>
        <v>1</v>
      </c>
    </row>
    <row r="51" spans="5:29" x14ac:dyDescent="0.4">
      <c r="E51" t="str">
        <v>fixed_leg.cashflows.[4].fixed_rate</v>
      </c>
      <c r="F51">
        <v>1E-3</v>
      </c>
      <c r="G51" cm="1">
        <f t="array" ref="G51">_xll.ExLibris.Json.GetJsonValue($F$1,E51, EXLIBRIS_CONFIGURATION)</f>
        <v>1E-3</v>
      </c>
      <c r="P51" t="s">
        <v>61</v>
      </c>
      <c r="Q51">
        <v>1E-3</v>
      </c>
      <c r="R51">
        <v>1E-3</v>
      </c>
      <c r="AA51" t="b">
        <f t="shared" si="4"/>
        <v>1</v>
      </c>
      <c r="AB51" t="b">
        <f t="shared" si="5"/>
        <v>1</v>
      </c>
      <c r="AC51" t="b">
        <f t="shared" si="5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4"/>
        <v>1</v>
      </c>
      <c r="AB52" t="b">
        <f t="shared" si="5"/>
        <v>1</v>
      </c>
      <c r="AC52" t="b">
        <f t="shared" si="5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4"/>
        <v>1</v>
      </c>
      <c r="AB53" t="b">
        <f t="shared" si="5"/>
        <v>1</v>
      </c>
      <c r="AC53" t="b">
        <f t="shared" si="5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4"/>
        <v>1</v>
      </c>
      <c r="AB54" t="b">
        <f t="shared" si="5"/>
        <v>1</v>
      </c>
      <c r="AC54" t="b">
        <f t="shared" si="5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4"/>
        <v>1</v>
      </c>
      <c r="AB55" t="b">
        <f t="shared" si="5"/>
        <v>1</v>
      </c>
      <c r="AC55" t="b">
        <f t="shared" si="5"/>
        <v>1</v>
      </c>
    </row>
    <row r="56" spans="5:29" x14ac:dyDescent="0.4">
      <c r="E56" t="str">
        <v>fixed_leg.cashflows.[5].amout</v>
      </c>
      <c r="F56">
        <v>15000000</v>
      </c>
      <c r="G56" cm="1">
        <f t="array" ref="G56">_xll.ExLibris.Json.GetJsonValue($F$1,E56, EXLIBRIS_CONFIGURATION)</f>
        <v>15000000</v>
      </c>
      <c r="P56" t="s">
        <v>66</v>
      </c>
      <c r="Q56">
        <v>15000000</v>
      </c>
      <c r="R56">
        <v>15000000</v>
      </c>
      <c r="AA56" t="b">
        <f t="shared" si="4"/>
        <v>1</v>
      </c>
      <c r="AB56" t="b">
        <f t="shared" si="5"/>
        <v>1</v>
      </c>
      <c r="AC56" t="b">
        <f t="shared" si="5"/>
        <v>1</v>
      </c>
    </row>
    <row r="57" spans="5:29" x14ac:dyDescent="0.4">
      <c r="E57" t="str">
        <v>fixed_leg.cashflows.[5].fixed_rate</v>
      </c>
      <c r="F57">
        <v>1E-3</v>
      </c>
      <c r="G57" cm="1">
        <f t="array" ref="G57">_xll.ExLibris.Json.GetJsonValue($F$1,E57, EXLIBRIS_CONFIGURATION)</f>
        <v>1E-3</v>
      </c>
      <c r="P57" t="s">
        <v>67</v>
      </c>
      <c r="Q57">
        <v>1E-3</v>
      </c>
      <c r="R57">
        <v>1E-3</v>
      </c>
      <c r="AA57" t="b">
        <f t="shared" si="4"/>
        <v>1</v>
      </c>
      <c r="AB57" t="b">
        <f t="shared" si="5"/>
        <v>1</v>
      </c>
      <c r="AC57" t="b">
        <f t="shared" si="5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F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6" x14ac:dyDescent="0.4">
      <c r="B2" t="s">
        <v>84</v>
      </c>
      <c r="C2" t="str" cm="1">
        <f t="array" ref="C2">_xll.ExLibris.LoadConfiguration(B6:C15)</f>
        <v>ExLibris.Core.ExLibrisConfiguration:3DBC2D14-284C-4875-833A-7330C5C56AB2</v>
      </c>
    </row>
    <row r="4" spans="2:6" s="4" customFormat="1" ht="18" x14ac:dyDescent="0.4">
      <c r="B4" s="4" t="s">
        <v>86</v>
      </c>
      <c r="E4" s="4" t="s">
        <v>85</v>
      </c>
    </row>
    <row r="6" spans="2:6" x14ac:dyDescent="0.4">
      <c r="B6" t="s">
        <v>76</v>
      </c>
      <c r="C6" t="s">
        <v>77</v>
      </c>
      <c r="E6" t="str" cm="1">
        <f t="array" ref="E6:F15">_xll.DumpObject(EXLIBRIS_CONFIGURATION)</f>
        <v>excel_value.excel_error_to</v>
      </c>
      <c r="F6" t="str">
        <v>Error</v>
      </c>
    </row>
    <row r="7" spans="2:6" x14ac:dyDescent="0.4">
      <c r="B7" t="s">
        <v>78</v>
      </c>
      <c r="C7" t="s">
        <v>79</v>
      </c>
      <c r="E7" t="str">
        <v>excel_value.excel_missing_to</v>
      </c>
      <c r="F7" t="str">
        <v>Null</v>
      </c>
    </row>
    <row r="8" spans="2:6" x14ac:dyDescent="0.4">
      <c r="B8" t="s">
        <v>80</v>
      </c>
      <c r="C8" t="s">
        <v>79</v>
      </c>
      <c r="E8" t="str">
        <v>excel_value.excel_empty_to</v>
      </c>
      <c r="F8" t="str">
        <v>Null</v>
      </c>
    </row>
    <row r="9" spans="2:6" x14ac:dyDescent="0.4">
      <c r="B9" t="s">
        <v>81</v>
      </c>
      <c r="C9" t="s">
        <v>79</v>
      </c>
      <c r="E9" t="str">
        <v>excel_value.excel_string_empty_to</v>
      </c>
      <c r="F9" t="str">
        <v>Null</v>
      </c>
    </row>
    <row r="10" spans="2:6" x14ac:dyDescent="0.4">
      <c r="B10" t="s">
        <v>82</v>
      </c>
      <c r="C10" t="s">
        <v>87</v>
      </c>
      <c r="E10" t="str">
        <v>excel_value.null_to_excel</v>
      </c>
      <c r="F10" t="str">
        <v>StringEmpty</v>
      </c>
    </row>
    <row r="11" spans="2:6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6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6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6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6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E2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10.625" bestFit="1" customWidth="1"/>
    <col min="5" max="5" width="9.375" bestFit="1" customWidth="1"/>
  </cols>
  <sheetData>
    <row r="2" spans="2:5" s="4" customFormat="1" ht="18" x14ac:dyDescent="0.4">
      <c r="B2" s="4" t="s">
        <v>101</v>
      </c>
    </row>
    <row r="4" spans="2:5" x14ac:dyDescent="0.4">
      <c r="D4" t="s">
        <v>111</v>
      </c>
      <c r="E4" t="str" cm="1">
        <f t="array" ref="E4">_xll.ExLibris.WebSockets.OpenWebSocket("ws://localhost:10101",,D4)</f>
        <v>ExLibris.Core.WebSockets.WebsocketClient:2A1B90EA-4103-4F63-A62D-8F47A3FDC4C9</v>
      </c>
    </row>
    <row r="6" spans="2:5" x14ac:dyDescent="0.4">
      <c r="D6" t="s">
        <v>102</v>
      </c>
      <c r="E6" t="e" cm="1">
        <f t="array" ref="E6">_xll.ExLibris.WebSockets.ObserveWebSocketStatus(E4,1000)</f>
        <v>#N/A</v>
      </c>
    </row>
    <row r="7" spans="2:5" x14ac:dyDescent="0.4">
      <c r="D7" t="s">
        <v>103</v>
      </c>
      <c r="E7" t="e" cm="1">
        <f t="array" ref="E7">_xll.ExLibris.WebSockets.ObserveWebSocketMessage(E4)</f>
        <v>#N/A</v>
      </c>
    </row>
    <row r="9" spans="2:5" x14ac:dyDescent="0.4">
      <c r="D9" t="s">
        <v>104</v>
      </c>
      <c r="E9" t="e" cm="1">
        <f t="array" ref="E9">_xll.ExLibris.WebSockets.SendWebSocketMessage(E4,"test "&amp;D9,E6="Open")</f>
        <v>#N/A</v>
      </c>
    </row>
    <row r="10" spans="2:5" x14ac:dyDescent="0.4">
      <c r="D10" t="s">
        <v>105</v>
      </c>
      <c r="E10" t="e" cm="1">
        <f t="array" ref="E10">_xll.ExLibris.WebSockets.SendWebSocketMessage($E$4,"test next "&amp;D10,E9)</f>
        <v>#N/A</v>
      </c>
    </row>
    <row r="11" spans="2:5" x14ac:dyDescent="0.4">
      <c r="D11" t="s">
        <v>106</v>
      </c>
      <c r="E11" t="e" cm="1">
        <f t="array" ref="E11">_xll.ExLibris.WebSockets.SendWebSocketMessage($E$4,"test next "&amp;D11,E10)</f>
        <v>#N/A</v>
      </c>
    </row>
    <row r="12" spans="2:5" x14ac:dyDescent="0.4">
      <c r="D12" t="s">
        <v>107</v>
      </c>
      <c r="E12" t="e" cm="1">
        <f t="array" ref="E12">_xll.ExLibris.WebSockets.SendWebSocketMessage($E$4,"test next "&amp;D12,E11)</f>
        <v>#N/A</v>
      </c>
    </row>
    <row r="13" spans="2:5" x14ac:dyDescent="0.4">
      <c r="D13" t="s">
        <v>108</v>
      </c>
      <c r="E13" t="e" cm="1">
        <f t="array" ref="E13">_xll.ExLibris.WebSockets.SendWebSocketMessage($E$4,"test next "&amp;D13,E12)</f>
        <v>#N/A</v>
      </c>
    </row>
    <row r="14" spans="2:5" x14ac:dyDescent="0.4">
      <c r="D14" t="s">
        <v>109</v>
      </c>
      <c r="E14" t="e" cm="1">
        <f t="array" ref="E14">_xll.ExLibris.WebSockets.SendWebSocketMessage($E$4,"test next "&amp;D14,E13)</f>
        <v>#N/A</v>
      </c>
    </row>
    <row r="15" spans="2:5" x14ac:dyDescent="0.4">
      <c r="D15" t="s">
        <v>110</v>
      </c>
      <c r="E15" t="e" cm="1">
        <f t="array" ref="E15">_xll.ExLibris.WebSockets.SendWebSocketMessage($E$4,"test next "&amp;D15,E14)</f>
        <v>#N/A</v>
      </c>
    </row>
    <row r="17" spans="4:5" x14ac:dyDescent="0.4">
      <c r="D17" t="s">
        <v>113</v>
      </c>
      <c r="E17" t="str" cm="1">
        <f t="array" ref="E17">_xll.ExLibris.WebSockets.OpenWebSocket("ws://localhost:10101",,D17)</f>
        <v>ExLibris.Core.WebSockets.WebsocketClient:30B6D814-1245-4F5D-9185-59306DE1A74C</v>
      </c>
    </row>
    <row r="19" spans="4:5" x14ac:dyDescent="0.4">
      <c r="D19" t="s">
        <v>102</v>
      </c>
      <c r="E19" t="str" cm="1">
        <f t="array" ref="E19">_xll.ExLibris.WebSockets.ObserveWebSocketStatus(E17,1000)</f>
        <v>Open</v>
      </c>
    </row>
    <row r="20" spans="4:5" x14ac:dyDescent="0.4">
      <c r="D20" t="s">
        <v>103</v>
      </c>
      <c r="E20" t="str" cm="1">
        <f t="array" ref="E20">_xll.ExLibris.WebSockets.ObserveWebSocketMessage(E17)</f>
        <v>push_event 22:43:08</v>
      </c>
    </row>
    <row r="22" spans="4:5" x14ac:dyDescent="0.4">
      <c r="D22" t="s">
        <v>104</v>
      </c>
      <c r="E22" t="str" cm="1">
        <f t="array" ref="E22">_xll.ExLibris.WebSockets.SendWebSocketMessage(E17,"test "&amp;D22,E19="Open")</f>
        <v>message sent : 2021-09-21T10:42:23.782</v>
      </c>
    </row>
    <row r="23" spans="4:5" x14ac:dyDescent="0.4">
      <c r="D23" t="s">
        <v>105</v>
      </c>
      <c r="E23" t="str" cm="1">
        <f t="array" ref="E23">_xll.ExLibris.WebSockets.SendWebSocketMessage($E$4,"test next "&amp;D23,E22)</f>
        <v>message sent : 2021-09-21T10:42:23.801</v>
      </c>
    </row>
    <row r="24" spans="4:5" x14ac:dyDescent="0.4">
      <c r="D24" t="s">
        <v>106</v>
      </c>
      <c r="E24" t="str" cm="1">
        <f t="array" ref="E24">_xll.ExLibris.WebSockets.SendWebSocketMessage($E$4,"test next "&amp;D24,E23)</f>
        <v>message sent : 2021-09-21T10:42:23.801</v>
      </c>
    </row>
    <row r="25" spans="4:5" x14ac:dyDescent="0.4">
      <c r="D25" t="s">
        <v>107</v>
      </c>
      <c r="E25" t="str" cm="1">
        <f t="array" ref="E25">_xll.ExLibris.WebSockets.SendWebSocketMessage($E$4,"test next "&amp;D25,E24)</f>
        <v>message sent : 2021-09-21T10:42:23.818</v>
      </c>
    </row>
    <row r="26" spans="4:5" x14ac:dyDescent="0.4">
      <c r="D26" t="s">
        <v>108</v>
      </c>
      <c r="E26" t="str" cm="1">
        <f t="array" ref="E26">_xll.ExLibris.WebSockets.SendWebSocketMessage($E$4,"test next "&amp;D26,E25)</f>
        <v>message sent : 2021-09-21T10:42:23.861</v>
      </c>
    </row>
    <row r="27" spans="4:5" x14ac:dyDescent="0.4">
      <c r="D27" t="s">
        <v>109</v>
      </c>
      <c r="E27" t="str" cm="1">
        <f t="array" ref="E27">_xll.ExLibris.WebSockets.SendWebSocketMessage($E$4,"test next "&amp;D27,E26)</f>
        <v>message sent : 2021-09-21T10:42:23.878</v>
      </c>
    </row>
    <row r="28" spans="4:5" x14ac:dyDescent="0.4">
      <c r="D28" t="s">
        <v>110</v>
      </c>
      <c r="E28" t="str" cm="1">
        <f t="array" ref="E28">_xll.ExLibris.WebSockets.SendWebSocketMessage($E$4,"test next "&amp;D28,E27)</f>
        <v>message sent : 2021-09-21T10:42:23.886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1</vt:i4>
      </vt:variant>
    </vt:vector>
  </HeadingPairs>
  <TitlesOfParts>
    <vt:vector size="5" baseType="lpstr">
      <vt:lpstr>json_test</vt:lpstr>
      <vt:lpstr>json_w_conf_test</vt:lpstr>
      <vt:lpstr>configuration</vt:lpstr>
      <vt:lpstr>websocket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2021-09-21T13:43:11Z</dcterms:modified>
</cp:coreProperties>
</file>