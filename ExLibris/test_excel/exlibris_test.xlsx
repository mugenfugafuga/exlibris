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6CD0F803-07AD-4DCD-A8FD-1953ACC33668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7" r:id="rId1"/>
    <sheet name="json_test_async" sheetId="1" r:id="rId2"/>
    <sheet name="json_w_conf_test_async" sheetId="4" r:id="rId3"/>
    <sheet name="configuration" sheetId="2" r:id="rId4"/>
    <sheet name="websocket" sheetId="3" r:id="rId5"/>
    <sheet name="webapi" sheetId="5" r:id="rId6"/>
    <sheet name="webapi github" sheetId="6" r:id="rId7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C9" i="1"/>
  <c r="AS79" i="1"/>
  <c r="AR79" i="1"/>
  <c r="AS78" i="1"/>
  <c r="AR78" i="1"/>
  <c r="AS77" i="1"/>
  <c r="AR77" i="1"/>
  <c r="AS76" i="1"/>
  <c r="AR76" i="1"/>
  <c r="AS75" i="1"/>
  <c r="AR75" i="1"/>
  <c r="AS74" i="1"/>
  <c r="AR74" i="1"/>
  <c r="AS72" i="1"/>
  <c r="AR72" i="1"/>
  <c r="AS71" i="1"/>
  <c r="AR71" i="1"/>
  <c r="AS70" i="1"/>
  <c r="AR70" i="1"/>
  <c r="AS69" i="1"/>
  <c r="AR69" i="1"/>
  <c r="AS68" i="1"/>
  <c r="AR68" i="1"/>
  <c r="AS67" i="1"/>
  <c r="AR67" i="1"/>
  <c r="C10" i="7"/>
  <c r="C9" i="7"/>
  <c r="AS79" i="7"/>
  <c r="AR79" i="7"/>
  <c r="AS78" i="7"/>
  <c r="AR78" i="7"/>
  <c r="AS77" i="7"/>
  <c r="AR77" i="7"/>
  <c r="AS76" i="7"/>
  <c r="AR76" i="7"/>
  <c r="AS75" i="7"/>
  <c r="AR75" i="7"/>
  <c r="AS74" i="7"/>
  <c r="AR74" i="7"/>
  <c r="AS72" i="7"/>
  <c r="AR72" i="7"/>
  <c r="AS71" i="7"/>
  <c r="AR71" i="7"/>
  <c r="AS70" i="7"/>
  <c r="AR70" i="7"/>
  <c r="AS69" i="7"/>
  <c r="AR69" i="7"/>
  <c r="AS68" i="7"/>
  <c r="AR68" i="7"/>
  <c r="AS67" i="7"/>
  <c r="AR67" i="7"/>
  <c r="D14" i="5"/>
  <c r="I10" i="7"/>
  <c r="I11" i="7" s="1"/>
  <c r="I12" i="7" s="1"/>
  <c r="I13" i="7" s="1"/>
  <c r="I14" i="7" s="1"/>
  <c r="G9" i="7"/>
  <c r="F10" i="7" s="1"/>
  <c r="G10" i="7" s="1"/>
  <c r="D49" i="5"/>
  <c r="E49" i="5" s="1"/>
  <c r="P74" i="1" a="1"/>
  <c r="P67" i="1" a="1"/>
  <c r="P74" i="7" a="1"/>
  <c r="P67" i="7" a="1"/>
  <c r="E19" i="4" a="1"/>
  <c r="P19" i="1" a="1"/>
  <c r="P19" i="7" a="1"/>
  <c r="B5" i="5" a="1"/>
  <c r="B2" i="6" a="1"/>
  <c r="F6" i="1" a="1"/>
  <c r="D5" i="3" a="1"/>
  <c r="C2" i="2" a="1"/>
  <c r="D6" i="3" a="1"/>
  <c r="D50" i="5" a="1"/>
  <c r="F6" i="7" a="1"/>
  <c r="H5" i="5" a="1"/>
  <c r="D4" i="3" a="1"/>
  <c r="D8" i="3" a="1"/>
  <c r="D7" i="3" a="1"/>
  <c r="P74" i="1" l="1"/>
  <c r="P67" i="1"/>
  <c r="P74" i="7"/>
  <c r="P67" i="7"/>
  <c r="E19" i="4"/>
  <c r="P19" i="1"/>
  <c r="P19" i="7"/>
  <c r="F6" i="7"/>
  <c r="E10" i="7"/>
  <c r="F11" i="7"/>
  <c r="G11" i="7" s="1"/>
  <c r="E9" i="7"/>
  <c r="D7" i="3"/>
  <c r="D6" i="3"/>
  <c r="D8" i="3"/>
  <c r="D5" i="3"/>
  <c r="B2" i="6"/>
  <c r="D4" i="3"/>
  <c r="H5" i="5"/>
  <c r="B5" i="5"/>
  <c r="C2" i="2"/>
  <c r="K1" i="7" s="1"/>
  <c r="F6" i="1"/>
  <c r="D50" i="5"/>
  <c r="G7" i="3" a="1"/>
  <c r="F1" i="7" a="1"/>
  <c r="G6" i="3" a="1"/>
  <c r="D51" i="5" a="1"/>
  <c r="D52" i="5" a="1"/>
  <c r="F6" i="4" a="1"/>
  <c r="F5" i="3" a="1"/>
  <c r="F6" i="3" a="1"/>
  <c r="G5" i="3" a="1"/>
  <c r="F7" i="3" a="1"/>
  <c r="F8" i="3" a="1"/>
  <c r="G8" i="3" a="1"/>
  <c r="E6" i="2" a="1"/>
  <c r="F1" i="7" l="1"/>
  <c r="F12" i="7"/>
  <c r="G12" i="7" s="1"/>
  <c r="E11" i="7"/>
  <c r="F5" i="3"/>
  <c r="G5" i="3"/>
  <c r="F8" i="3"/>
  <c r="G8" i="3"/>
  <c r="F6" i="3"/>
  <c r="G6" i="3"/>
  <c r="G7" i="3"/>
  <c r="F7" i="3"/>
  <c r="D52" i="5"/>
  <c r="E52" i="5" s="1"/>
  <c r="F6" i="4"/>
  <c r="E6" i="2"/>
  <c r="D51" i="5"/>
  <c r="E51" i="5" s="1"/>
  <c r="C5" i="6"/>
  <c r="D34" i="5"/>
  <c r="E34" i="5" s="1"/>
  <c r="D29" i="5"/>
  <c r="E29" i="5" s="1"/>
  <c r="D24" i="5"/>
  <c r="E24" i="5" s="1"/>
  <c r="D19" i="5"/>
  <c r="E19" i="5" s="1"/>
  <c r="E14" i="5"/>
  <c r="D44" i="5" a="1"/>
  <c r="D39" i="5" a="1"/>
  <c r="E19" i="7" a="1"/>
  <c r="G48" i="7" a="1"/>
  <c r="M6" i="7" a="1"/>
  <c r="G23" i="7" a="1"/>
  <c r="G32" i="7" a="1"/>
  <c r="G27" i="7" a="1"/>
  <c r="I19" i="7" a="1"/>
  <c r="G34" i="7" a="1"/>
  <c r="G36" i="7" a="1"/>
  <c r="G51" i="7" a="1"/>
  <c r="G55" i="7" a="1"/>
  <c r="D15" i="5" a="1"/>
  <c r="G20" i="7" a="1"/>
  <c r="G22" i="7" a="1"/>
  <c r="G57" i="7" a="1"/>
  <c r="G33" i="7" a="1"/>
  <c r="G53" i="7" a="1"/>
  <c r="G35" i="7" a="1"/>
  <c r="G46" i="7" a="1"/>
  <c r="G42" i="7" a="1"/>
  <c r="G40" i="7" a="1"/>
  <c r="G30" i="7" a="1"/>
  <c r="G26" i="7" a="1"/>
  <c r="G52" i="7" a="1"/>
  <c r="G56" i="7" a="1"/>
  <c r="G41" i="7" a="1"/>
  <c r="G37" i="7" a="1"/>
  <c r="G31" i="7" a="1"/>
  <c r="G45" i="7" a="1"/>
  <c r="G25" i="7" a="1"/>
  <c r="G29" i="7" a="1"/>
  <c r="G44" i="7" a="1"/>
  <c r="G38" i="7" a="1"/>
  <c r="G28" i="7" a="1"/>
  <c r="D20" i="5" a="1"/>
  <c r="G50" i="7" a="1"/>
  <c r="G43" i="7" a="1"/>
  <c r="G47" i="7" a="1"/>
  <c r="G49" i="7" a="1"/>
  <c r="G39" i="7" a="1"/>
  <c r="G24" i="7" a="1"/>
  <c r="G54" i="7" a="1"/>
  <c r="G21" i="7" a="1"/>
  <c r="G30" i="7" l="1"/>
  <c r="G53" i="7"/>
  <c r="G57" i="7"/>
  <c r="G48" i="7"/>
  <c r="G36" i="7"/>
  <c r="G43" i="7"/>
  <c r="M6" i="7"/>
  <c r="G45" i="7"/>
  <c r="G49" i="7"/>
  <c r="G40" i="7"/>
  <c r="G28" i="7"/>
  <c r="G23" i="7"/>
  <c r="G35" i="7"/>
  <c r="G41" i="7"/>
  <c r="G37" i="7"/>
  <c r="G32" i="7"/>
  <c r="G39" i="7"/>
  <c r="G26" i="7"/>
  <c r="G25" i="7"/>
  <c r="G46" i="7"/>
  <c r="G50" i="7"/>
  <c r="G27" i="7"/>
  <c r="G22" i="7"/>
  <c r="G42" i="7"/>
  <c r="G52" i="7"/>
  <c r="G33" i="7"/>
  <c r="G29" i="7"/>
  <c r="G20" i="7"/>
  <c r="G34" i="7"/>
  <c r="G54" i="7"/>
  <c r="G21" i="7"/>
  <c r="G31" i="7"/>
  <c r="G24" i="7"/>
  <c r="G55" i="7"/>
  <c r="G51" i="7"/>
  <c r="I19" i="7"/>
  <c r="G38" i="7"/>
  <c r="G56" i="7"/>
  <c r="G44" i="7"/>
  <c r="G47" i="7"/>
  <c r="E19" i="7"/>
  <c r="E12" i="7"/>
  <c r="F13" i="7"/>
  <c r="G13" i="7" s="1"/>
  <c r="D39" i="5"/>
  <c r="E39" i="5" s="1"/>
  <c r="D44" i="5"/>
  <c r="E44" i="5" s="1"/>
  <c r="D20" i="5"/>
  <c r="D15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D45" i="5" a="1"/>
  <c r="D16" i="5" a="1"/>
  <c r="C6" i="6" a="1"/>
  <c r="G19" i="7" a="1"/>
  <c r="I28" i="7" a="1"/>
  <c r="D21" i="5" a="1"/>
  <c r="D22" i="5" a="1"/>
  <c r="P29" i="7" a="1"/>
  <c r="D17" i="5" a="1"/>
  <c r="P29" i="7" l="1"/>
  <c r="D17" i="5"/>
  <c r="E17" i="5" s="1"/>
  <c r="I28" i="7"/>
  <c r="G19" i="7"/>
  <c r="E13" i="7"/>
  <c r="F14" i="7"/>
  <c r="G14" i="7" s="1"/>
  <c r="E14" i="7" s="1"/>
  <c r="D22" i="5"/>
  <c r="E22" i="5" s="1"/>
  <c r="C6" i="6"/>
  <c r="D45" i="5"/>
  <c r="D21" i="5"/>
  <c r="E21" i="5" s="1"/>
  <c r="D16" i="5"/>
  <c r="E16" i="5" s="1"/>
  <c r="F10" i="4"/>
  <c r="G10" i="4" s="1"/>
  <c r="F10" i="1"/>
  <c r="G10" i="1" s="1"/>
  <c r="F11" i="1" s="1"/>
  <c r="G11" i="1" s="1"/>
  <c r="F12" i="1" s="1"/>
  <c r="G12" i="1" s="1"/>
  <c r="E12" i="1" s="1"/>
  <c r="C8" i="6" a="1"/>
  <c r="D46" i="5" a="1"/>
  <c r="D25" i="5" a="1"/>
  <c r="D35" i="5" a="1"/>
  <c r="D40" i="5" a="1"/>
  <c r="D30" i="5" a="1"/>
  <c r="G4" i="3" a="1"/>
  <c r="F4" i="3" a="1"/>
  <c r="C7" i="6" a="1"/>
  <c r="D47" i="5" a="1"/>
  <c r="D47" i="5" l="1"/>
  <c r="E47" i="5" s="1"/>
  <c r="C8" i="6"/>
  <c r="D25" i="5"/>
  <c r="C7" i="6"/>
  <c r="D46" i="5"/>
  <c r="E46" i="5" s="1"/>
  <c r="D40" i="5"/>
  <c r="D30" i="5"/>
  <c r="D35" i="5"/>
  <c r="K1" i="1"/>
  <c r="K1" i="4"/>
  <c r="F11" i="4"/>
  <c r="G11" i="4" s="1"/>
  <c r="E10" i="4"/>
  <c r="G4" i="3"/>
  <c r="F4" i="3"/>
  <c r="F13" i="1"/>
  <c r="G13" i="1" s="1"/>
  <c r="F14" i="1" s="1"/>
  <c r="G14" i="1" s="1"/>
  <c r="E14" i="1" s="1"/>
  <c r="E10" i="1"/>
  <c r="E11" i="1"/>
  <c r="D36" i="5" a="1"/>
  <c r="D42" i="5" a="1"/>
  <c r="D37" i="5" a="1"/>
  <c r="H7" i="3" a="1"/>
  <c r="D32" i="5" a="1"/>
  <c r="H5" i="3" a="1"/>
  <c r="D41" i="5" a="1"/>
  <c r="D27" i="5" a="1"/>
  <c r="H8" i="3" a="1"/>
  <c r="C10" i="6" a="1"/>
  <c r="D26" i="5" a="1"/>
  <c r="H4" i="3" a="1"/>
  <c r="D31" i="5" a="1"/>
  <c r="H6" i="3" a="1"/>
  <c r="H7" i="3" l="1"/>
  <c r="H6" i="3"/>
  <c r="H5" i="3"/>
  <c r="H8" i="3"/>
  <c r="H4" i="3"/>
  <c r="D37" i="5"/>
  <c r="E37" i="5" s="1"/>
  <c r="D42" i="5"/>
  <c r="E42" i="5" s="1"/>
  <c r="D27" i="5"/>
  <c r="E27" i="5" s="1"/>
  <c r="D32" i="5"/>
  <c r="E32" i="5" s="1"/>
  <c r="C10" i="6"/>
  <c r="D36" i="5"/>
  <c r="E36" i="5" s="1"/>
  <c r="D31" i="5"/>
  <c r="E31" i="5" s="1"/>
  <c r="D41" i="5"/>
  <c r="E41" i="5" s="1"/>
  <c r="D26" i="5"/>
  <c r="E26" i="5" s="1"/>
  <c r="E11" i="4"/>
  <c r="F12" i="4"/>
  <c r="G12" i="4" s="1"/>
  <c r="E13" i="1"/>
  <c r="I6" i="3" a="1"/>
  <c r="I4" i="3" a="1"/>
  <c r="I8" i="3" a="1"/>
  <c r="C11" i="6" a="1"/>
  <c r="I5" i="3" a="1"/>
  <c r="I7" i="3" a="1"/>
  <c r="B12" i="5" l="1"/>
  <c r="I5" i="3"/>
  <c r="I6" i="3"/>
  <c r="I7" i="3"/>
  <c r="I8" i="3"/>
  <c r="I4" i="3"/>
  <c r="AS21" i="7"/>
  <c r="AS19" i="7"/>
  <c r="AS20" i="7"/>
  <c r="AR20" i="7"/>
  <c r="AR21" i="7"/>
  <c r="AR19" i="7"/>
  <c r="C5" i="7"/>
  <c r="AI55" i="7"/>
  <c r="AH54" i="7"/>
  <c r="AG53" i="7"/>
  <c r="AI47" i="7"/>
  <c r="AH46" i="7"/>
  <c r="AG45" i="7"/>
  <c r="AI39" i="7"/>
  <c r="AH38" i="7"/>
  <c r="AG37" i="7"/>
  <c r="AI31" i="7"/>
  <c r="AI25" i="7"/>
  <c r="AG23" i="7"/>
  <c r="AG21" i="7"/>
  <c r="AI56" i="7"/>
  <c r="AH55" i="7"/>
  <c r="AG54" i="7"/>
  <c r="AI48" i="7"/>
  <c r="AH47" i="7"/>
  <c r="AG46" i="7"/>
  <c r="AI40" i="7"/>
  <c r="AH39" i="7"/>
  <c r="AG38" i="7"/>
  <c r="AI32" i="7"/>
  <c r="AH31" i="7"/>
  <c r="AH25" i="7"/>
  <c r="AI22" i="7"/>
  <c r="AH52" i="7"/>
  <c r="AG35" i="7"/>
  <c r="AH30" i="7"/>
  <c r="AI57" i="7"/>
  <c r="AH56" i="7"/>
  <c r="AG55" i="7"/>
  <c r="AI49" i="7"/>
  <c r="AH48" i="7"/>
  <c r="AG47" i="7"/>
  <c r="AI41" i="7"/>
  <c r="AH40" i="7"/>
  <c r="AG39" i="7"/>
  <c r="AI33" i="7"/>
  <c r="AH32" i="7"/>
  <c r="AG31" i="7"/>
  <c r="AI29" i="7"/>
  <c r="AI27" i="7"/>
  <c r="AG25" i="7"/>
  <c r="AH22" i="7"/>
  <c r="AI53" i="7"/>
  <c r="AG51" i="7"/>
  <c r="AI45" i="7"/>
  <c r="AH44" i="7"/>
  <c r="AG43" i="7"/>
  <c r="AI37" i="7"/>
  <c r="AH36" i="7"/>
  <c r="AH26" i="7"/>
  <c r="AI23" i="7"/>
  <c r="AI21" i="7"/>
  <c r="AH57" i="7"/>
  <c r="AG56" i="7"/>
  <c r="AI50" i="7"/>
  <c r="AH49" i="7"/>
  <c r="AG48" i="7"/>
  <c r="AI42" i="7"/>
  <c r="AH41" i="7"/>
  <c r="AG40" i="7"/>
  <c r="AI34" i="7"/>
  <c r="AH33" i="7"/>
  <c r="AG32" i="7"/>
  <c r="AH29" i="7"/>
  <c r="AI28" i="7"/>
  <c r="AH27" i="7"/>
  <c r="AI24" i="7"/>
  <c r="AG22" i="7"/>
  <c r="AI20" i="7"/>
  <c r="AG57" i="7"/>
  <c r="AI51" i="7"/>
  <c r="AH50" i="7"/>
  <c r="AG49" i="7"/>
  <c r="AI43" i="7"/>
  <c r="AH42" i="7"/>
  <c r="AG41" i="7"/>
  <c r="AI35" i="7"/>
  <c r="AH34" i="7"/>
  <c r="AG33" i="7"/>
  <c r="AG29" i="7"/>
  <c r="AH28" i="7"/>
  <c r="AG27" i="7"/>
  <c r="AH24" i="7"/>
  <c r="AH20" i="7"/>
  <c r="AI19" i="7"/>
  <c r="AI52" i="7"/>
  <c r="AH51" i="7"/>
  <c r="AG50" i="7"/>
  <c r="AI44" i="7"/>
  <c r="AH43" i="7"/>
  <c r="AG42" i="7"/>
  <c r="AI36" i="7"/>
  <c r="AH35" i="7"/>
  <c r="AG34" i="7"/>
  <c r="AI30" i="7"/>
  <c r="AG28" i="7"/>
  <c r="AI26" i="7"/>
  <c r="AG24" i="7"/>
  <c r="AG20" i="7"/>
  <c r="AI54" i="7"/>
  <c r="AH53" i="7"/>
  <c r="AG52" i="7"/>
  <c r="AI46" i="7"/>
  <c r="AH45" i="7"/>
  <c r="AG44" i="7"/>
  <c r="AI38" i="7"/>
  <c r="AH37" i="7"/>
  <c r="AG36" i="7"/>
  <c r="AG30" i="7"/>
  <c r="AG26" i="7"/>
  <c r="AH23" i="7"/>
  <c r="AH21" i="7"/>
  <c r="C11" i="6"/>
  <c r="F13" i="4"/>
  <c r="G13" i="4" s="1"/>
  <c r="E12" i="4"/>
  <c r="F1" i="1" a="1"/>
  <c r="I20" i="7" a="1"/>
  <c r="J5" i="3" a="1"/>
  <c r="J7" i="3" a="1"/>
  <c r="J8" i="3" a="1"/>
  <c r="P30" i="7" a="1"/>
  <c r="J4" i="3" a="1"/>
  <c r="J6" i="3" a="1"/>
  <c r="J7" i="3" l="1"/>
  <c r="J6" i="3"/>
  <c r="J8" i="3"/>
  <c r="J5" i="3"/>
  <c r="J4" i="3"/>
  <c r="C7" i="7"/>
  <c r="AS65" i="7"/>
  <c r="AS61" i="7"/>
  <c r="AS57" i="7"/>
  <c r="AR56" i="7"/>
  <c r="AS49" i="7"/>
  <c r="AR48" i="7"/>
  <c r="AS41" i="7"/>
  <c r="AR40" i="7"/>
  <c r="AS33" i="7"/>
  <c r="AR32" i="7"/>
  <c r="P30" i="7"/>
  <c r="AR30" i="7" s="1"/>
  <c r="AR65" i="7"/>
  <c r="AR61" i="7"/>
  <c r="AR57" i="7"/>
  <c r="AS50" i="7"/>
  <c r="AR49" i="7"/>
  <c r="AS42" i="7"/>
  <c r="AR41" i="7"/>
  <c r="AS34" i="7"/>
  <c r="AR33" i="7"/>
  <c r="AS58" i="7"/>
  <c r="AR54" i="7"/>
  <c r="AR38" i="7"/>
  <c r="AS64" i="7"/>
  <c r="AS60" i="7"/>
  <c r="AS51" i="7"/>
  <c r="AR50" i="7"/>
  <c r="AS43" i="7"/>
  <c r="AR42" i="7"/>
  <c r="AS35" i="7"/>
  <c r="AR34" i="7"/>
  <c r="AS62" i="7"/>
  <c r="AS55" i="7"/>
  <c r="AS47" i="7"/>
  <c r="AR46" i="7"/>
  <c r="AS39" i="7"/>
  <c r="AR64" i="7"/>
  <c r="AR60" i="7"/>
  <c r="AS52" i="7"/>
  <c r="AR51" i="7"/>
  <c r="AS44" i="7"/>
  <c r="AR43" i="7"/>
  <c r="AS36" i="7"/>
  <c r="AR35" i="7"/>
  <c r="AS63" i="7"/>
  <c r="AS59" i="7"/>
  <c r="AS53" i="7"/>
  <c r="AR52" i="7"/>
  <c r="AS45" i="7"/>
  <c r="AR44" i="7"/>
  <c r="AS37" i="7"/>
  <c r="AR36" i="7"/>
  <c r="AS31" i="7"/>
  <c r="AR63" i="7"/>
  <c r="AR59" i="7"/>
  <c r="AS54" i="7"/>
  <c r="AR53" i="7"/>
  <c r="AS46" i="7"/>
  <c r="AR45" i="7"/>
  <c r="AS38" i="7"/>
  <c r="AR37" i="7"/>
  <c r="AS30" i="7"/>
  <c r="AR62" i="7"/>
  <c r="AR58" i="7"/>
  <c r="AS56" i="7"/>
  <c r="AR55" i="7"/>
  <c r="AS48" i="7"/>
  <c r="AR47" i="7"/>
  <c r="AS40" i="7"/>
  <c r="AR39" i="7"/>
  <c r="AS32" i="7"/>
  <c r="AR31" i="7"/>
  <c r="AO26" i="7"/>
  <c r="AM24" i="7"/>
  <c r="AP23" i="7"/>
  <c r="AK22" i="7"/>
  <c r="AP21" i="7"/>
  <c r="AM20" i="7"/>
  <c r="AN26" i="7"/>
  <c r="AL24" i="7"/>
  <c r="AO23" i="7"/>
  <c r="AO21" i="7"/>
  <c r="AL20" i="7"/>
  <c r="AM26" i="7"/>
  <c r="AP25" i="7"/>
  <c r="AK24" i="7"/>
  <c r="AN23" i="7"/>
  <c r="AN21" i="7"/>
  <c r="AO24" i="7"/>
  <c r="AL26" i="7"/>
  <c r="AO25" i="7"/>
  <c r="AM23" i="7"/>
  <c r="AP22" i="7"/>
  <c r="AM21" i="7"/>
  <c r="AL25" i="7"/>
  <c r="I20" i="7"/>
  <c r="AK20" i="7" s="1"/>
  <c r="AK26" i="7"/>
  <c r="AN25" i="7"/>
  <c r="AL23" i="7"/>
  <c r="AO22" i="7"/>
  <c r="AL21" i="7"/>
  <c r="AO20" i="7"/>
  <c r="AM25" i="7"/>
  <c r="AP24" i="7"/>
  <c r="AK23" i="7"/>
  <c r="AN22" i="7"/>
  <c r="AK21" i="7"/>
  <c r="AP20" i="7"/>
  <c r="AM22" i="7"/>
  <c r="AP26" i="7"/>
  <c r="AK25" i="7"/>
  <c r="AN24" i="7"/>
  <c r="AL22" i="7"/>
  <c r="AN20" i="7"/>
  <c r="AG19" i="7"/>
  <c r="AH19" i="7"/>
  <c r="F1" i="1"/>
  <c r="E13" i="4"/>
  <c r="F14" i="4"/>
  <c r="G14" i="4" s="1"/>
  <c r="E14" i="4" s="1"/>
  <c r="G42" i="1" a="1"/>
  <c r="G28" i="1" a="1"/>
  <c r="G48" i="1" a="1"/>
  <c r="M6" i="1" a="1"/>
  <c r="G20" i="1" a="1"/>
  <c r="G24" i="1" a="1"/>
  <c r="G31" i="1" a="1"/>
  <c r="G45" i="1" a="1"/>
  <c r="G43" i="1" a="1"/>
  <c r="G25" i="1" a="1"/>
  <c r="G40" i="1" a="1"/>
  <c r="G50" i="1" a="1"/>
  <c r="G47" i="1" a="1"/>
  <c r="G36" i="1" a="1"/>
  <c r="G38" i="1" a="1"/>
  <c r="G53" i="1" a="1"/>
  <c r="G52" i="1" a="1"/>
  <c r="G35" i="1" a="1"/>
  <c r="G33" i="1" a="1"/>
  <c r="G30" i="1" a="1"/>
  <c r="G27" i="1" a="1"/>
  <c r="G51" i="1" a="1"/>
  <c r="G57" i="1" a="1"/>
  <c r="G49" i="1" a="1"/>
  <c r="I29" i="7" a="1"/>
  <c r="G32" i="1" a="1"/>
  <c r="G41" i="1" a="1"/>
  <c r="G34" i="1" a="1"/>
  <c r="G56" i="1" a="1"/>
  <c r="I19" i="1" a="1"/>
  <c r="E19" i="1" a="1"/>
  <c r="G54" i="1" a="1"/>
  <c r="G21" i="1" a="1"/>
  <c r="G23" i="1" a="1"/>
  <c r="G39" i="1" a="1"/>
  <c r="G26" i="1" a="1"/>
  <c r="G37" i="1" a="1"/>
  <c r="G55" i="1" a="1"/>
  <c r="G44" i="1" a="1"/>
  <c r="G22" i="1" a="1"/>
  <c r="G46" i="1" a="1"/>
  <c r="G29" i="1" a="1"/>
  <c r="M6" i="1" l="1"/>
  <c r="C5" i="1" s="1"/>
  <c r="AO30" i="7"/>
  <c r="AL29" i="7"/>
  <c r="AN30" i="7"/>
  <c r="AM30" i="7"/>
  <c r="AN29" i="7"/>
  <c r="AL30" i="7"/>
  <c r="AK30" i="7"/>
  <c r="AP29" i="7"/>
  <c r="AO29" i="7"/>
  <c r="AP30" i="7"/>
  <c r="AM29" i="7"/>
  <c r="I29" i="7"/>
  <c r="AK29" i="7" s="1"/>
  <c r="C8" i="7"/>
  <c r="C3" i="7"/>
  <c r="C4" i="7"/>
  <c r="G48" i="1"/>
  <c r="G55" i="1"/>
  <c r="G39" i="1"/>
  <c r="G26" i="1"/>
  <c r="G33" i="1"/>
  <c r="AR19" i="1"/>
  <c r="G44" i="1"/>
  <c r="G51" i="1"/>
  <c r="G54" i="1"/>
  <c r="G22" i="1"/>
  <c r="G29" i="1"/>
  <c r="G40" i="1"/>
  <c r="G47" i="1"/>
  <c r="G50" i="1"/>
  <c r="G57" i="1"/>
  <c r="G25" i="1"/>
  <c r="G36" i="1"/>
  <c r="G46" i="1"/>
  <c r="G21" i="1"/>
  <c r="G32" i="1"/>
  <c r="G42" i="1"/>
  <c r="G38" i="1"/>
  <c r="G56" i="1"/>
  <c r="G24" i="1"/>
  <c r="G27" i="1"/>
  <c r="G34" i="1"/>
  <c r="G41" i="1"/>
  <c r="G52" i="1"/>
  <c r="G20" i="1"/>
  <c r="G23" i="1"/>
  <c r="G30" i="1"/>
  <c r="G37" i="1"/>
  <c r="G43" i="1"/>
  <c r="G53" i="1"/>
  <c r="G35" i="1"/>
  <c r="G49" i="1"/>
  <c r="I19" i="1"/>
  <c r="G28" i="1"/>
  <c r="G31" i="1"/>
  <c r="G45" i="1"/>
  <c r="E19" i="1"/>
  <c r="AS21" i="1"/>
  <c r="AR21" i="1"/>
  <c r="AS19" i="1"/>
  <c r="AS20" i="1"/>
  <c r="AR20" i="1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F1" i="4" a="1"/>
  <c r="I28" i="1" a="1"/>
  <c r="P29" i="1" a="1"/>
  <c r="I20" i="1" a="1"/>
  <c r="G19" i="1" a="1"/>
  <c r="P29" i="1" l="1"/>
  <c r="C6" i="7"/>
  <c r="G19" i="1"/>
  <c r="I28" i="1"/>
  <c r="I20" i="1"/>
  <c r="AK20" i="1" s="1"/>
  <c r="F1" i="4"/>
  <c r="C7" i="1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G22" i="4" a="1"/>
  <c r="G38" i="4" a="1"/>
  <c r="G31" i="4" a="1"/>
  <c r="G55" i="4" a="1"/>
  <c r="G43" i="4" a="1"/>
  <c r="I29" i="1" a="1"/>
  <c r="G46" i="4" a="1"/>
  <c r="G54" i="4" a="1"/>
  <c r="G35" i="4" a="1"/>
  <c r="G21" i="4" a="1"/>
  <c r="G57" i="4" a="1"/>
  <c r="G48" i="4" a="1"/>
  <c r="G49" i="4" a="1"/>
  <c r="G53" i="4" a="1"/>
  <c r="G42" i="4" a="1"/>
  <c r="G39" i="4" a="1"/>
  <c r="G25" i="4" a="1"/>
  <c r="I32" i="4" a="1"/>
  <c r="G51" i="4" a="1"/>
  <c r="M6" i="4" a="1"/>
  <c r="G56" i="4" a="1"/>
  <c r="G30" i="4" a="1"/>
  <c r="G36" i="4" a="1"/>
  <c r="I19" i="4" a="1"/>
  <c r="G45" i="4" a="1"/>
  <c r="G50" i="4" a="1"/>
  <c r="P30" i="1" a="1"/>
  <c r="G23" i="4" a="1"/>
  <c r="G37" i="4" a="1"/>
  <c r="G41" i="4" a="1"/>
  <c r="G44" i="4" a="1"/>
  <c r="G32" i="4" a="1"/>
  <c r="G24" i="4" a="1"/>
  <c r="G47" i="4" a="1"/>
  <c r="G29" i="4" a="1"/>
  <c r="G52" i="4" a="1"/>
  <c r="G20" i="4" a="1"/>
  <c r="G28" i="4" a="1"/>
  <c r="G26" i="4" a="1"/>
  <c r="G40" i="4" a="1"/>
  <c r="G27" i="4" a="1"/>
  <c r="G34" i="4" a="1"/>
  <c r="G33" i="4" a="1"/>
  <c r="P30" i="1" l="1"/>
  <c r="AR30" i="1" s="1"/>
  <c r="M6" i="4"/>
  <c r="C5" i="4" s="1"/>
  <c r="G45" i="4"/>
  <c r="G36" i="4"/>
  <c r="G20" i="4"/>
  <c r="G31" i="4"/>
  <c r="G26" i="4"/>
  <c r="G41" i="4"/>
  <c r="G24" i="4"/>
  <c r="G23" i="4"/>
  <c r="G54" i="4"/>
  <c r="G22" i="4"/>
  <c r="G37" i="4"/>
  <c r="G27" i="4"/>
  <c r="G55" i="4"/>
  <c r="G50" i="4"/>
  <c r="I19" i="4"/>
  <c r="G33" i="4"/>
  <c r="G56" i="4"/>
  <c r="G51" i="4"/>
  <c r="G46" i="4"/>
  <c r="G21" i="4"/>
  <c r="G48" i="4"/>
  <c r="G42" i="4"/>
  <c r="G40" i="4"/>
  <c r="G43" i="4"/>
  <c r="G57" i="4"/>
  <c r="G53" i="4"/>
  <c r="G52" i="4"/>
  <c r="G32" i="4"/>
  <c r="G39" i="4"/>
  <c r="G34" i="4"/>
  <c r="I32" i="4"/>
  <c r="G49" i="4"/>
  <c r="G44" i="4"/>
  <c r="G28" i="4"/>
  <c r="G35" i="4"/>
  <c r="G30" i="4"/>
  <c r="G29" i="4"/>
  <c r="G47" i="4"/>
  <c r="G25" i="4"/>
  <c r="G38" i="4"/>
  <c r="I29" i="1"/>
  <c r="AK29" i="1" s="1"/>
  <c r="AR47" i="1"/>
  <c r="AS50" i="1"/>
  <c r="AR54" i="1"/>
  <c r="AS53" i="1"/>
  <c r="AR53" i="1"/>
  <c r="AS56" i="1"/>
  <c r="AR60" i="1"/>
  <c r="AS59" i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C3" i="1"/>
  <c r="C4" i="1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AL29" i="1"/>
  <c r="AM30" i="1"/>
  <c r="AP30" i="1"/>
  <c r="AM29" i="1"/>
  <c r="AN29" i="1"/>
  <c r="AO30" i="1"/>
  <c r="AP29" i="1"/>
  <c r="AN30" i="1"/>
  <c r="AL30" i="1"/>
  <c r="AO29" i="1"/>
  <c r="AK30" i="1"/>
  <c r="I42" i="4" a="1"/>
  <c r="I33" i="4" a="1"/>
  <c r="I38" i="4" a="1"/>
  <c r="G19" i="4" a="1"/>
  <c r="I20" i="4" a="1"/>
  <c r="I28" i="4" a="1"/>
  <c r="I38" i="4" l="1"/>
  <c r="I33" i="4"/>
  <c r="I42" i="4"/>
  <c r="G19" i="4"/>
  <c r="I28" i="4"/>
  <c r="I20" i="4"/>
  <c r="AE20" i="4" s="1"/>
  <c r="C8" i="1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AF26" i="4"/>
  <c r="AJ22" i="4"/>
  <c r="AB19" i="4"/>
  <c r="AA19" i="4"/>
  <c r="C6" i="1"/>
  <c r="I29" i="4" a="1"/>
  <c r="I34" i="4" a="1"/>
  <c r="I39" i="4" a="1"/>
  <c r="I43" i="4" a="1"/>
  <c r="I39" i="4" l="1"/>
  <c r="AE39" i="4" s="1"/>
  <c r="I43" i="4"/>
  <c r="AE43" i="4" s="1"/>
  <c r="C9" i="4" s="1"/>
  <c r="I34" i="4"/>
  <c r="AE34" i="4" s="1"/>
  <c r="I29" i="4"/>
  <c r="AE29" i="4" s="1"/>
  <c r="AI40" i="4"/>
  <c r="AG39" i="4"/>
  <c r="AF40" i="4"/>
  <c r="AI39" i="4"/>
  <c r="AJ40" i="4"/>
  <c r="AH39" i="4"/>
  <c r="AH40" i="4"/>
  <c r="AF39" i="4"/>
  <c r="AG40" i="4"/>
  <c r="AE40" i="4"/>
  <c r="AJ39" i="4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C3" i="4"/>
  <c r="AI30" i="4"/>
  <c r="AH30" i="4"/>
  <c r="AG30" i="4"/>
  <c r="AJ29" i="4"/>
  <c r="AF30" i="4"/>
  <c r="AI29" i="4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<sst xmlns="http://schemas.openxmlformats.org/spreadsheetml/2006/main" count="691" uniqueCount="183">
  <si>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</si>
  <si>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</si>
  <si>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</si>
  <si>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</si>
  <si>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</si>
  <si>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</si>
  <si>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</si>
  <si>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</si>
  <si>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</si>
  <si>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</si>
  <si>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</si>
  <si>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</si>
  <si>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</si>
  <si>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</si>
  <si>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</si>
  <si>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</si>
  <si>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</si>
  <si>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</si>
  <si>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</si>
  <si>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</si>
  <si>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</si>
  <si>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</si>
  <si>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</si>
  <si>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</si>
  <si>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</si>
  <si>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</si>
  <si>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</si>
  <si>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</si>
  <si>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</si>
  <si>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</si>
  <si>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</si>
  <si>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</si>
  <si>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</si>
  <si>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</si>
  <si>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</si>
  <si>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</si>
  <si>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</si>
  <si>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</si>
  <si>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</si>
  <si>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</si>
  <si>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</si>
  <si>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</si>
  <si>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</si>
  <si>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</si>
  <si>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</si>
  <si>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</si>
  <si>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</si>
  <si>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</si>
  <si>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</si>
  <si>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</si>
  <si>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</si>
  <si>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</si>
  <si>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</si>
  <si>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</si>
  <si>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</si>
  <si>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</si>
  <si>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</si>
  <si>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</si>
  <si>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</si>
  <si>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</si>
  <si>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</si>
  <si>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</si>
  <si>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</si>
  <si>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</si>
  <si>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</si>
  <si>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</si>
  <si>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</si>
  <si>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</si>
  <si>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</si>
  <si>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</si>
  <si>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</si>
  <si>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</si>
  <si>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</si>
  <si>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</si>
  <si>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</si>
  <si>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</si>
  <si>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</si>
  <si>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</si>
  <si>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</si>
  <si>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</si>
  <si>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</si>
  <si>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</si>
  <si>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</si>
  <si>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</si>
  <si>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</si>
  <si>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</si>
  <si>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</si>
  <si>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</si>
  <si>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</si>
  <si>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</si>
  <si>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</si>
  <si>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</si>
  <si>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</si>
  <si>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</si>
  <si>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</si>
  <si>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</si>
  <si>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</si>
  <si>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</si>
  <si>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</si>
  <si>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</si>
  <si>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</si>
  <si>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</si>
  <si>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</si>
  <si>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</si>
  <si>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</si>
  <si>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</si>
  <si>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</si>
  <si>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</si>
  <si>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</si>
  <si>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</si>
  <si>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</si>
  <si>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</si>
  <si>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</si>
  <si>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</si>
  <si>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</si>
  <si>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</si>
  <si>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</si>
  <si>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</si>
  <si>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</si>
  <si>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</si>
  <si>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</si>
  <si>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</si>
  <si>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</si>
  <si>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</si>
  <si>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</si>
  <si>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</si>
  <si>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</si>
  <si>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</si>
  <si>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</si>
  <si>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</si>
  <si>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</si>
  <si>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</si>
  <si>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</si>
  <si>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</si>
  <si>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</si>
  <si>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</si>
  <si>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</si>
  <si>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</si>
  <si>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</si>
  <si>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</si>
  <si>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</si>
  <si>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</si>
  <si>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</si>
  <si>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</si>
  <si>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</si>
  <si>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</si>
  <si>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</si>
  <si>
    <t>id</t>
    <phoneticPr fontId="1"/>
  </si>
  <si>
    <t>socket</t>
    <phoneticPr fontId="1"/>
  </si>
  <si>
    <t>receive</t>
    <phoneticPr fontId="1"/>
  </si>
  <si>
    <t>send 0</t>
    <phoneticPr fontId="1"/>
  </si>
  <si>
    <t>send 1</t>
    <phoneticPr fontId="1"/>
  </si>
  <si>
    <t>client1</t>
  </si>
  <si>
    <t>client2</t>
  </si>
  <si>
    <t>client3</t>
  </si>
  <si>
    <t>client4</t>
  </si>
  <si>
    <t>message</t>
    <phoneticPr fontId="1"/>
  </si>
  <si>
    <t>docker run -p 80:80 kennethreitz/httpbin</t>
  </si>
  <si>
    <t>http://localhost:80/get</t>
  </si>
  <si>
    <t>ExLibris.Core.WebAPIs.Response:0F1A2DAA-0698-4A05-83B0-2DBCCA39985A</t>
  </si>
  <si>
    <t>http://localhost:80/post</t>
  </si>
  <si>
    <t>ExLibris.Core.WebAPIs.Response:5407E2E5-A3DE-4431-8264-B500336C6C03</t>
  </si>
  <si>
    <t>http://localhost:80/bearer</t>
  </si>
  <si>
    <t>ExLibris.Core.WebAPIs.Response:EF165471-5C1F-4F20-BD88-F0C49317B72E</t>
  </si>
  <si>
    <t xml:space="preserve">{
  "authenticated": true, 
  "token": "XXX11111222223333444444"
}
</t>
  </si>
  <si>
    <t>ExLibris.Core.WebAPIs.Response:9EF9FE5D-DFD7-4434-B0E6-25A1993F2B9A</t>
  </si>
  <si>
    <t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t>
  </si>
  <si>
    <t>ExLibris.Core.WebAPIs.Response:6699A287-7A23-43FB-823A-8AA3BC6F0EC5</t>
  </si>
  <si>
    <t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t>
  </si>
  <si>
    <t>http://localhost:80/post?currency_pair.left=USD&amp;currency_pair.right=JPY&amp;strike=108.5&amp;call_or_put=CALL&amp;buy_or_sell=SELL&amp;date=44463</t>
  </si>
  <si>
    <t>ExLibris.Core.WebAPIs.Response:115347C9-8C29-4BDA-90DC-C02A450124DE</t>
  </si>
  <si>
    <t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t>
  </si>
  <si>
    <t>http://localhost:80/get?currency_pair.left=USD&amp;currency_pair.right=JPY&amp;strike=108.5&amp;call_or_put=CALL&amp;buy_or_sell=SELL&amp;date=44463</t>
  </si>
  <si>
    <t>ExLibris.Core.WebAPIs.Response:92C25233-3764-4E1B-8C73-9DF86C200743</t>
  </si>
  <si>
    <t xml:space="preserve">{
  "args": {
    "buy_or_sell": "SELL", 
    "call_or_put": "CALL", 
    "currency_pair.left": "USD", 
    "currency_pair.right": "JPY", 
    "date": "44463", 
    "strike": "108.5"
  }, 
  "headers": {
    "Host": "localhost"
  }, 
  "origin": "172.17.0.1", 
  "url": "http://localhost/get?currency_pair.left=USD&amp;currency_pair.right=JPY&amp;strike=108.5&amp;call_or_put=CALL&amp;buy_or_sell=SELL&amp;date=44463"
}
</t>
  </si>
  <si>
    <t>http://localhost:80/delay/10</t>
  </si>
  <si>
    <t>ExLibris.Core.WebAPIs.Response:188035AE-50E0-4C2F-964B-39CD30B3F673</t>
  </si>
  <si>
    <t>ok/ng</t>
    <phoneticPr fontId="1"/>
  </si>
  <si>
    <t xml:space="preserve">{
  "args": {}, 
  "headers": {
    "Host": "localhost"
  }, 
  "origin": "172.17.0.1", 
  "url": "http://localhost/get"
}
</t>
  </si>
  <si>
    <t xml:space="preserve">{
  "args": {}, 
  "data": "", 
  "files": {}, 
  "form": {}, 
  "headers": {
    "Host": "localhost"
  }, 
  "origin": "172.17.0.1", 
  "url": "http://localhost/delay/10"
}
</t>
  </si>
  <si>
    <t xml:space="preserve">{
  "args": {}, 
  "data": "", 
  "files": {}, 
  "form": {}, 
  "headers": {
    "Content-Length": "0", 
    "Host": "localhost"
  }, 
  "json": null, 
  "origin": "172.17.0.1", 
  "url": "http://localhost/post"
}
</t>
  </si>
  <si>
    <t>keyvalues2</t>
    <phoneticPr fontId="1"/>
  </si>
  <si>
    <t>keyvalues3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</si>
</sst>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83aaa2cc90e24b62bd47ab1283cce962">
      <tp>
        <v>2</v>
        <stp/>
        <stp>781cc7f2-9f82-48b6-8c87-989b4d997e01</stp>
        <tr r="G53" s="4"/>
      </tp>
      <tp>
        <v>2</v>
        <stp/>
        <stp>9455518a-323a-4960-9aea-330b0d12d5ae</stp>
        <tr r="G41" s="4"/>
      </tp>
    </main>
    <main first="rtdsrv.83aaa2cc90e24b62bd47ab1283cce962">
      <tp>
        <v>2</v>
        <stp/>
        <stp>3a7bac21-0343-49b1-aaa7-3751df1103a1</stp>
        <tr r="D35" s="5"/>
      </tp>
    </main>
    <main first="rtdsrv.83aaa2cc90e24b62bd47ab1283cce962">
      <tp>
        <v>2</v>
        <stp/>
        <stp>be7e2e83-ffac-4fac-be04-0f59a2d03ab0</stp>
        <tr r="G45" s="1"/>
      </tp>
      <tp>
        <v>1</v>
        <stp/>
        <stp>cb16e582-aaf8-41cd-a1c8-16d31594f288</stp>
        <tr r="G45" s="7"/>
      </tp>
      <tp>
        <v>2</v>
        <stp/>
        <stp>05e760a5-b10e-43f2-b9af-8327cf786af3</stp>
        <tr r="D45" s="5"/>
      </tp>
      <tp>
        <v>2</v>
        <stp/>
        <stp>419e2edc-71eb-4db4-925a-da17f73e043d</stp>
        <tr r="G41" s="1"/>
      </tp>
    </main>
    <main first="rtdsrv.83aaa2cc90e24b62bd47ab1283cce962">
      <tp>
        <v>2</v>
        <stp/>
        <stp>3ac7c14d-ec11-4de8-9296-1d64ac61d0ec</stp>
        <tr r="G50" s="4"/>
      </tp>
      <tp>
        <v>1</v>
        <stp/>
        <stp>ba1004bc-af6e-41f2-bd3a-0e1980346c3a</stp>
        <tr r="G21" s="7"/>
      </tp>
    </main>
    <main first="rtdsrv.83aaa2cc90e24b62bd47ab1283cce962">
      <tp>
        <v>2</v>
        <stp/>
        <stp>d5943d92-2aba-4a6f-993e-acfa6e83e347</stp>
        <tr r="G48" s="1"/>
      </tp>
      <tp>
        <v>1</v>
        <stp/>
        <stp>39452744-12b2-4713-85ca-c99b87c81bbc</stp>
        <tr r="G56" s="7"/>
      </tp>
      <tp>
        <v>2</v>
        <stp/>
        <stp>ddf990ca-f2cf-4d07-bfb8-e6ede4436f57</stp>
        <tr r="I38" s="4"/>
      </tp>
      <tp>
        <v>2</v>
        <stp/>
        <stp>a5cb6c46-bc63-4c50-a6ef-b2c78c9d83aa</stp>
        <tr r="D40" s="5"/>
      </tp>
    </main>
    <main first="rtdsrv.83aaa2cc90e24b62bd47ab1283cce962">
      <tp>
        <v>1</v>
        <stp/>
        <stp>ae4bdd0d-d3f3-45ac-a373-1fe3602b2da4</stp>
        <tr r="G20" s="7"/>
      </tp>
      <tp>
        <v>2</v>
        <stp/>
        <stp>b7f99f94-b33f-4613-97f4-8fa54320204d</stp>
        <tr r="D7" s="3"/>
      </tp>
      <tp>
        <v>2</v>
        <stp/>
        <stp>97ef3fe0-b52c-4e33-8318-a422347b3252</stp>
        <tr r="F6" s="1"/>
      </tp>
    </main>
    <main first="rtdsrv.83aaa2cc90e24b62bd47ab1283cce962">
      <tp>
        <v>2</v>
        <stp/>
        <stp>77f7ddb4-945b-460a-ac4f-cabaeeacc906</stp>
        <tr r="I19" s="1"/>
      </tp>
    </main>
    <main first="rtdsrv.83aaa2cc90e24b62bd47ab1283cce962">
      <tp>
        <v>1</v>
        <stp/>
        <stp>2a254403-2440-4f1b-9258-43eb176a5647</stp>
        <tr r="G48" s="7"/>
      </tp>
      <tp>
        <v>2</v>
        <stp/>
        <stp>d472073e-d335-4c99-b06c-a83ee6d92d48</stp>
        <tr r="G49" s="4"/>
      </tp>
      <tp>
        <v>2</v>
        <stp/>
        <stp>6ff01800-1c9f-4738-aa51-6ffb9712067f</stp>
        <tr r="G22" s="4"/>
      </tp>
    </main>
    <main first="rtdsrv.83aaa2cc90e24b62bd47ab1283cce962">
      <tp>
        <v>2</v>
        <stp/>
        <stp>a0697226-393a-4eb6-9bf7-c72b31e57b70</stp>
        <tr r="G38" s="4"/>
      </tp>
      <tp>
        <v>2</v>
        <stp/>
        <stp>9cc097cc-78e3-483a-8a68-c7b776e6b00a</stp>
        <tr r="B2" s="6"/>
      </tp>
    </main>
    <main first="rtdsrv.83aaa2cc90e24b62bd47ab1283cce962">
      <tp>
        <v>2</v>
        <stp/>
        <stp>f4dc9a7a-0d57-4696-852c-2a6aa13614cd</stp>
        <tr r="F8" s="3"/>
      </tp>
      <tp>
        <v>2</v>
        <stp/>
        <stp>98ec348c-c302-41d1-bfd2-d0e4d97b0614</stp>
        <tr r="G35" s="1"/>
      </tp>
    </main>
    <main first="rtdsrv.83aaa2cc90e24b62bd47ab1283cce962">
      <tp>
        <v>2</v>
        <stp/>
        <stp>78939997-bf23-4bd1-a616-8b648c739f5d</stp>
        <tr r="F1" s="4"/>
      </tp>
    </main>
    <main first="rtdsrv.83aaa2cc90e24b62bd47ab1283cce962">
      <tp>
        <v>2</v>
        <stp/>
        <stp>03b474ee-2eb9-4143-a233-b23682097133</stp>
        <tr r="G19" s="4"/>
      </tp>
    </main>
    <main first="rtdsrv.83aaa2cc90e24b62bd47ab1283cce962">
      <tp>
        <v>2</v>
        <stp/>
        <stp>918a4a19-e41d-4cb3-9fd0-9ddd63c811c5</stp>
        <tr r="G47" s="1"/>
      </tp>
      <tp>
        <v>1</v>
        <stp/>
        <stp>5da1a095-0329-4964-8f62-ac88845765b0</stp>
        <tr r="G25" s="7"/>
      </tp>
      <tp>
        <v>1</v>
        <stp/>
        <stp>39c959e5-2798-4bc8-a793-6fb1a2247cbe</stp>
        <tr r="G39" s="7"/>
      </tp>
      <tp>
        <v>2</v>
        <stp/>
        <stp>4999c6e7-c231-4c9e-9a1f-9e5e2a976846</stp>
        <tr r="G33" s="1"/>
      </tp>
    </main>
    <main first="rtdsrv.83aaa2cc90e24b62bd47ab1283cce962">
      <tp>
        <v>1</v>
        <stp/>
        <stp>ab69a5ad-76db-4d3e-a3b3-e288ce5224da</stp>
        <tr r="P74" s="7"/>
      </tp>
      <tp>
        <v>2</v>
        <stp/>
        <stp>fdc49044-43e1-4b3e-bac2-4b9f990e59d5</stp>
        <tr r="G27" s="1"/>
      </tp>
      <tp>
        <v>2</v>
        <stp/>
        <stp>c053bc4e-a82e-4f87-b162-92c476f1234c</stp>
        <tr r="G54" s="4"/>
      </tp>
    </main>
    <main first="rtdsrv.83aaa2cc90e24b62bd47ab1283cce962">
      <tp>
        <v>2</v>
        <stp/>
        <stp>c17a4710-84cb-4ae1-aa06-08852f021e47</stp>
        <tr r="P29" s="1"/>
      </tp>
      <tp>
        <v>2</v>
        <stp/>
        <stp>e4bbc09f-64b9-4722-9d77-cb209c6da189</stp>
        <tr r="G33" s="4"/>
      </tp>
      <tp>
        <v>2</v>
        <stp/>
        <stp>b6ca0360-5a86-4753-9115-dbb4b5cd8bce</stp>
        <tr r="B5" s="5"/>
      </tp>
      <tp>
        <v>2</v>
        <stp/>
        <stp>43b53dff-3c07-461f-b5ad-ce0d969077f2</stp>
        <tr r="G46" s="4"/>
      </tp>
      <tp>
        <v>2</v>
        <stp/>
        <stp>2c7766e6-ce1a-462f-b530-20905dcf2015</stp>
        <tr r="G37" s="4"/>
      </tp>
    </main>
    <main first="rtdsrv.83aaa2cc90e24b62bd47ab1283cce962">
      <tp>
        <v>2</v>
        <stp/>
        <stp>73c66fca-3b4c-4740-80fd-8ccca63cebbc</stp>
        <tr r="G49" s="1"/>
      </tp>
      <tp>
        <v>2</v>
        <stp/>
        <stp>8923ca10-38f3-4acb-9ec4-c2126981cf59</stp>
        <tr r="G42" s="4"/>
      </tp>
      <tp>
        <v>1</v>
        <stp/>
        <stp>007939f4-730e-43bc-965c-69748b21a461</stp>
        <tr r="G6" s="3"/>
      </tp>
      <tp>
        <v>2</v>
        <stp/>
        <stp>83a7e6f4-4a94-4bd9-9a86-ab556a9df4e9</stp>
        <tr r="G43" s="1"/>
      </tp>
    </main>
    <main first="rtdsrv.83aaa2cc90e24b62bd47ab1283cce962">
      <tp>
        <v>2</v>
        <stp/>
        <stp>b35adbf1-0099-4a4c-90d4-92639bf5d0e9</stp>
        <tr r="G50" s="1"/>
      </tp>
      <tp>
        <v>1</v>
        <stp/>
        <stp>a680c21a-0332-4f0a-91e2-30950db84b32</stp>
        <tr r="G31" s="7"/>
      </tp>
      <tp>
        <v>1</v>
        <stp/>
        <stp>914b9964-dba4-47ce-9831-4c0589290f39</stp>
        <tr r="I19" s="7"/>
      </tp>
    </main>
    <main first="rtdsrv.83aaa2cc90e24b62bd47ab1283cce962">
      <tp>
        <v>1</v>
        <stp/>
        <stp>765c024f-4fc5-4d03-a940-0dddcc5e6600</stp>
        <tr r="G37" s="7"/>
      </tp>
    </main>
    <main first="rtdsrv.83aaa2cc90e24b62bd47ab1283cce962">
      <tp>
        <v>2</v>
        <stp/>
        <stp>0adb5746-4494-41a6-81d5-6c082c3596be</stp>
        <tr r="P19" s="1"/>
      </tp>
      <tp>
        <v>1</v>
        <stp/>
        <stp>832e845a-b9f0-411b-8632-df6c1a46155c</stp>
        <tr r="H5" s="3"/>
      </tp>
    </main>
    <main first="rtdsrv.83aaa2cc90e24b62bd47ab1283cce962">
      <tp>
        <v>2</v>
        <stp/>
        <stp>b588fff7-e4e6-4f53-9d08-d158779b65d6</stp>
        <tr r="P67" s="1"/>
      </tp>
      <tp>
        <v>2</v>
        <stp/>
        <stp>b0870767-23dd-4b28-95f6-1a72a931a576</stp>
        <tr r="G56" s="4"/>
      </tp>
      <tp>
        <v>1</v>
        <stp/>
        <stp>f59328b1-c341-4b0f-839b-efab85d59d73</stp>
        <tr r="G36" s="7"/>
      </tp>
      <tp>
        <v>2</v>
        <stp/>
        <stp>490c3bcc-54c1-4e09-8af2-5d69c9b0aeff</stp>
        <tr r="G39" s="1"/>
      </tp>
      <tp>
        <v>2</v>
        <stp/>
        <stp>11349109-2f9a-4564-b25b-0fa338c78dc9</stp>
        <tr r="I28" s="4"/>
      </tp>
      <tp>
        <v>2</v>
        <stp/>
        <stp>07fe09f7-9634-419d-8284-12209b04c2a1</stp>
        <tr r="G29" s="1"/>
      </tp>
    </main>
    <main first="rtdsrv.83aaa2cc90e24b62bd47ab1283cce962">
      <tp>
        <v>2</v>
        <stp/>
        <stp>4f9d77f0-7437-4a0c-88be-18d21cbb95b0</stp>
        <tr r="G51" s="1"/>
      </tp>
      <tp>
        <v>1</v>
        <stp/>
        <stp>2534f438-5d7e-431c-add8-2823ed6caf16</stp>
        <tr r="G30" s="7"/>
      </tp>
      <tp>
        <v>2</v>
        <stp/>
        <stp>1b94d221-881d-43ee-b340-72e727ac1529</stp>
        <tr r="G45" s="4"/>
      </tp>
    </main>
    <main first="rtdsrv.83aaa2cc90e24b62bd47ab1283cce962">
      <tp>
        <v>2</v>
        <stp/>
        <stp>d2a92545-35eb-4f24-99b7-6ccff062d830</stp>
        <tr r="G38" s="1"/>
      </tp>
      <tp>
        <v>2</v>
        <stp/>
        <stp>fd35b8b1-6ec0-4db7-8126-b3a97a1b4554</stp>
        <tr r="G26" s="4"/>
      </tp>
    </main>
    <main first="rtdsrv.83aaa2cc90e24b62bd47ab1283cce962">
      <tp>
        <v>1</v>
        <stp/>
        <stp>f6978cff-96e9-44eb-b466-6e917ba497be</stp>
        <tr r="P19" s="7"/>
      </tp>
    </main>
    <main first="rtdsrv.83aaa2cc90e24b62bd47ab1283cce962">
      <tp>
        <v>1</v>
        <stp/>
        <stp>a9afdcb2-1b97-413d-aba5-9a0bea2cdf72</stp>
        <tr r="G41" s="7"/>
      </tp>
    </main>
    <main first="rtdsrv.83aaa2cc90e24b62bd47ab1283cce962">
      <tp>
        <v>2</v>
        <stp/>
        <stp>b8bae2b1-e03a-46cf-af78-dc657f5503fc</stp>
        <tr r="D30" s="5"/>
      </tp>
    </main>
    <main first="rtdsrv.83aaa2cc90e24b62bd47ab1283cce962">
      <tp>
        <v>2</v>
        <stp/>
        <stp>8b38cfa6-9ab7-4eaa-b13b-d3af9adfe603</stp>
        <tr r="G24" s="1"/>
      </tp>
    </main>
    <main first="rtdsrv.83aaa2cc90e24b62bd47ab1283cce962">
      <tp>
        <v>1</v>
        <stp/>
        <stp>495e377f-a691-42af-bad7-2c1de40f61fb</stp>
        <tr r="G43" s="7"/>
      </tp>
    </main>
    <main first="rtdsrv.83aaa2cc90e24b62bd47ab1283cce962">
      <tp>
        <v>2</v>
        <stp/>
        <stp>643a4760-9e38-4a72-95ca-3ceaf34810de</stp>
        <tr r="D8" s="3"/>
      </tp>
      <tp>
        <v>2</v>
        <stp/>
        <stp>0ec90c5d-7325-4e10-b064-b782d92072e8</stp>
        <tr r="G55" s="1"/>
      </tp>
      <tp>
        <v>2</v>
        <stp/>
        <stp>0325835e-7032-41cb-9124-52bb1f8c18ec</stp>
        <tr r="F5" s="3"/>
      </tp>
    </main>
    <main first="rtdsrv.83aaa2cc90e24b62bd47ab1283cce962">
      <tp>
        <v>2</v>
        <stp/>
        <stp>4bb79eb0-e82a-48a8-a4a8-6c8b41081ccf</stp>
        <tr r="G32" s="4"/>
      </tp>
    </main>
    <main first="rtdsrv.83aaa2cc90e24b62bd47ab1283cce962">
      <tp>
        <v>2</v>
        <stp/>
        <stp>9dd91f9f-dbfc-4fbc-b690-8a676142bf86</stp>
        <tr r="G31" s="4"/>
      </tp>
      <tp>
        <v>1</v>
        <stp/>
        <stp>6d826bdb-8abe-4f71-b677-270c446dd147</stp>
        <tr r="G28" s="7"/>
      </tp>
    </main>
    <main first="rtdsrv.83aaa2cc90e24b62bd47ab1283cce962">
      <tp>
        <v>2</v>
        <stp/>
        <stp>faec576b-9edf-4454-8143-77114de48124</stp>
        <tr r="G56" s="1"/>
      </tp>
      <tp>
        <v>1</v>
        <stp/>
        <stp>c524c195-2c21-4b30-b830-bfeeaf8478d2</stp>
        <tr r="G8" s="3"/>
      </tp>
    </main>
    <main first="rtdsrv.83aaa2cc90e24b62bd47ab1283cce962">
      <tp>
        <v>2</v>
        <stp/>
        <stp>c6fbae5b-5405-4ce4-8256-4fb75932d54e</stp>
        <tr r="G23" s="4"/>
      </tp>
      <tp>
        <v>2</v>
        <stp/>
        <stp>a61118d6-20f2-4d4c-b566-93df9dfd53c8</stp>
        <tr r="G28" s="4"/>
      </tp>
    </main>
    <main first="rtdsrv.83aaa2cc90e24b62bd47ab1283cce962">
      <tp>
        <v>2</v>
        <stp/>
        <stp>9ef2f2ed-4c3a-4177-9783-d3570a4db3b5</stp>
        <tr r="G57" s="1"/>
      </tp>
    </main>
    <main first="rtdsrv.83aaa2cc90e24b62bd47ab1283cce962">
      <tp>
        <v>2</v>
        <stp/>
        <stp>365e1290-0f5d-4958-b8c0-91d20fbd245f</stp>
        <tr r="I42" s="4"/>
      </tp>
      <tp>
        <v>1</v>
        <stp/>
        <stp>3a1c3389-a8ab-43da-9adb-33831016f920</stp>
        <tr r="G23" s="7"/>
      </tp>
    </main>
    <main first="rtdsrv.83aaa2cc90e24b62bd47ab1283cce962">
      <tp>
        <v>1</v>
        <stp/>
        <stp>085bc341-11e5-41a0-9e9c-ea0cd9364d55</stp>
        <tr r="G29" s="7"/>
      </tp>
    </main>
    <main first="rtdsrv.83aaa2cc90e24b62bd47ab1283cce962">
      <tp>
        <v>2</v>
        <stp/>
        <stp>a8ad7b3b-7967-46ff-82fe-229964ad1d2c</stp>
        <tr r="G36" s="4"/>
      </tp>
    </main>
    <main first="rtdsrv.83aaa2cc90e24b62bd47ab1283cce962">
      <tp>
        <v>2</v>
        <stp/>
        <stp>d754fe3d-dc8f-4fe9-90af-7d99b76a62b0</stp>
        <tr r="F6" s="4"/>
      </tp>
    </main>
    <main first="rtdsrv.83aaa2cc90e24b62bd47ab1283cce962">
      <tp>
        <v>1</v>
        <stp/>
        <stp>b144271f-8998-40f1-91e9-c43fd3852bed</stp>
        <tr r="I28" s="7"/>
      </tp>
    </main>
    <main first="rtdsrv.83aaa2cc90e24b62bd47ab1283cce962">
      <tp>
        <v>2</v>
        <stp/>
        <stp>bbc659f8-154e-4472-a2ee-1ba613bbacf7</stp>
        <tr r="G22" s="1"/>
      </tp>
    </main>
    <main first="rtdsrv.83aaa2cc90e24b62bd47ab1283cce962">
      <tp>
        <v>1</v>
        <stp/>
        <stp>2856504c-b560-4495-a0f6-3a9d133b9d1a</stp>
        <tr r="G46" s="7"/>
      </tp>
    </main>
    <main first="rtdsrv.83aaa2cc90e24b62bd47ab1283cce962">
      <tp>
        <v>2</v>
        <stp/>
        <stp>6c626d03-a81e-4eb7-8cc0-05acf84ee10f</stp>
        <tr r="G40" s="1"/>
      </tp>
    </main>
    <main first="rtdsrv.83aaa2cc90e24b62bd47ab1283cce962">
      <tp>
        <v>1</v>
        <stp/>
        <stp>51251472-b147-4282-8b3c-b8a16d03544e</stp>
        <tr r="F1" s="7"/>
      </tp>
      <tp>
        <v>1</v>
        <stp/>
        <stp>cbcb5a2d-56e4-4408-9ec1-33283e5345aa</stp>
        <tr r="G53" s="7"/>
      </tp>
      <tp>
        <v>2</v>
        <stp/>
        <stp>9c138950-08be-4624-830d-603b7ab9c161</stp>
        <tr r="G54" s="1"/>
      </tp>
    </main>
    <main first="rtdsrv.83aaa2cc90e24b62bd47ab1283cce962">
      <tp>
        <v>2</v>
        <stp/>
        <stp>34d8ad6a-0d28-43e7-8766-5d7c47771cb8</stp>
        <tr r="G29" s="4"/>
      </tp>
      <tp>
        <v>1</v>
        <stp/>
        <stp>b582e0a2-6544-420a-984e-a0098fa2ca8e</stp>
        <tr r="G26" s="7"/>
      </tp>
    </main>
    <main first="rtdsrv.83aaa2cc90e24b62bd47ab1283cce962">
      <tp>
        <v>2</v>
        <stp/>
        <stp>12f25685-c754-40e4-b58b-e9e2745cb707</stp>
        <tr r="I19" s="4"/>
        <tr r="I32" s="4"/>
      </tp>
      <tp>
        <v>2</v>
        <stp/>
        <stp>54104e83-a292-4af5-9760-7de40ec9acec</stp>
        <tr r="G55" s="4"/>
      </tp>
      <tp>
        <v>1</v>
        <stp/>
        <stp>97942f62-c6c6-462e-827d-35d096834271</stp>
        <tr r="G47" s="7"/>
      </tp>
    </main>
    <main first="rtdsrv.83aaa2cc90e24b62bd47ab1283cce962">
      <tp>
        <v>1</v>
        <stp/>
        <stp>80d281e4-c137-4e7c-a4cf-b2c5d1f1717e</stp>
        <tr r="G19" s="7"/>
      </tp>
      <tp>
        <v>2</v>
        <stp/>
        <stp>56405802-9cbe-4aaf-9615-403ec25ef26a</stp>
        <tr r="G31" s="1"/>
      </tp>
      <tp>
        <v>2</v>
        <stp/>
        <stp>8d4e1cce-ff6f-4fb4-98a1-3c6a9c1a7df1</stp>
        <tr r="G21" s="4"/>
      </tp>
      <tp>
        <v>2</v>
        <stp/>
        <stp>7194aea8-f0b3-47a0-9f05-f7f21e0db0de</stp>
        <tr r="G19" s="1"/>
      </tp>
    </main>
    <main first="rtdsrv.83aaa2cc90e24b62bd47ab1283cce962">
      <tp>
        <v>1</v>
        <stp/>
        <stp>d5719053-a00a-4a59-a667-a8717ae68b88</stp>
        <tr r="G50" s="7"/>
      </tp>
    </main>
    <main first="rtdsrv.83aaa2cc90e24b62bd47ab1283cce962">
      <tp>
        <v>1</v>
        <stp/>
        <stp>7621dfbf-a44f-4417-bed7-4db05b594472</stp>
        <tr r="H4" s="3"/>
      </tp>
    </main>
    <main first="rtdsrv.83aaa2cc90e24b62bd47ab1283cce962">
      <tp>
        <v>1</v>
        <stp/>
        <stp>ae800841-553b-40b7-a890-eba54bbca609</stp>
        <tr r="G54" s="7"/>
      </tp>
      <tp>
        <v>2</v>
        <stp/>
        <stp>a1de132e-e0bd-4b0a-8e3d-840aac3be1c8</stp>
        <tr r="D50" s="5"/>
      </tp>
      <tp>
        <v>2</v>
        <stp/>
        <stp>677ff6f7-ed92-4a22-846b-8e64b7282a80</stp>
        <tr r="G25" s="1"/>
      </tp>
    </main>
    <main first="rtdsrv.83aaa2cc90e24b62bd47ab1283cce962">
      <tp>
        <v>1</v>
        <stp/>
        <stp>21ad7d21-7c38-45e9-81ea-9932dd73913e</stp>
        <tr r="P67" s="7"/>
      </tp>
      <tp>
        <v>1</v>
        <stp/>
        <stp>b497b1b5-7988-4a6e-986b-3a66aeaa972b</stp>
        <tr r="G42" s="7"/>
      </tp>
      <tp>
        <v>1</v>
        <stp/>
        <stp>ce5c65ba-c916-49f6-bcaa-9b760d93f0da</stp>
        <tr r="H8" s="3"/>
      </tp>
      <tp>
        <v>2</v>
        <stp/>
        <stp>53f90b58-339c-4db9-b706-960cb991962b</stp>
        <tr r="C6" s="6"/>
      </tp>
    </main>
    <main first="rtdsrv.83aaa2cc90e24b62bd47ab1283cce962">
      <tp>
        <v>2</v>
        <stp/>
        <stp>24de8fa0-c8b4-455d-8997-7b3c493a0ef2</stp>
        <tr r="D6" s="3"/>
      </tp>
      <tp>
        <v>2</v>
        <stp/>
        <stp>f149b172-8151-4da1-8e8c-a3075cb9430e</stp>
        <tr r="G44" s="1"/>
      </tp>
    </main>
    <main first="rtdsrv.83aaa2cc90e24b62bd47ab1283cce962">
      <tp>
        <v>1</v>
        <stp/>
        <stp>618daed7-5bf1-454e-8f05-e6a7a5df9e7b</stp>
        <tr r="H7" s="3"/>
      </tp>
      <tp>
        <v>1</v>
        <stp/>
        <stp>dadb8c1a-9154-4b85-858a-3742bec82147</stp>
        <tr r="G7" s="3"/>
      </tp>
      <tp>
        <v>1</v>
        <stp/>
        <stp>65b794ab-1da3-492f-98e6-4e46942e6729</stp>
        <tr r="G51" s="7"/>
      </tp>
      <tp>
        <v>1</v>
        <stp/>
        <stp>e6f560ed-c8d5-47e5-8b5c-d309309cb352</stp>
        <tr r="G34" s="7"/>
      </tp>
      <tp>
        <v>1</v>
        <stp/>
        <stp>cd4f845c-3a08-4656-8ad1-9636011ddc09</stp>
        <tr r="G40" s="7"/>
      </tp>
      <tp>
        <v>2</v>
        <stp/>
        <stp>80376dc9-71e9-4b83-aaf6-64563d50f360</stp>
        <tr r="I28" s="1"/>
      </tp>
    </main>
    <main first="rtdsrv.83aaa2cc90e24b62bd47ab1283cce962">
      <tp>
        <v>1</v>
        <stp/>
        <stp>6161bfe8-6390-49f7-b024-5f45da83667d</stp>
        <tr r="G44" s="7"/>
      </tp>
      <tp>
        <v>1</v>
        <stp/>
        <stp>5d50a53b-d5e1-4d22-b0a0-4797856031ad</stp>
        <tr r="G22" s="7"/>
      </tp>
    </main>
    <main first="rtdsrv.83aaa2cc90e24b62bd47ab1283cce962">
      <tp>
        <v>2</v>
        <stp/>
        <stp>c16130d5-4518-4fc7-98ff-6dee9ca5a62d</stp>
        <tr r="G40" s="4"/>
      </tp>
    </main>
    <main first="rtdsrv.83aaa2cc90e24b62bd47ab1283cce962">
      <tp>
        <v>2</v>
        <stp/>
        <stp>9b0683ca-f6b5-4a6e-a466-ee2a9ce56760</stp>
        <tr r="G44" s="4"/>
      </tp>
      <tp>
        <v>2</v>
        <stp/>
        <stp>d6b4dafa-ca11-4041-9f4a-45708f6bb743</stp>
        <tr r="G20" s="4"/>
      </tp>
    </main>
    <main first="rtdsrv.83aaa2cc90e24b62bd47ab1283cce962">
      <tp>
        <v>1</v>
        <stp/>
        <stp>b3c38031-d704-421a-95ab-964971d0d40f</stp>
        <tr r="G5" s="3"/>
      </tp>
    </main>
    <main first="rtdsrv.83aaa2cc90e24b62bd47ab1283cce962">
      <tp>
        <v>2</v>
        <stp/>
        <stp>7f042a02-1e97-420e-885a-9a95cf9e3532</stp>
        <tr r="G20" s="1"/>
      </tp>
      <tp>
        <v>2</v>
        <stp/>
        <stp>40b47595-09d8-4883-8d2b-1d5ec2e1f6df</stp>
        <tr r="D15" s="5"/>
      </tp>
    </main>
    <main first="rtdsrv.83aaa2cc90e24b62bd47ab1283cce962">
      <tp>
        <v>2</v>
        <stp/>
        <stp>c8ce3fc5-3698-404d-ba8d-5a2d67b580e9</stp>
        <tr r="G47" s="4"/>
      </tp>
    </main>
    <main first="rtdsrv.83aaa2cc90e24b62bd47ab1283cce962">
      <tp>
        <v>2</v>
        <stp/>
        <stp>afa8cb13-4010-45f3-8c36-1e364c078a77</stp>
        <tr r="G30" s="1"/>
      </tp>
      <tp>
        <v>2</v>
        <stp/>
        <stp>be60c153-8997-4a59-b75f-3ff57bc7438e</stp>
        <tr r="G51" s="4"/>
      </tp>
      <tp>
        <v>2</v>
        <stp/>
        <stp>77e8dc46-f3c5-4e6d-9bbd-3a2d730981d7</stp>
        <tr r="G53" s="1"/>
      </tp>
      <tp>
        <v>2</v>
        <stp/>
        <stp>2270fba7-2a34-4bfd-ac27-fabde0997241</stp>
        <tr r="F1" s="1"/>
      </tp>
    </main>
    <main first="rtdsrv.83aaa2cc90e24b62bd47ab1283cce962">
      <tp>
        <v>1</v>
        <stp/>
        <stp>8f9d736a-065b-4aa4-a082-0ef5abbd59f6</stp>
        <tr r="F6" s="7"/>
      </tp>
      <tp>
        <v>1</v>
        <stp/>
        <stp>4cde677b-3a9b-4788-b633-581f703f1308</stp>
        <tr r="G4" s="3"/>
      </tp>
      <tp>
        <v>2</v>
        <stp/>
        <stp>effd1f44-2e12-4994-a271-db7f9262c665</stp>
        <tr r="G30" s="4"/>
      </tp>
      <tp>
        <v>2</v>
        <stp/>
        <stp>ddb1e70f-5baa-4ae1-8bab-43d903b5aad1</stp>
        <tr r="G28" s="1"/>
      </tp>
      <tp>
        <v>1</v>
        <stp/>
        <stp>4d895941-1672-47c9-9b89-f30b2908a08a</stp>
        <tr r="G55" s="7"/>
      </tp>
      <tp>
        <v>2</v>
        <stp/>
        <stp>728689c8-f7a8-4d10-b688-4c764a4ca12f</stp>
        <tr r="G37" s="1"/>
      </tp>
    </main>
    <main first="rtdsrv.83aaa2cc90e24b62bd47ab1283cce962">
      <tp>
        <v>2</v>
        <stp/>
        <stp>3c048cf7-9f17-413b-a2f8-a4343f74a9b1</stp>
        <tr r="G25" s="4"/>
      </tp>
    </main>
    <main first="rtdsrv.83aaa2cc90e24b62bd47ab1283cce962">
      <tp>
        <v>1</v>
        <stp/>
        <stp>ca04e0d4-0988-4967-8b93-061c3753f82f</stp>
        <tr r="G35" s="7"/>
      </tp>
      <tp>
        <v>2</v>
        <stp/>
        <stp>5a39b747-d5a1-4fe8-9a80-6167eb3a8701</stp>
        <tr r="P74" s="1"/>
      </tp>
      <tp>
        <v>2</v>
        <stp/>
        <stp>cfb861b2-be8c-4a60-9ab0-bee2ff7bf20b</stp>
        <tr r="G52" s="1"/>
      </tp>
      <tp>
        <v>2</v>
        <stp/>
        <stp>a652de85-b9e4-4178-b103-23cad8203de8</stp>
        <tr r="G35" s="4"/>
      </tp>
      <tp>
        <v>2</v>
        <stp/>
        <stp>2d8eeeba-940b-418d-8289-d2a93674d63e</stp>
        <tr r="F6" s="3"/>
      </tp>
    </main>
    <main first="rtdsrv.83aaa2cc90e24b62bd47ab1283cce962">
      <tp>
        <v>2</v>
        <stp/>
        <stp>521585f4-87e8-4ea8-9c31-34f4f8c58a73</stp>
        <tr r="G26" s="1"/>
      </tp>
    </main>
    <main first="rtdsrv.83aaa2cc90e24b62bd47ab1283cce962">
      <tp>
        <v>1</v>
        <stp/>
        <stp>804be10c-f896-4b82-b1b9-90973f65c8fa</stp>
        <tr r="G33" s="7"/>
      </tp>
      <tp>
        <v>2</v>
        <stp/>
        <stp>50d4749e-8d82-47b4-9153-658e5b697300</stp>
        <tr r="F7" s="3"/>
      </tp>
      <tp>
        <v>2</v>
        <stp/>
        <stp>fe6346ae-1995-46b1-b016-517f533829c8</stp>
        <tr r="G39" s="4"/>
      </tp>
      <tp>
        <v>1</v>
        <stp/>
        <stp>06d2b4b8-bb38-4585-9ff9-d7f5fd392952</stp>
        <tr r="G52" s="7"/>
      </tp>
    </main>
    <main first="rtdsrv.83aaa2cc90e24b62bd47ab1283cce962">
      <tp>
        <v>2</v>
        <stp/>
        <stp>261951ad-d32a-4223-ad36-8d73192d2f37</stp>
        <tr r="G34" s="1"/>
      </tp>
      <tp>
        <v>2</v>
        <stp/>
        <stp>82cf6b27-9feb-4c95-ad57-2ad78cff23cb</stp>
        <tr r="G48" s="4"/>
      </tp>
    </main>
    <main first="rtdsrv.83aaa2cc90e24b62bd47ab1283cce962">
      <tp>
        <v>1</v>
        <stp/>
        <stp>41d5d345-c4e1-4ba7-8d4b-89b14784c468</stp>
        <tr r="H6" s="3"/>
      </tp>
    </main>
    <main first="rtdsrv.83aaa2cc90e24b62bd47ab1283cce962">
      <tp>
        <v>2</v>
        <stp/>
        <stp>9ad3795c-a5a1-4e7d-9f14-3f7934998fc7</stp>
        <tr r="G52" s="4"/>
      </tp>
    </main>
    <main first="rtdsrv.83aaa2cc90e24b62bd47ab1283cce962">
      <tp>
        <v>2</v>
        <stp/>
        <stp>c770669e-5e30-493f-9a41-a9a1c41ab320</stp>
        <tr r="G36" s="1"/>
      </tp>
      <tp>
        <v>2</v>
        <stp/>
        <stp>b6e72c8b-569c-450f-b6c5-7e449977eae7</stp>
        <tr r="C10" s="6"/>
      </tp>
      <tp>
        <v>1</v>
        <stp/>
        <stp>860b2f55-bdbd-4d54-ac3e-9fbe781d7099</stp>
        <tr r="G49" s="7"/>
      </tp>
    </main>
    <main first="rtdsrv.83aaa2cc90e24b62bd47ab1283cce962">
      <tp>
        <v>2</v>
        <stp/>
        <stp>4ff250ab-753e-4504-9f1b-95e9696ce37c</stp>
        <tr r="G21" s="1"/>
      </tp>
    </main>
    <main first="rtdsrv.83aaa2cc90e24b62bd47ab1283cce962">
      <tp>
        <v>2</v>
        <stp/>
        <stp>25225206-73de-4ec5-b781-0386afd6d3f2</stp>
        <tr r="G24" s="4"/>
      </tp>
    </main>
    <main first="rtdsrv.83aaa2cc90e24b62bd47ab1283cce962">
      <tp>
        <v>2</v>
        <stp/>
        <stp>460658cf-5a8b-4c00-8528-12e57c718290</stp>
        <tr r="C2" s="2"/>
      </tp>
      <tp>
        <v>2</v>
        <stp/>
        <stp>81559fed-c7c7-452c-aabf-79783ce95532</stp>
        <tr r="G32" s="1"/>
      </tp>
      <tp>
        <v>2</v>
        <stp/>
        <stp>f7900452-2601-4ca2-b955-d9b1b04b8e6f</stp>
        <tr r="G42" s="1"/>
      </tp>
    </main>
    <main first="rtdsrv.83aaa2cc90e24b62bd47ab1283cce962">
      <tp>
        <v>2</v>
        <stp/>
        <stp>78f24e7d-9eee-4279-bf94-54666998a3fa</stp>
        <tr r="G46" s="1"/>
      </tp>
    </main>
    <main first="rtdsrv.83aaa2cc90e24b62bd47ab1283cce962">
      <tp>
        <v>2</v>
        <stp/>
        <stp>9da6abb2-9e2a-4244-b5b3-0be944a9aed0</stp>
        <tr r="F4" s="3"/>
      </tp>
    </main>
    <main first="rtdsrv.83aaa2cc90e24b62bd47ab1283cce962">
      <tp>
        <v>2</v>
        <stp/>
        <stp>d3ab0b41-cd35-48f0-ae28-81110bc069e9</stp>
        <tr r="G43" s="4"/>
      </tp>
      <tp>
        <v>2</v>
        <stp/>
        <stp>664c82a6-975c-48a1-9c95-34b329bf8e83</stp>
        <tr r="D20" s="5"/>
      </tp>
    </main>
    <main first="rtdsrv.83aaa2cc90e24b62bd47ab1283cce962">
      <tp>
        <v>1</v>
        <stp/>
        <stp>b9f5addd-14ad-4bfb-88f4-c3413b6ddd2a</stp>
        <tr r="P29" s="7"/>
      </tp>
      <tp>
        <v>2</v>
        <stp/>
        <stp>202a6caa-4d36-4fe8-97a3-95529f637056</stp>
        <tr r="G27" s="4"/>
      </tp>
      <tp>
        <v>2</v>
        <stp/>
        <stp>3d4b3a8c-d8b9-4f08-8d15-8ee3be71c5af</stp>
        <tr r="H5" s="5"/>
      </tp>
      <tp>
        <v>1</v>
        <stp/>
        <stp>542c0d5e-e930-4832-8d18-984846478e70</stp>
        <tr r="G32" s="7"/>
      </tp>
    </main>
    <main first="rtdsrv.83aaa2cc90e24b62bd47ab1283cce962">
      <tp>
        <v>2</v>
        <stp/>
        <stp>62339259-8700-4371-88db-ba1504643d86</stp>
        <tr r="G23" s="1"/>
      </tp>
      <tp>
        <v>2</v>
        <stp/>
        <stp>47a5aad5-7e21-4b17-bc40-763801d6492c</stp>
        <tr r="D5" s="3"/>
      </tp>
    </main>
    <main first="rtdsrv.83aaa2cc90e24b62bd47ab1283cce962">
      <tp>
        <v>2</v>
        <stp/>
        <stp>ef462004-a430-4ab6-ba8e-c506e7c9eda6</stp>
        <tr r="D25" s="5"/>
      </tp>
      <tp>
        <v>1</v>
        <stp/>
        <stp>19f1bc79-01e9-4276-9842-e5b3ddd74f6a</stp>
        <tr r="G24" s="7"/>
      </tp>
    </main>
    <main first="rtdsrv.83aaa2cc90e24b62bd47ab1283cce962">
      <tp>
        <v>2</v>
        <stp/>
        <stp>c0ed8746-a0aa-4903-8a5c-1d9e0b05a9a1</stp>
        <tr r="D4" s="3"/>
      </tp>
      <tp>
        <v>2</v>
        <stp/>
        <stp>72440ac0-408c-4689-9208-875920581667</stp>
        <tr r="G57" s="4"/>
      </tp>
    </main>
    <main first="rtdsrv.83aaa2cc90e24b62bd47ab1283cce962">
      <tp>
        <v>2</v>
        <stp/>
        <stp>ce440cb2-7dfa-4123-b5b8-b917ee7d6c99</stp>
        <tr r="I33" s="4"/>
      </tp>
    </main>
    <main first="rtdsrv.83aaa2cc90e24b62bd47ab1283cce962">
      <tp>
        <v>2</v>
        <stp/>
        <stp>090239e0-1970-4333-8ba8-4ae3ad829977</stp>
        <tr r="G34" s="4"/>
      </tp>
    </main>
    <main first="rtdsrv.83aaa2cc90e24b62bd47ab1283cce962">
      <tp>
        <v>1</v>
        <stp/>
        <stp>92957b87-942a-4eb8-8892-0507a7b5846b</stp>
        <tr r="G27" s="7"/>
      </tp>
    </main>
    <main first="rtdsrv.83aaa2cc90e24b62bd47ab1283cce962">
      <tp>
        <v>1</v>
        <stp/>
        <stp>716f7f52-d2ca-42a4-a797-ac4ab49cf7c5</stp>
        <tr r="G38" s="7"/>
      </tp>
    </main>
    <main first="rtdsrv.83aaa2cc90e24b62bd47ab1283cce962">
      <tp>
        <v>1</v>
        <stp/>
        <stp>8d3b9ff1-8eb7-4055-bb3c-fce76481357a</stp>
        <tr r="G57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localhost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3D96-2BED-447F-BDEB-F8DD83959477}">
  <dimension ref="B1:AS79"/>
  <sheetViews>
    <sheetView tabSelected="1"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5.375" customWidth="1"/>
    <col min="17" max="17" width="54.62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JsonObject:52A2F858-3F74-4672-A31D-B7422A404FBB</v>
      </c>
      <c r="K1" t="str">
        <f>EXLIBRIS_CONFIGURATION</f>
        <v>ExLibris.Core.ExLibrisConfiguration:F0DF99F8-61E4-463E-9654-9F1DC8890D33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JsonObject:CB96C2F4-B2BE-4E54-9E6C-3D4C6042F495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104</v>
      </c>
      <c r="C7" s="6">
        <f>COUNTIF(AR19:AS21,FALSE)</f>
        <v>0</v>
      </c>
      <c r="L7" t="s">
        <v>74</v>
      </c>
      <c r="M7" t="s">
        <v>103</v>
      </c>
    </row>
    <row r="8" spans="2:28" x14ac:dyDescent="0.4">
      <c r="B8" s="6" t="s">
        <v>105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B9" s="6" t="s">
        <v>181</v>
      </c>
      <c r="C9" s="6">
        <f>COUNTIF(AR67:AS72,FALSE)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B10" s="6" t="s">
        <v>182</v>
      </c>
      <c r="C10" s="6">
        <f>COUNTIF(AR74:AS79,FALSE)</f>
        <v>0</v>
      </c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JsonObject:EF404BC8-9ABB-4928-92CC-B46882D34EB7</v>
      </c>
      <c r="P19" t="str" cm="1">
        <f t="array" ref="P19:Q27">_xll.ExLibris.Json.GetJsonKeyValues(F1,3)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I57" si="5">E19=S19</f>
        <v>1</v>
      </c>
      <c r="AI19" t="b">
        <f t="shared" si="5"/>
        <v>1</v>
      </c>
      <c r="AR19" t="b">
        <f t="shared" ref="AR19:AS21" si="6">P19=AD19</f>
        <v>1</v>
      </c>
      <c r="AS19" t="b">
        <f t="shared" si="6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5"/>
        <v>1</v>
      </c>
      <c r="AK20" t="b">
        <f t="shared" ref="AK20:AP26" si="7">I20=W20</f>
        <v>1</v>
      </c>
      <c r="AL20" t="b">
        <f t="shared" si="7"/>
        <v>1</v>
      </c>
      <c r="AM20" t="b">
        <f t="shared" si="7"/>
        <v>1</v>
      </c>
      <c r="AN20" t="b">
        <f t="shared" si="7"/>
        <v>1</v>
      </c>
      <c r="AO20" t="b">
        <f t="shared" si="7"/>
        <v>1</v>
      </c>
      <c r="AP20" t="b">
        <f t="shared" si="7"/>
        <v>1</v>
      </c>
      <c r="AR20" t="b">
        <f t="shared" si="6"/>
        <v>1</v>
      </c>
      <c r="AS20" t="b">
        <f t="shared" si="6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5"/>
        <v>1</v>
      </c>
      <c r="AK21" t="b">
        <f t="shared" si="7"/>
        <v>1</v>
      </c>
      <c r="AL21" t="b">
        <f t="shared" si="7"/>
        <v>1</v>
      </c>
      <c r="AM21" t="b">
        <f t="shared" si="7"/>
        <v>1</v>
      </c>
      <c r="AN21" t="b">
        <f t="shared" si="7"/>
        <v>1</v>
      </c>
      <c r="AO21" t="b">
        <f t="shared" si="7"/>
        <v>1</v>
      </c>
      <c r="AP21" t="b">
        <f t="shared" si="7"/>
        <v>1</v>
      </c>
      <c r="AR21" t="b">
        <f t="shared" si="6"/>
        <v>1</v>
      </c>
      <c r="AS21" t="b">
        <f t="shared" si="6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JsonObject:07017FCE-7D95-4189-8AE3-D4FB5AA3787E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5"/>
        <v>1</v>
      </c>
      <c r="AK22" t="b">
        <f t="shared" si="7"/>
        <v>1</v>
      </c>
      <c r="AL22" t="b">
        <f t="shared" si="7"/>
        <v>1</v>
      </c>
      <c r="AM22" t="b">
        <f t="shared" si="7"/>
        <v>1</v>
      </c>
      <c r="AN22" t="b">
        <f t="shared" si="7"/>
        <v>1</v>
      </c>
      <c r="AO22" t="b">
        <f t="shared" si="7"/>
        <v>1</v>
      </c>
      <c r="AP22" t="b">
        <f t="shared" si="7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JsonObject:BEC9C01F-61B3-4A7B-9DBB-81496CCE3D9C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5"/>
        <v>1</v>
      </c>
      <c r="AK23" t="b">
        <f t="shared" si="7"/>
        <v>1</v>
      </c>
      <c r="AL23" t="b">
        <f t="shared" si="7"/>
        <v>1</v>
      </c>
      <c r="AM23" t="b">
        <f t="shared" si="7"/>
        <v>1</v>
      </c>
      <c r="AN23" t="b">
        <f t="shared" si="7"/>
        <v>1</v>
      </c>
      <c r="AO23" t="b">
        <f t="shared" si="7"/>
        <v>1</v>
      </c>
      <c r="AP23" t="b">
        <f t="shared" si="7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JsonObject:7DDE9C87-A3FF-407B-BE23-C6B16A9692EA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5"/>
        <v>1</v>
      </c>
      <c r="AK24" t="b">
        <f t="shared" si="7"/>
        <v>1</v>
      </c>
      <c r="AL24" t="b">
        <f t="shared" si="7"/>
        <v>1</v>
      </c>
      <c r="AM24" t="b">
        <f t="shared" si="7"/>
        <v>1</v>
      </c>
      <c r="AN24" t="b">
        <f t="shared" si="7"/>
        <v>1</v>
      </c>
      <c r="AO24" t="b">
        <f t="shared" si="7"/>
        <v>1</v>
      </c>
      <c r="AP24" t="b">
        <f t="shared" si="7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JsonObject:9FA80DE3-74C6-4F33-B39E-F97A07871379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5"/>
        <v>1</v>
      </c>
      <c r="AK25" t="b">
        <f t="shared" si="7"/>
        <v>1</v>
      </c>
      <c r="AL25" t="b">
        <f t="shared" si="7"/>
        <v>1</v>
      </c>
      <c r="AM25" t="b">
        <f t="shared" si="7"/>
        <v>1</v>
      </c>
      <c r="AN25" t="b">
        <f t="shared" si="7"/>
        <v>1</v>
      </c>
      <c r="AO25" t="b">
        <f t="shared" si="7"/>
        <v>1</v>
      </c>
      <c r="AP25" t="b">
        <f t="shared" si="7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JsonObject:C53CF65F-252C-4C0C-9D88-2DD7CEE442B4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5"/>
        <v>1</v>
      </c>
      <c r="AK26" t="b">
        <f t="shared" si="7"/>
        <v>1</v>
      </c>
      <c r="AL26" t="b">
        <f t="shared" si="7"/>
        <v>1</v>
      </c>
      <c r="AM26" t="b">
        <f t="shared" si="7"/>
        <v>1</v>
      </c>
      <c r="AN26" t="b">
        <f t="shared" si="7"/>
        <v>1</v>
      </c>
      <c r="AO26" t="b">
        <f t="shared" si="7"/>
        <v>1</v>
      </c>
      <c r="AP26" t="b">
        <f t="shared" si="7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JsonObject:1FA869B2-6DE1-4CAB-9619-8052C38BEC92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5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JsonObject:AE972D68-C821-466C-BCAB-DE624FD97744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5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JsonObject:697E7411-20D4-4EF3-87D7-E6644719D4E2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5"/>
        <v>1</v>
      </c>
      <c r="AK29" t="b">
        <f t="shared" ref="AK29:AP30" si="8">I29=W29</f>
        <v>1</v>
      </c>
      <c r="AL29" t="b">
        <f t="shared" si="8"/>
        <v>1</v>
      </c>
      <c r="AM29" t="b">
        <f t="shared" si="8"/>
        <v>1</v>
      </c>
      <c r="AN29" t="b">
        <f t="shared" si="8"/>
        <v>1</v>
      </c>
      <c r="AO29" t="b">
        <f t="shared" si="8"/>
        <v>1</v>
      </c>
      <c r="AP29" t="b">
        <f t="shared" si="8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5"/>
        <v>1</v>
      </c>
      <c r="AK30" t="b">
        <f t="shared" si="8"/>
        <v>1</v>
      </c>
      <c r="AL30" t="b">
        <f t="shared" si="8"/>
        <v>1</v>
      </c>
      <c r="AM30" t="b">
        <f t="shared" si="8"/>
        <v>1</v>
      </c>
      <c r="AN30" t="b">
        <f t="shared" si="8"/>
        <v>1</v>
      </c>
      <c r="AO30" t="b">
        <f t="shared" si="8"/>
        <v>1</v>
      </c>
      <c r="AP30" t="b">
        <f t="shared" si="8"/>
        <v>1</v>
      </c>
      <c r="AR30" t="b">
        <f t="shared" ref="AR30:AS64" si="9">P30=AD30</f>
        <v>1</v>
      </c>
      <c r="AS30" t="b">
        <f t="shared" si="9"/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5"/>
        <v>1</v>
      </c>
      <c r="AR31" t="b">
        <f t="shared" si="9"/>
        <v>1</v>
      </c>
      <c r="AS31" t="b">
        <f t="shared" si="9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5"/>
        <v>1</v>
      </c>
      <c r="AR32" t="b">
        <f t="shared" si="9"/>
        <v>1</v>
      </c>
      <c r="AS32" t="b">
        <f t="shared" si="9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5"/>
        <v>1</v>
      </c>
      <c r="AR33" t="b">
        <f t="shared" si="9"/>
        <v>1</v>
      </c>
      <c r="AS33" t="b">
        <f t="shared" si="9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5"/>
        <v>1</v>
      </c>
      <c r="AR34" t="b">
        <f t="shared" si="9"/>
        <v>1</v>
      </c>
      <c r="AS34" t="b">
        <f t="shared" si="9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5"/>
        <v>1</v>
      </c>
      <c r="AR35" t="b">
        <f t="shared" si="9"/>
        <v>1</v>
      </c>
      <c r="AS35" t="b">
        <f t="shared" si="9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5"/>
        <v>1</v>
      </c>
      <c r="AR36" t="b">
        <f t="shared" si="9"/>
        <v>1</v>
      </c>
      <c r="AS36" t="b">
        <f t="shared" si="9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5"/>
        <v>1</v>
      </c>
      <c r="AR37" t="b">
        <f t="shared" si="9"/>
        <v>1</v>
      </c>
      <c r="AS37" t="b">
        <f t="shared" si="9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5"/>
        <v>1</v>
      </c>
      <c r="AR38" t="b">
        <f t="shared" si="9"/>
        <v>1</v>
      </c>
      <c r="AS38" t="b">
        <f t="shared" si="9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5"/>
        <v>1</v>
      </c>
      <c r="AR39" t="b">
        <f t="shared" si="9"/>
        <v>1</v>
      </c>
      <c r="AS39" t="b">
        <f t="shared" si="9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5"/>
        <v>1</v>
      </c>
      <c r="AR40" t="b">
        <f t="shared" si="9"/>
        <v>1</v>
      </c>
      <c r="AS40" t="b">
        <f t="shared" si="9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5"/>
        <v>1</v>
      </c>
      <c r="AR41" t="b">
        <f t="shared" si="9"/>
        <v>1</v>
      </c>
      <c r="AS41" t="b">
        <f t="shared" si="9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5"/>
        <v>1</v>
      </c>
      <c r="AR42" t="b">
        <f t="shared" si="9"/>
        <v>1</v>
      </c>
      <c r="AS42" t="b">
        <f t="shared" si="9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5"/>
        <v>1</v>
      </c>
      <c r="AR43" t="b">
        <f t="shared" si="9"/>
        <v>1</v>
      </c>
      <c r="AS43" t="b">
        <f t="shared" si="9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5"/>
        <v>1</v>
      </c>
      <c r="AR44" t="b">
        <f t="shared" si="9"/>
        <v>1</v>
      </c>
      <c r="AS44" t="b">
        <f t="shared" si="9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5"/>
        <v>1</v>
      </c>
      <c r="AR45" t="b">
        <f t="shared" si="9"/>
        <v>1</v>
      </c>
      <c r="AS45" t="b">
        <f t="shared" si="9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5"/>
        <v>1</v>
      </c>
      <c r="AR46" t="b">
        <f t="shared" si="9"/>
        <v>1</v>
      </c>
      <c r="AS46" t="b">
        <f t="shared" si="9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5"/>
        <v>1</v>
      </c>
      <c r="AR47" t="b">
        <f t="shared" si="9"/>
        <v>1</v>
      </c>
      <c r="AS47" t="b">
        <f t="shared" si="9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5"/>
        <v>1</v>
      </c>
      <c r="AR48" t="b">
        <f t="shared" si="9"/>
        <v>1</v>
      </c>
      <c r="AS48" t="b">
        <f t="shared" si="9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5"/>
        <v>1</v>
      </c>
      <c r="AR49" t="b">
        <f t="shared" si="9"/>
        <v>1</v>
      </c>
      <c r="AS49" t="b">
        <f t="shared" si="9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5"/>
        <v>1</v>
      </c>
      <c r="AR50" t="b">
        <f t="shared" si="9"/>
        <v>1</v>
      </c>
      <c r="AS50" t="b">
        <f t="shared" si="9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5"/>
        <v>1</v>
      </c>
      <c r="AR51" t="b">
        <f t="shared" si="9"/>
        <v>1</v>
      </c>
      <c r="AS51" t="b">
        <f t="shared" si="9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5"/>
        <v>1</v>
      </c>
      <c r="AR52" t="b">
        <f t="shared" si="9"/>
        <v>1</v>
      </c>
      <c r="AS52" t="b">
        <f t="shared" si="9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5"/>
        <v>1</v>
      </c>
      <c r="AR53" t="b">
        <f t="shared" si="9"/>
        <v>1</v>
      </c>
      <c r="AS53" t="b">
        <f t="shared" si="9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5"/>
        <v>1</v>
      </c>
      <c r="AR54" t="b">
        <f t="shared" si="9"/>
        <v>1</v>
      </c>
      <c r="AS54" t="b">
        <f t="shared" si="9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5"/>
        <v>1</v>
      </c>
      <c r="AR55" t="b">
        <f t="shared" si="9"/>
        <v>1</v>
      </c>
      <c r="AS55" t="b">
        <f t="shared" si="9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5"/>
        <v>1</v>
      </c>
      <c r="AR56" t="b">
        <f t="shared" si="9"/>
        <v>1</v>
      </c>
      <c r="AS56" t="b">
        <f t="shared" si="9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5"/>
        <v>1</v>
      </c>
      <c r="AR57" t="b">
        <f t="shared" si="9"/>
        <v>1</v>
      </c>
      <c r="AS57" t="b">
        <f t="shared" si="9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9"/>
        <v>1</v>
      </c>
      <c r="AS58" t="b">
        <f t="shared" si="9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9"/>
        <v>1</v>
      </c>
      <c r="AS59" t="b">
        <f t="shared" si="9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9"/>
        <v>1</v>
      </c>
      <c r="AS60" t="b">
        <f t="shared" si="9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9"/>
        <v>1</v>
      </c>
      <c r="AS61" t="b">
        <f t="shared" si="9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9"/>
        <v>1</v>
      </c>
      <c r="AS62" t="b">
        <f t="shared" si="9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9"/>
        <v>1</v>
      </c>
      <c r="AS63" t="b">
        <f t="shared" si="9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9"/>
        <v>1</v>
      </c>
      <c r="AS64" t="b">
        <f t="shared" si="9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  <row r="67" spans="16:45" x14ac:dyDescent="0.4">
      <c r="P67" t="str" cm="1">
        <f t="array" ref="P67:Q72">_xll.ExLibris.Json.GetJsonKeyValues(F1,"fixed_leg.cashflows.*.payment _date")</f>
        <v>fixed_leg.cashflows.[0].payment _date</v>
      </c>
      <c r="Q67">
        <v>44632</v>
      </c>
      <c r="AD67" t="s">
        <v>32</v>
      </c>
      <c r="AE67">
        <v>44632</v>
      </c>
      <c r="AR67" t="b">
        <f t="shared" ref="AR67:AR79" si="10">P67=AD67</f>
        <v>1</v>
      </c>
      <c r="AS67" t="b">
        <f t="shared" ref="AS67:AS79" si="11">Q67=AE67</f>
        <v>1</v>
      </c>
    </row>
    <row r="68" spans="16:45" x14ac:dyDescent="0.4">
      <c r="P68" t="str">
        <v>fixed_leg.cashflows.[1].payment _date</v>
      </c>
      <c r="Q68">
        <v>44812</v>
      </c>
      <c r="AD68" t="s">
        <v>38</v>
      </c>
      <c r="AE68">
        <v>44812</v>
      </c>
      <c r="AR68" t="b">
        <f t="shared" si="10"/>
        <v>1</v>
      </c>
      <c r="AS68" t="b">
        <f t="shared" si="11"/>
        <v>1</v>
      </c>
    </row>
    <row r="69" spans="16:45" x14ac:dyDescent="0.4">
      <c r="P69" t="str">
        <v>fixed_leg.cashflows.[2].payment _date</v>
      </c>
      <c r="Q69">
        <v>44992</v>
      </c>
      <c r="AD69" t="s">
        <v>44</v>
      </c>
      <c r="AE69">
        <v>44992</v>
      </c>
      <c r="AR69" t="b">
        <f t="shared" si="10"/>
        <v>1</v>
      </c>
      <c r="AS69" t="b">
        <f t="shared" si="11"/>
        <v>1</v>
      </c>
    </row>
    <row r="70" spans="16:45" x14ac:dyDescent="0.4">
      <c r="P70" t="str">
        <v>fixed_leg.cashflows.[3].payment _date</v>
      </c>
      <c r="Q70">
        <v>45172</v>
      </c>
      <c r="AD70" t="s">
        <v>50</v>
      </c>
      <c r="AE70">
        <v>45172</v>
      </c>
      <c r="AR70" t="b">
        <f t="shared" si="10"/>
        <v>1</v>
      </c>
      <c r="AS70" t="b">
        <f t="shared" si="11"/>
        <v>1</v>
      </c>
    </row>
    <row r="71" spans="16:45" x14ac:dyDescent="0.4">
      <c r="P71" t="str">
        <v>fixed_leg.cashflows.[4].payment _date</v>
      </c>
      <c r="Q71">
        <v>45352</v>
      </c>
      <c r="AD71" t="s">
        <v>56</v>
      </c>
      <c r="AE71">
        <v>45352</v>
      </c>
      <c r="AR71" t="b">
        <f t="shared" si="10"/>
        <v>1</v>
      </c>
      <c r="AS71" t="b">
        <f t="shared" si="11"/>
        <v>1</v>
      </c>
    </row>
    <row r="72" spans="16:45" x14ac:dyDescent="0.4">
      <c r="P72" t="str">
        <v>fixed_leg.cashflows.[5].payment _date</v>
      </c>
      <c r="Q72">
        <v>45532</v>
      </c>
      <c r="AD72" t="s">
        <v>62</v>
      </c>
      <c r="AE72">
        <v>45532</v>
      </c>
      <c r="AR72" t="b">
        <f t="shared" si="10"/>
        <v>1</v>
      </c>
      <c r="AS72" t="b">
        <f t="shared" si="11"/>
        <v>1</v>
      </c>
    </row>
    <row r="74" spans="16:45" x14ac:dyDescent="0.4">
      <c r="P74" t="str" cm="1">
        <f t="array" ref="P74:Q79">_xll.ExLibris.Json.GetJsonKeyValues(F1,"fixed_leg.cashflows.[3].*")</f>
        <v>fixed_leg.cashflows.[3].payment _date</v>
      </c>
      <c r="Q74">
        <v>45172</v>
      </c>
      <c r="AD74" t="s">
        <v>50</v>
      </c>
      <c r="AE74">
        <v>45172</v>
      </c>
      <c r="AR74" t="b">
        <f t="shared" si="10"/>
        <v>1</v>
      </c>
      <c r="AS74" t="b">
        <f t="shared" si="11"/>
        <v>1</v>
      </c>
    </row>
    <row r="75" spans="16:45" x14ac:dyDescent="0.4">
      <c r="P75" t="str">
        <v>fixed_leg.cashflows.[3].start_date</v>
      </c>
      <c r="Q75">
        <v>44992</v>
      </c>
      <c r="AD75" t="s">
        <v>51</v>
      </c>
      <c r="AE75">
        <v>44992</v>
      </c>
      <c r="AR75" t="b">
        <f t="shared" si="10"/>
        <v>1</v>
      </c>
      <c r="AS75" t="b">
        <f t="shared" si="11"/>
        <v>1</v>
      </c>
    </row>
    <row r="76" spans="16:45" x14ac:dyDescent="0.4">
      <c r="P76" t="str">
        <v>fixed_leg.cashflows.[3].end_date</v>
      </c>
      <c r="Q76">
        <v>45172</v>
      </c>
      <c r="AD76" t="s">
        <v>52</v>
      </c>
      <c r="AE76">
        <v>45172</v>
      </c>
      <c r="AR76" t="b">
        <f t="shared" si="10"/>
        <v>1</v>
      </c>
      <c r="AS76" t="b">
        <f t="shared" si="11"/>
        <v>1</v>
      </c>
    </row>
    <row r="77" spans="16:45" x14ac:dyDescent="0.4">
      <c r="P77" t="str">
        <v>fixed_leg.cashflows.[3].day_count_type</v>
      </c>
      <c r="Q77" t="str">
        <v>ACT/360</v>
      </c>
      <c r="AD77" t="s">
        <v>53</v>
      </c>
      <c r="AE77" t="s">
        <v>8</v>
      </c>
      <c r="AR77" t="b">
        <f t="shared" si="10"/>
        <v>1</v>
      </c>
      <c r="AS77" t="b">
        <f t="shared" si="11"/>
        <v>1</v>
      </c>
    </row>
    <row r="78" spans="16:45" x14ac:dyDescent="0.4">
      <c r="P78" t="str">
        <v>fixed_leg.cashflows.[3].amout</v>
      </c>
      <c r="Q78">
        <v>13000000</v>
      </c>
      <c r="AD78" t="s">
        <v>54</v>
      </c>
      <c r="AE78">
        <v>13000000</v>
      </c>
      <c r="AR78" t="b">
        <f t="shared" si="10"/>
        <v>1</v>
      </c>
      <c r="AS78" t="b">
        <f t="shared" si="11"/>
        <v>1</v>
      </c>
    </row>
    <row r="79" spans="16:45" x14ac:dyDescent="0.4">
      <c r="P79" t="str">
        <v>fixed_leg.cashflows.[3].fixed_rate</v>
      </c>
      <c r="Q79">
        <v>1E-3</v>
      </c>
      <c r="AD79" t="s">
        <v>55</v>
      </c>
      <c r="AE79">
        <v>1E-3</v>
      </c>
      <c r="AR79" t="b">
        <f t="shared" si="10"/>
        <v>1</v>
      </c>
      <c r="AS79" t="b">
        <f t="shared" si="11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79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3.875" customWidth="1"/>
    <col min="17" max="17" width="54.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_xll.ExLibris.Json.CreateJsonObjectAsync(E3:F6)</f>
        <v>JsonObject:2A1832AF-6F94-4519-9D6F-7AFF11A808B5</v>
      </c>
      <c r="K1" t="str">
        <f>EXLIBRIS_CONFIGURATION</f>
        <v>ExLibris.Core.ExLibrisConfiguration:F0DF99F8-61E4-463E-9654-9F1DC8890D33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_xll.ExLibris.Json.CreateJsonArrayAsync(E8:J14)</f>
        <v>JsonObject:206F023E-4FD8-45A8-AB21-54CE69ABD566</v>
      </c>
      <c r="L6" t="s">
        <v>68</v>
      </c>
      <c r="M6" t="str" cm="1">
        <f t="array" ref="M6">_xll.ExLibris.Json.ShowJsonTextAsync(F1)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104</v>
      </c>
      <c r="C7" s="6">
        <f>COUNTIF(AR19:AS21,FALSE)</f>
        <v>0</v>
      </c>
      <c r="L7" t="s">
        <v>74</v>
      </c>
      <c r="M7" t="s">
        <v>103</v>
      </c>
    </row>
    <row r="8" spans="2:28" x14ac:dyDescent="0.4">
      <c r="B8" s="6" t="s">
        <v>105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B9" s="6" t="s">
        <v>181</v>
      </c>
      <c r="C9" s="6">
        <f>COUNTIF(AR67:AS72,FALSE)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B10" s="6" t="s">
        <v>182</v>
      </c>
      <c r="C10" s="6">
        <f>COUNTIF(AR74:AS79,FALSE)</f>
        <v>0</v>
      </c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_xll.ExLibris.Json.GetJsonKeyValuesAsync(F1)</f>
        <v>trade_code</v>
      </c>
      <c r="F19" t="str">
        <v>money_00001</v>
      </c>
      <c r="G19" t="str" cm="1">
        <f t="array" ref="G19">_xll.ExLibris.Json.GetJsonValueAsync($F$1,E19)</f>
        <v>money_00001</v>
      </c>
      <c r="I19" t="str" cm="1">
        <f t="array" ref="I19">_xll.ExLibris.Json.GetJsonValueAsync(F1,E6)</f>
        <v>JsonObject:EB8BC461-3C01-476B-9048-FF0DB295746A</v>
      </c>
      <c r="P19" t="str" cm="1">
        <f t="array" ref="P19:Q27">_xll.ExLibris.Json.GetJsonKeyValuesAsync(F1,3)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_xll.ExLibris.Json.GetJsonValueAsync($F$1,E20)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_xll.ExLibris.Json.GetJsonValueAsync($F$1,E21)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_xll.ExLibris.Json.GetJsonValueAsync($F$1,E22)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JsonObject:B9DA0B81-A803-4023-A5B0-ED39D1636721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_xll.ExLibris.Json.GetJsonValueAsync($F$1,E23)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JsonObject:2C3549B1-51DF-4C6F-AF04-35C341FD7F8C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_xll.ExLibris.Json.GetJsonValueAsync($F$1,E24)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JsonObject:6F9AF213-68EF-4C6B-AB9E-3E8E9E044219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JsonObject:BCCE4269-E901-44CF-A4F0-5E0D24C861A0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_xll.ExLibris.Json.GetJsonValueAsync($F$1,E26)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JsonObject:1796A747-6F1D-4621-8C5C-987A3978B065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_xll.ExLibris.Json.GetJsonValueAsync($F$1,E27)</f>
        <v>1E-3</v>
      </c>
      <c r="P27" t="str">
        <v>fixed_leg.cashflows.[5]</v>
      </c>
      <c r="Q27" t="str">
        <v>JsonObject:D2E997B2-D3DF-4862-A042-5745B76A80E7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_xll.ExLibris.Json.GetJsonValueAsync($F$1,E28)</f>
        <v>44812</v>
      </c>
      <c r="I28" t="str" cm="1">
        <f t="array" ref="I28">_xll.ExLibris.Json.GetJsonValueAsync(I19,"[2]")</f>
        <v>JsonObject:42183BC8-8C17-40A4-B1A4-628331E7B363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_xll.ExLibris.Json.GetJsonValueAsync($F$1,E29)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_xll.ExLibris.Json.CreateJsonObjectAsync(P22:Q27)</f>
        <v>JsonObject:F5AD9A29-1E53-423F-A257-35EE79423841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_xll.ExLibris.Json.GetJsonValueAsync($F$1,E30)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_xll.ExLibris.Json.GetJsonValueAsync($F$1,E32)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_xll.ExLibris.Json.GetJsonValueAsync($F$1,E33)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_xll.ExLibris.Json.GetJsonValueAsync($F$1,E34)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_xll.ExLibris.Json.GetJsonValueAsync($F$1,E35)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_xll.ExLibris.Json.GetJsonValueAsync($F$1,E36)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_xll.ExLibris.Json.GetJsonValueAsync($F$1,E38)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_xll.ExLibris.Json.GetJsonValueAsync($F$1,E39)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_xll.ExLibris.Json.GetJsonValueAsync($F$1,E40)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_xll.ExLibris.Json.GetJsonValueAsync($F$1,E41)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_xll.ExLibris.Json.GetJsonValueAsync($F$1,E42)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_xll.ExLibris.Json.GetJsonValueAsync($F$1,E44)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_xll.ExLibris.Json.GetJsonValueAsync($F$1,E45)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_xll.ExLibris.Json.GetJsonValueAsync($F$1,E46)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_xll.ExLibris.Json.GetJsonValueAsync($F$1,E47)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_xll.ExLibris.Json.GetJsonValueAsync($F$1,E48)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_xll.ExLibris.Json.GetJsonValueAsync($F$1,E50)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_xll.ExLibris.Json.GetJsonValueAsync($F$1,E51)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_xll.ExLibris.Json.GetJsonValueAsync($F$1,E52)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_xll.ExLibris.Json.GetJsonValueAsync($F$1,E53)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_xll.ExLibris.Json.GetJsonValueAsync($F$1,E54)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_xll.ExLibris.Json.GetJsonValueAsync($F$1,E56)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_xll.ExLibris.Json.GetJsonValueAsync($F$1,E57)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  <row r="67" spans="16:45" x14ac:dyDescent="0.4">
      <c r="P67" t="str" cm="1">
        <f t="array" ref="P67:Q72">_xll.ExLibris.Json.GetJsonKeyValuesAsync(F1,"fixed_leg.cashflows.*.payment _date")</f>
        <v>fixed_leg.cashflows.[0].payment _date</v>
      </c>
      <c r="Q67">
        <v>44632</v>
      </c>
      <c r="AD67" t="s">
        <v>32</v>
      </c>
      <c r="AE67">
        <v>44632</v>
      </c>
      <c r="AR67" t="b">
        <f t="shared" ref="AR67:AS79" si="12">P67=AD67</f>
        <v>1</v>
      </c>
      <c r="AS67" t="b">
        <f t="shared" si="12"/>
        <v>1</v>
      </c>
    </row>
    <row r="68" spans="16:45" x14ac:dyDescent="0.4">
      <c r="P68" t="str">
        <v>fixed_leg.cashflows.[1].payment _date</v>
      </c>
      <c r="Q68">
        <v>44812</v>
      </c>
      <c r="AD68" t="s">
        <v>38</v>
      </c>
      <c r="AE68">
        <v>44812</v>
      </c>
      <c r="AR68" t="b">
        <f t="shared" si="12"/>
        <v>1</v>
      </c>
      <c r="AS68" t="b">
        <f t="shared" si="12"/>
        <v>1</v>
      </c>
    </row>
    <row r="69" spans="16:45" x14ac:dyDescent="0.4">
      <c r="P69" t="str">
        <v>fixed_leg.cashflows.[2].payment _date</v>
      </c>
      <c r="Q69">
        <v>44992</v>
      </c>
      <c r="AD69" t="s">
        <v>44</v>
      </c>
      <c r="AE69">
        <v>44992</v>
      </c>
      <c r="AR69" t="b">
        <f t="shared" si="12"/>
        <v>1</v>
      </c>
      <c r="AS69" t="b">
        <f t="shared" si="12"/>
        <v>1</v>
      </c>
    </row>
    <row r="70" spans="16:45" x14ac:dyDescent="0.4">
      <c r="P70" t="str">
        <v>fixed_leg.cashflows.[3].payment _date</v>
      </c>
      <c r="Q70">
        <v>45172</v>
      </c>
      <c r="AD70" t="s">
        <v>50</v>
      </c>
      <c r="AE70">
        <v>45172</v>
      </c>
      <c r="AR70" t="b">
        <f t="shared" si="12"/>
        <v>1</v>
      </c>
      <c r="AS70" t="b">
        <f t="shared" si="12"/>
        <v>1</v>
      </c>
    </row>
    <row r="71" spans="16:45" x14ac:dyDescent="0.4">
      <c r="P71" t="str">
        <v>fixed_leg.cashflows.[4].payment _date</v>
      </c>
      <c r="Q71">
        <v>45352</v>
      </c>
      <c r="AD71" t="s">
        <v>56</v>
      </c>
      <c r="AE71">
        <v>45352</v>
      </c>
      <c r="AR71" t="b">
        <f t="shared" si="12"/>
        <v>1</v>
      </c>
      <c r="AS71" t="b">
        <f t="shared" si="12"/>
        <v>1</v>
      </c>
    </row>
    <row r="72" spans="16:45" x14ac:dyDescent="0.4">
      <c r="P72" t="str">
        <v>fixed_leg.cashflows.[5].payment _date</v>
      </c>
      <c r="Q72">
        <v>45532</v>
      </c>
      <c r="AD72" t="s">
        <v>62</v>
      </c>
      <c r="AE72">
        <v>45532</v>
      </c>
      <c r="AR72" t="b">
        <f t="shared" si="12"/>
        <v>1</v>
      </c>
      <c r="AS72" t="b">
        <f t="shared" si="12"/>
        <v>1</v>
      </c>
    </row>
    <row r="74" spans="16:45" x14ac:dyDescent="0.4">
      <c r="P74" t="str" cm="1">
        <f t="array" ref="P74:Q79">_xll.ExLibris.Json.GetJsonKeyValuesAsync(F1,"fixed_leg.cashflows.[3].*")</f>
        <v>fixed_leg.cashflows.[3].payment _date</v>
      </c>
      <c r="Q74">
        <v>45172</v>
      </c>
      <c r="AD74" t="s">
        <v>50</v>
      </c>
      <c r="AE74">
        <v>45172</v>
      </c>
      <c r="AR74" t="b">
        <f t="shared" si="12"/>
        <v>1</v>
      </c>
      <c r="AS74" t="b">
        <f t="shared" si="12"/>
        <v>1</v>
      </c>
    </row>
    <row r="75" spans="16:45" x14ac:dyDescent="0.4">
      <c r="P75" t="str">
        <v>fixed_leg.cashflows.[3].start_date</v>
      </c>
      <c r="Q75">
        <v>44992</v>
      </c>
      <c r="AD75" t="s">
        <v>51</v>
      </c>
      <c r="AE75">
        <v>44992</v>
      </c>
      <c r="AR75" t="b">
        <f t="shared" si="12"/>
        <v>1</v>
      </c>
      <c r="AS75" t="b">
        <f t="shared" si="12"/>
        <v>1</v>
      </c>
    </row>
    <row r="76" spans="16:45" x14ac:dyDescent="0.4">
      <c r="P76" t="str">
        <v>fixed_leg.cashflows.[3].end_date</v>
      </c>
      <c r="Q76">
        <v>45172</v>
      </c>
      <c r="AD76" t="s">
        <v>52</v>
      </c>
      <c r="AE76">
        <v>45172</v>
      </c>
      <c r="AR76" t="b">
        <f t="shared" si="12"/>
        <v>1</v>
      </c>
      <c r="AS76" t="b">
        <f t="shared" si="12"/>
        <v>1</v>
      </c>
    </row>
    <row r="77" spans="16:45" x14ac:dyDescent="0.4">
      <c r="P77" t="str">
        <v>fixed_leg.cashflows.[3].day_count_type</v>
      </c>
      <c r="Q77" t="str">
        <v>ACT/360</v>
      </c>
      <c r="AD77" t="s">
        <v>53</v>
      </c>
      <c r="AE77" t="s">
        <v>8</v>
      </c>
      <c r="AR77" t="b">
        <f t="shared" si="12"/>
        <v>1</v>
      </c>
      <c r="AS77" t="b">
        <f t="shared" si="12"/>
        <v>1</v>
      </c>
    </row>
    <row r="78" spans="16:45" x14ac:dyDescent="0.4">
      <c r="P78" t="str">
        <v>fixed_leg.cashflows.[3].amout</v>
      </c>
      <c r="Q78">
        <v>13000000</v>
      </c>
      <c r="AD78" t="s">
        <v>54</v>
      </c>
      <c r="AE78">
        <v>13000000</v>
      </c>
      <c r="AR78" t="b">
        <f t="shared" si="12"/>
        <v>1</v>
      </c>
      <c r="AS78" t="b">
        <f t="shared" si="12"/>
        <v>1</v>
      </c>
    </row>
    <row r="79" spans="16:45" x14ac:dyDescent="0.4">
      <c r="P79" t="str">
        <v>fixed_leg.cashflows.[3].fixed_rate</v>
      </c>
      <c r="Q79">
        <v>1E-3</v>
      </c>
      <c r="AD79" t="s">
        <v>55</v>
      </c>
      <c r="AE79">
        <v>1E-3</v>
      </c>
      <c r="AR79" t="b">
        <f t="shared" si="12"/>
        <v>1</v>
      </c>
      <c r="AS79" t="b">
        <f t="shared" si="12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_xll.ExLibris.Json.CreateJsonObjectAsync(E3:F6, EXLIBRIS_CONFIGURATION)</f>
        <v>JsonObject:BBECD4AA-A485-4CA4-9E97-0F7FC250627D</v>
      </c>
      <c r="K1" t="str">
        <f>EXLIBRIS_CONFIGURATION</f>
        <v>ExLibris.Core.ExLibrisConfiguration:F0DF99F8-61E4-463E-9654-9F1DC8890D33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_xll.ExLibris.Json.CreateJsonArrayAsync(E8:J14, EXLIBRIS_CONFIGURATION)</f>
        <v>JsonObject:E4760CE1-5B18-4BE6-8A2E-D54D58C331C3</v>
      </c>
      <c r="L6" t="s">
        <v>68</v>
      </c>
      <c r="M6" t="str" cm="1">
        <f t="array" ref="M6">_xll.ExLibris.Json.ShowJsonTextAsync(F1)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108</v>
      </c>
      <c r="C7" s="6">
        <f>COUNTIF(AE34:AJ36,FALSE)</f>
        <v>0</v>
      </c>
      <c r="L7" t="s">
        <v>74</v>
      </c>
      <c r="M7" t="s">
        <v>106</v>
      </c>
    </row>
    <row r="8" spans="2:25" x14ac:dyDescent="0.4">
      <c r="B8" s="6" t="s">
        <v>109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110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_xll.ExLibris.Json.GetJsonKeyValuesAsync(F1,, EXLIBRIS_CONFIGURATION)</f>
        <v>trade_code</v>
      </c>
      <c r="F19" t="str">
        <v>money_00001</v>
      </c>
      <c r="G19" t="str" cm="1">
        <f t="array" ref="G19">_xll.ExLibris.Json.GetJsonValueAsync($F$1,E19, EXLIBRIS_CONFIGURATION)</f>
        <v>money_00001</v>
      </c>
      <c r="I19" t="str" cm="1">
        <f t="array" ref="I19">_xll.ExLibris.Json.GetJsonValueAsync(F1,E6, EXLIBRIS_CONFIGURATION)</f>
        <v>JsonObject:83CBBB06-78F8-4E96-A681-BF324E9CE363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_xll.ExLibris.Json.GetJsonValueAsync($F$1,E20, EXLIBRIS_CONFIGURATION)</f>
        <v>CP00001</v>
      </c>
      <c r="I20" t="str" cm="1">
        <f t="array" ref="I20:N26">_xll.ExLibris.Json.GetJsonTableAsync(I19,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_xll.ExLibris.Json.GetJsonValueAsync($F$1,E21,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t="str" cm="1">
        <f t="array" ref="G22">_xll.ExLibris.Json.GetJsonValueAsync($F$1,E22,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_xll.ExLibris.Json.GetJsonValueAsync($F$1,E23,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_xll.ExLibris.Json.GetJsonValueAsync($F$1,E24,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_xll.ExLibris.Json.GetJsonValueAsync($F$1,E26,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_xll.ExLibris.Json.GetJsonValueAsync($F$1,E27,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_xll.ExLibris.Json.GetJsonValueAsync($F$1,E28, EXLIBRIS_CONFIGURATION)</f>
        <v>2022-09-08</v>
      </c>
      <c r="I28" t="str" cm="1">
        <f t="array" ref="I28">_xll.ExLibris.Json.GetJsonValueAsync(I19,"[2]", EXLIBRIS_CONFIGURATION)</f>
        <v>JsonObject:B9931949-9D59-44CC-8FE2-B91CD72E9523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_xll.ExLibris.Json.GetJsonValueAsync($F$1,E29, EXLIBRIS_CONFIGURATION)</f>
        <v>2022-03-12</v>
      </c>
      <c r="I29" t="str" cm="1">
        <f t="array" ref="I29:N30">_xll.ExLibris.Json.GetJsonTableAsync(I28,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_xll.ExLibris.Json.GetJsonValueAsync($F$1,E30,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_xll.ExLibris.Json.GetJsonValueAsync($F$1,E32, EXLIBRIS_CONFIGURATION)</f>
        <v>10000000</v>
      </c>
      <c r="I32" t="str" cm="1">
        <f t="array" ref="I32">_xll.ExLibris.Json.GetJsonValueAsync(F1,E6,EXLIBRIS_CONFIGURATION)</f>
        <v>JsonObject:83CBBB06-78F8-4E96-A681-BF324E9CE363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_xll.ExLibris.Json.GetJsonValueAsync($F$1,E33, EXLIBRIS_CONFIGURATION)</f>
        <v>1.1000000000000001E-3</v>
      </c>
      <c r="I33" t="str" cm="1">
        <f t="array" ref="I33">_xll.ExLibris.Json.SearchJsonArrayElementsAsync(I32,I8,I11,EXLIBRIS_CONFIGURATION)</f>
        <v>JsonObject:401E3E45-1D7F-464C-B02D-2F563EFFAFC5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_xll.ExLibris.Json.GetJsonValueAsync($F$1,E34, EXLIBRIS_CONFIGURATION)</f>
        <v>2023-03-07</v>
      </c>
      <c r="I34" t="str" cm="1">
        <f t="array" ref="I34:N36">_xll.ExLibris.Json.GetJsonTableAsync(I33,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_xll.ExLibris.Json.GetJsonValueAsync($F$1,E35,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_xll.ExLibris.Json.GetJsonValueAsync($F$1,E36,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_xll.ExLibris.Json.GetJsonValueAsync($F$1,E38, EXLIBRIS_CONFIGURATION)</f>
        <v>11000000</v>
      </c>
      <c r="I38" t="str" cm="1">
        <f t="array" ref="I38">_xll.ExLibris.Json.SearchJsonArrayElementsAsync(I32,J8,J11,EXLIBRIS_CONFIGURATION)</f>
        <v>JsonObject:F78D41FE-B256-458A-8364-43AE5435BE17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_xll.ExLibris.Json.GetJsonValueAsync($F$1,E39, EXLIBRIS_CONFIGURATION)</f>
        <v>1.2000000000000001E-3</v>
      </c>
      <c r="I39" t="str" cm="1">
        <f t="array" ref="I39:N40">_xll.ExLibris.Json.GetJsonTableAsync(I38,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_xll.ExLibris.Json.GetJsonValueAsync($F$1,E40,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_xll.ExLibris.Json.GetJsonValueAsync($F$1,E41,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_xll.ExLibris.Json.GetJsonValueAsync($F$1,E42, EXLIBRIS_CONFIGURATION)</f>
        <v>2023-09-03</v>
      </c>
      <c r="I42" t="str" cm="1">
        <f t="array" ref="I42">_xll.ExLibris.Json.SearchJsonArrayElementsAsync(I32,J8,,EXLIBRIS_CONFIGURATION)</f>
        <v>JsonObject:6796472E-1BC6-4551-B028-F64D8E7765AC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_xll.ExLibris.Json.GetJsonValueAsync($F$1,E43, EXLIBRIS_CONFIGURATION)</f>
        <v>ACT/360</v>
      </c>
      <c r="I43" t="str" cm="1">
        <f t="array" ref="I43">_xll.ExLibris.Json.GetJsonTableAsync(I42, EXLIBRIS_CONFIGURATION)</f>
        <v/>
      </c>
      <c r="P43" t="s">
        <v>53</v>
      </c>
      <c r="Q43" t="s">
        <v>8</v>
      </c>
      <c r="R43" t="s">
        <v>8</v>
      </c>
      <c r="T43" t="s">
        <v>107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_xll.ExLibris.Json.GetJsonValueAsync($F$1,E44,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_xll.ExLibris.Json.GetJsonValueAsync($F$1,E45,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_xll.ExLibris.Json.GetJsonValueAsync($F$1,E46,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_xll.ExLibris.Json.GetJsonValueAsync($F$1,E47,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_xll.ExLibris.Json.GetJsonValueAsync($F$1,E48,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_xll.ExLibris.Json.GetJsonValueAsync($F$1,E50,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_xll.ExLibris.Json.GetJsonValueAsync($F$1,E51,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_xll.ExLibris.Json.GetJsonValueAsync($F$1,E52,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_xll.ExLibris.Json.GetJsonValueAsync($F$1,E53,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_xll.ExLibris.Json.GetJsonValueAsync($F$1,E54,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_xll.ExLibris.Json.GetJsonValueAsync($F$1,E56,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_xll.ExLibris.Json.GetJsonValueAsync($F$1,E57,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_xll.ExLibris.LoadConfigurationAsync(B6:C15)</f>
        <v>ExLibris.Core.ExLibrisConfiguration:F0DF99F8-61E4-463E-9654-9F1DC8890D33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_xll.ExLibris.DumpObjectAsync(EXLIBRIS_CONFIGURATION)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J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28.875" customWidth="1"/>
    <col min="7" max="7" width="44.75" bestFit="1" customWidth="1"/>
    <col min="8" max="8" width="44.75" customWidth="1"/>
    <col min="9" max="10" width="39.125" bestFit="1" customWidth="1"/>
  </cols>
  <sheetData>
    <row r="2" spans="2:10" s="4" customFormat="1" ht="18" x14ac:dyDescent="0.4">
      <c r="B2" s="4" t="s">
        <v>100</v>
      </c>
    </row>
    <row r="3" spans="2:10" x14ac:dyDescent="0.4">
      <c r="D3" t="s">
        <v>148</v>
      </c>
      <c r="E3" t="s">
        <v>147</v>
      </c>
      <c r="F3" t="s">
        <v>101</v>
      </c>
      <c r="G3" t="s">
        <v>149</v>
      </c>
      <c r="H3" t="s">
        <v>156</v>
      </c>
      <c r="I3" t="s">
        <v>150</v>
      </c>
      <c r="J3" t="s">
        <v>151</v>
      </c>
    </row>
    <row r="4" spans="2:10" x14ac:dyDescent="0.4">
      <c r="D4" t="str" cm="1">
        <f t="array" ref="D4">_xll.ExLibris.WebSockets.OpenWebSocketAsync("ws://localhost:10101",,E4)</f>
        <v>ExLibris.Core.WebSockets.WebsocketClient:16D7337E-1A65-4898-9732-8272DF54FFEA</v>
      </c>
      <c r="E4" t="s">
        <v>102</v>
      </c>
      <c r="F4" t="str" cm="1">
        <f t="array" ref="F4">_xll.ExLibris.WebSockets.ObserveWebSocketStatus(D4,1000)</f>
        <v>Closed</v>
      </c>
      <c r="G4" t="e" cm="1">
        <f t="array" ref="G4">_xll.ExLibris.WebSockets.ObserveWebSocketMessage(D4)</f>
        <v>#N/A</v>
      </c>
      <c r="H4" t="e" cm="1">
        <f t="array" ref="H4">_xll.ExLibris.Json.ShowJsonText(_xll.ExLibris.Json.CreateJsonArray($E$3:G4))</f>
        <v>#VALUE!</v>
      </c>
      <c r="I4" t="e" cm="1">
        <f t="array" ref="I4">_xll.ExLibris.WebSockets.SendWebSocketMessage(D4,H4,F4="Open")</f>
        <v>#VALUE!</v>
      </c>
      <c r="J4" t="e" cm="1">
        <f t="array" ref="J4">_xll.ExLibris.WebSockets.SendWebSocketMessage($D$4,"1# "&amp;H4,I4)</f>
        <v>#VALUE!</v>
      </c>
    </row>
    <row r="5" spans="2:10" x14ac:dyDescent="0.4">
      <c r="D5" t="str" cm="1">
        <f t="array" ref="D5">_xll.ExLibris.WebSockets.OpenWebSocketAsync("ws://localhost:10101",,E5)</f>
        <v>ExLibris.Core.WebSockets.WebsocketClient:029ECD09-225C-49C0-AD77-AB72A4B01810</v>
      </c>
      <c r="E5" t="s">
        <v>152</v>
      </c>
      <c r="F5" t="str" cm="1">
        <f t="array" ref="F5">_xll.ExLibris.WebSockets.ObserveWebSocketStatus(D5,1000)</f>
        <v>Closed</v>
      </c>
      <c r="G5" t="e" cm="1">
        <f t="array" ref="G5">_xll.ExLibris.WebSockets.ObserveWebSocketMessage(D5)</f>
        <v>#N/A</v>
      </c>
      <c r="H5" t="e" cm="1">
        <f t="array" ref="H5">_xll.ExLibris.Json.ShowJsonText(_xll.ExLibris.Json.CreateJsonArray($E$3:G5))</f>
        <v>#VALUE!</v>
      </c>
      <c r="I5" t="e" cm="1">
        <f t="array" ref="I5">_xll.ExLibris.WebSockets.SendWebSocketMessage(D5,H5,F5="Open")</f>
        <v>#VALUE!</v>
      </c>
      <c r="J5" t="e" cm="1">
        <f t="array" ref="J5">_xll.ExLibris.WebSockets.SendWebSocketMessage($D$4,"1# "&amp;H5,I5)</f>
        <v>#VALUE!</v>
      </c>
    </row>
    <row r="6" spans="2:10" x14ac:dyDescent="0.4">
      <c r="D6" t="str" cm="1">
        <f t="array" ref="D6">_xll.ExLibris.WebSockets.OpenWebSocketAsync("ws://localhost:10101",,E6)</f>
        <v>ExLibris.Core.WebSockets.WebsocketClient:1C440D9A-89CA-424C-8668-8284097545EB</v>
      </c>
      <c r="E6" t="s">
        <v>153</v>
      </c>
      <c r="F6" t="str" cm="1">
        <f t="array" ref="F6">_xll.ExLibris.WebSockets.ObserveWebSocketStatus(D6,1000)</f>
        <v>Closed</v>
      </c>
      <c r="G6" t="e" cm="1">
        <f t="array" ref="G6">_xll.ExLibris.WebSockets.ObserveWebSocketMessage(D6)</f>
        <v>#N/A</v>
      </c>
      <c r="H6" t="e" cm="1">
        <f t="array" ref="H6">_xll.ExLibris.Json.ShowJsonText(_xll.ExLibris.Json.CreateJsonArray($E$3:G6))</f>
        <v>#VALUE!</v>
      </c>
      <c r="I6" t="e" cm="1">
        <f t="array" ref="I6">_xll.ExLibris.WebSockets.SendWebSocketMessage(D6,H6,F6="Open")</f>
        <v>#VALUE!</v>
      </c>
      <c r="J6" t="e" cm="1">
        <f t="array" ref="J6">_xll.ExLibris.WebSockets.SendWebSocketMessage($D$4,"1# "&amp;H6,I6)</f>
        <v>#VALUE!</v>
      </c>
    </row>
    <row r="7" spans="2:10" x14ac:dyDescent="0.4">
      <c r="D7" t="str" cm="1">
        <f t="array" ref="D7">_xll.ExLibris.WebSockets.OpenWebSocketAsync("ws://localhost:10101",,E7)</f>
        <v>ExLibris.Core.WebSockets.WebsocketClient:15BCE862-62F6-46B6-B0CB-B3D03FFAF414</v>
      </c>
      <c r="E7" t="s">
        <v>154</v>
      </c>
      <c r="F7" t="str" cm="1">
        <f t="array" ref="F7">_xll.ExLibris.WebSockets.ObserveWebSocketStatus(D7,1000)</f>
        <v>Closed</v>
      </c>
      <c r="G7" t="e" cm="1">
        <f t="array" ref="G7">_xll.ExLibris.WebSockets.ObserveWebSocketMessage(D7)</f>
        <v>#N/A</v>
      </c>
      <c r="H7" t="e" cm="1">
        <f t="array" ref="H7">_xll.ExLibris.Json.ShowJsonText(_xll.ExLibris.Json.CreateJsonArray($E$3:G7))</f>
        <v>#VALUE!</v>
      </c>
      <c r="I7" t="e" cm="1">
        <f t="array" ref="I7">_xll.ExLibris.WebSockets.SendWebSocketMessage(D7,H7,F7="Open")</f>
        <v>#VALUE!</v>
      </c>
      <c r="J7" t="e" cm="1">
        <f t="array" ref="J7">_xll.ExLibris.WebSockets.SendWebSocketMessage($D$4,"1# "&amp;H7,I7)</f>
        <v>#VALUE!</v>
      </c>
    </row>
    <row r="8" spans="2:10" x14ac:dyDescent="0.4">
      <c r="D8" t="str" cm="1">
        <f t="array" ref="D8">_xll.ExLibris.WebSockets.OpenWebSocketAsync("ws://localhost:10101",,E8)</f>
        <v>ExLibris.Core.WebSockets.WebsocketClient:17B5C0EE-0BED-483E-8604-510D0BE6BDF3</v>
      </c>
      <c r="E8" t="s">
        <v>155</v>
      </c>
      <c r="F8" t="str" cm="1">
        <f t="array" ref="F8">_xll.ExLibris.WebSockets.ObserveWebSocketStatus(D8,1000)</f>
        <v>Closed</v>
      </c>
      <c r="G8" t="e" cm="1">
        <f t="array" ref="G8">_xll.ExLibris.WebSockets.ObserveWebSocketMessage(D8)</f>
        <v>#N/A</v>
      </c>
      <c r="H8" t="e" cm="1">
        <f t="array" ref="H8">_xll.ExLibris.Json.ShowJsonText(_xll.ExLibris.Json.CreateJsonArray($E$3:G8))</f>
        <v>#VALUE!</v>
      </c>
      <c r="I8" t="e" cm="1">
        <f t="array" ref="I8">_xll.ExLibris.WebSockets.SendWebSocketMessage(D8,H8,F8="Open")</f>
        <v>#VALUE!</v>
      </c>
      <c r="J8" t="e" cm="1">
        <f t="array" ref="J8">_xll.ExLibris.WebSockets.SendWebSocketMessage($D$4,"1# "&amp;H8,I8)</f>
        <v>#VALUE!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K52"/>
  <sheetViews>
    <sheetView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11" x14ac:dyDescent="0.4">
      <c r="B2" t="s">
        <v>111</v>
      </c>
      <c r="C2" s="7" t="s">
        <v>117</v>
      </c>
      <c r="E2" t="s">
        <v>119</v>
      </c>
      <c r="K2" t="s">
        <v>157</v>
      </c>
    </row>
    <row r="3" spans="2:11" x14ac:dyDescent="0.4">
      <c r="C3" t="s">
        <v>116</v>
      </c>
    </row>
    <row r="5" spans="2:11" x14ac:dyDescent="0.4">
      <c r="B5" t="str" cm="1">
        <f t="array" ref="B5">_xll.ExLibris.WebAPIs.CreateHeadersAsync(B6:C10)</f>
        <v>ExLibris.Core.WebAPIs.WebAPIHeaders:96371D18-46CF-437E-98A7-3FCEC36D9FEE</v>
      </c>
      <c r="H5" t="str" cm="1">
        <f t="array" ref="H5">_xll.ExLibris.Json.CreateJsonObjectAsync(H6:I11)</f>
        <v>JsonObject:BEC6A6FB-8692-4111-AAB8-B82C788E4C2E</v>
      </c>
    </row>
    <row r="6" spans="2:11" x14ac:dyDescent="0.4">
      <c r="B6" t="s">
        <v>120</v>
      </c>
      <c r="C6" t="s">
        <v>121</v>
      </c>
      <c r="H6" t="s">
        <v>140</v>
      </c>
      <c r="I6" t="s">
        <v>142</v>
      </c>
    </row>
    <row r="7" spans="2:11" x14ac:dyDescent="0.4">
      <c r="B7" t="s">
        <v>122</v>
      </c>
      <c r="C7" t="s">
        <v>128</v>
      </c>
      <c r="H7" t="s">
        <v>141</v>
      </c>
      <c r="I7" t="s">
        <v>143</v>
      </c>
    </row>
    <row r="8" spans="2:11" x14ac:dyDescent="0.4">
      <c r="B8" t="s">
        <v>123</v>
      </c>
      <c r="C8" t="s">
        <v>129</v>
      </c>
      <c r="H8" t="s">
        <v>131</v>
      </c>
      <c r="I8">
        <v>108.5</v>
      </c>
    </row>
    <row r="9" spans="2:11" x14ac:dyDescent="0.4">
      <c r="B9" t="s">
        <v>124</v>
      </c>
      <c r="C9" t="s">
        <v>125</v>
      </c>
      <c r="H9" t="s">
        <v>132</v>
      </c>
      <c r="I9" t="s">
        <v>133</v>
      </c>
    </row>
    <row r="10" spans="2:11" x14ac:dyDescent="0.4">
      <c r="B10" t="s">
        <v>126</v>
      </c>
      <c r="C10" t="s">
        <v>127</v>
      </c>
      <c r="H10" t="s">
        <v>134</v>
      </c>
      <c r="I10" t="s">
        <v>135</v>
      </c>
    </row>
    <row r="11" spans="2:11" x14ac:dyDescent="0.4">
      <c r="H11" t="s">
        <v>136</v>
      </c>
      <c r="I11" s="1">
        <v>44463</v>
      </c>
    </row>
    <row r="12" spans="2:11" x14ac:dyDescent="0.4">
      <c r="B12" s="8">
        <f>COUNTIF(E14:E52,FALSE)</f>
        <v>0</v>
      </c>
      <c r="I12" s="1"/>
    </row>
    <row r="13" spans="2:11" x14ac:dyDescent="0.4">
      <c r="D13" t="s">
        <v>68</v>
      </c>
      <c r="E13" t="s">
        <v>177</v>
      </c>
      <c r="F13" s="1" t="s">
        <v>69</v>
      </c>
    </row>
    <row r="14" spans="2:11" x14ac:dyDescent="0.4">
      <c r="B14" t="s">
        <v>115</v>
      </c>
      <c r="C14" t="s">
        <v>114</v>
      </c>
      <c r="D14" t="str">
        <f>$C$2&amp;"get"</f>
        <v>http://localhost:80/get</v>
      </c>
      <c r="E14" t="b">
        <f t="shared" ref="E14:E52" si="0">D14=F14</f>
        <v>1</v>
      </c>
      <c r="F14" t="s">
        <v>158</v>
      </c>
    </row>
    <row r="15" spans="2:11" x14ac:dyDescent="0.4">
      <c r="C15" t="s">
        <v>112</v>
      </c>
      <c r="D15" t="e" cm="1">
        <f t="array" ref="D15">_xll.ExLibris.WebAPIs.GET(D14)</f>
        <v>#N/A</v>
      </c>
      <c r="F15" t="s">
        <v>159</v>
      </c>
    </row>
    <row r="16" spans="2:11" x14ac:dyDescent="0.4">
      <c r="C16" t="s">
        <v>101</v>
      </c>
      <c r="D16" t="e" cm="1">
        <f t="array" ref="D16">_xll.ExLibris.WebAPIs.WebAPIResponseStatus(D15,TRUE)</f>
        <v>#VALUE!</v>
      </c>
      <c r="E16" t="e">
        <f t="shared" si="0"/>
        <v>#VALUE!</v>
      </c>
      <c r="F16">
        <v>200</v>
      </c>
    </row>
    <row r="17" spans="2:6" x14ac:dyDescent="0.4">
      <c r="C17" t="s">
        <v>113</v>
      </c>
      <c r="D17" t="e" cm="1">
        <f t="array" ref="D17">_xll.ExLibris.WebAPIs.WebAPIResponseContent(D15)</f>
        <v>#VALUE!</v>
      </c>
      <c r="E17" t="e">
        <f t="shared" si="0"/>
        <v>#VALUE!</v>
      </c>
      <c r="F17" t="s">
        <v>178</v>
      </c>
    </row>
    <row r="19" spans="2:6" x14ac:dyDescent="0.4">
      <c r="B19" t="s">
        <v>118</v>
      </c>
      <c r="C19" t="s">
        <v>114</v>
      </c>
      <c r="D19" t="str">
        <f>$C$2&amp;"post"</f>
        <v>http://localhost:80/post</v>
      </c>
      <c r="E19" t="b">
        <f t="shared" si="0"/>
        <v>1</v>
      </c>
      <c r="F19" t="s">
        <v>160</v>
      </c>
    </row>
    <row r="20" spans="2:6" x14ac:dyDescent="0.4">
      <c r="C20" t="s">
        <v>112</v>
      </c>
      <c r="D20" t="e" cm="1">
        <f t="array" ref="D20">_xll.ExLibris.WebAPIs.POST(D19)</f>
        <v>#N/A</v>
      </c>
      <c r="F20" t="s">
        <v>161</v>
      </c>
    </row>
    <row r="21" spans="2:6" x14ac:dyDescent="0.4">
      <c r="C21" t="s">
        <v>101</v>
      </c>
      <c r="D21" t="e" cm="1">
        <f t="array" ref="D21">_xll.ExLibris.WebAPIs.WebAPIResponseStatus(D20,TRUE)</f>
        <v>#VALUE!</v>
      </c>
      <c r="E21" t="e">
        <f t="shared" si="0"/>
        <v>#VALUE!</v>
      </c>
      <c r="F21">
        <v>200</v>
      </c>
    </row>
    <row r="22" spans="2:6" x14ac:dyDescent="0.4">
      <c r="C22" t="s">
        <v>113</v>
      </c>
      <c r="D22" t="e" cm="1">
        <f t="array" ref="D22">_xll.ExLibris.WebAPIs.WebAPIResponseContent(D20)</f>
        <v>#VALUE!</v>
      </c>
      <c r="E22" t="e">
        <f t="shared" si="0"/>
        <v>#VALUE!</v>
      </c>
      <c r="F22" t="s">
        <v>180</v>
      </c>
    </row>
    <row r="24" spans="2:6" x14ac:dyDescent="0.4">
      <c r="B24" t="s">
        <v>130</v>
      </c>
      <c r="C24" t="s">
        <v>114</v>
      </c>
      <c r="D24" t="str">
        <f>$C$2&amp;"bearer"</f>
        <v>http://localhost:80/bearer</v>
      </c>
      <c r="E24" t="b">
        <f t="shared" si="0"/>
        <v>1</v>
      </c>
      <c r="F24" t="s">
        <v>162</v>
      </c>
    </row>
    <row r="25" spans="2:6" x14ac:dyDescent="0.4">
      <c r="C25" t="s">
        <v>112</v>
      </c>
      <c r="D25" t="e" cm="1">
        <f t="array" ref="D25">_xll.ExLibris.WebAPIs.GET(D24,$B$5)</f>
        <v>#N/A</v>
      </c>
      <c r="F25" t="s">
        <v>163</v>
      </c>
    </row>
    <row r="26" spans="2:6" x14ac:dyDescent="0.4">
      <c r="C26" t="s">
        <v>101</v>
      </c>
      <c r="D26" t="e" cm="1">
        <f t="array" ref="D26">_xll.ExLibris.WebAPIs.WebAPIResponseStatus(D25,TRUE)</f>
        <v>#VALUE!</v>
      </c>
      <c r="E26" t="e">
        <f t="shared" si="0"/>
        <v>#VALUE!</v>
      </c>
      <c r="F26">
        <v>200</v>
      </c>
    </row>
    <row r="27" spans="2:6" x14ac:dyDescent="0.4">
      <c r="C27" t="s">
        <v>113</v>
      </c>
      <c r="D27" t="e" cm="1">
        <f t="array" ref="D27">_xll.ExLibris.WebAPIs.WebAPIResponseContent(D25)</f>
        <v>#VALUE!</v>
      </c>
      <c r="E27" t="e">
        <f t="shared" si="0"/>
        <v>#VALUE!</v>
      </c>
      <c r="F27" t="s">
        <v>164</v>
      </c>
    </row>
    <row r="29" spans="2:6" x14ac:dyDescent="0.4">
      <c r="B29" t="s">
        <v>137</v>
      </c>
      <c r="C29" t="s">
        <v>114</v>
      </c>
      <c r="D29" t="str">
        <f>$C$2&amp;"post"</f>
        <v>http://localhost:80/post</v>
      </c>
      <c r="E29" t="b">
        <f t="shared" si="0"/>
        <v>1</v>
      </c>
      <c r="F29" t="s">
        <v>160</v>
      </c>
    </row>
    <row r="30" spans="2:6" x14ac:dyDescent="0.4">
      <c r="C30" t="s">
        <v>112</v>
      </c>
      <c r="D30" t="e" cm="1">
        <f t="array" ref="D30">_xll.ExLibris.WebAPIs.POST(D29,_xll.ExLibris.Json.ShowJsonText(H5),,$B$5)</f>
        <v>#N/A</v>
      </c>
      <c r="F30" t="s">
        <v>165</v>
      </c>
    </row>
    <row r="31" spans="2:6" x14ac:dyDescent="0.4">
      <c r="C31" t="s">
        <v>101</v>
      </c>
      <c r="D31" t="e" cm="1">
        <f t="array" ref="D31">_xll.ExLibris.WebAPIs.WebAPIResponseStatus(D30,TRUE)</f>
        <v>#VALUE!</v>
      </c>
      <c r="E31" t="e">
        <f t="shared" si="0"/>
        <v>#VALUE!</v>
      </c>
      <c r="F31">
        <v>200</v>
      </c>
    </row>
    <row r="32" spans="2:6" x14ac:dyDescent="0.4">
      <c r="C32" t="s">
        <v>113</v>
      </c>
      <c r="D32" t="e" cm="1">
        <f t="array" ref="D32">_xll.ExLibris.WebAPIs.WebAPIResponseContent(D30)</f>
        <v>#VALUE!</v>
      </c>
      <c r="E32" t="e">
        <f t="shared" si="0"/>
        <v>#VALUE!</v>
      </c>
      <c r="F32" t="s">
        <v>166</v>
      </c>
    </row>
    <row r="34" spans="2:6" x14ac:dyDescent="0.4">
      <c r="B34" t="s">
        <v>138</v>
      </c>
      <c r="C34" t="s">
        <v>114</v>
      </c>
      <c r="D34" t="str">
        <f>$C$2&amp;"post"</f>
        <v>http://localhost:80/post</v>
      </c>
      <c r="E34" t="b">
        <f t="shared" si="0"/>
        <v>1</v>
      </c>
      <c r="F34" t="s">
        <v>160</v>
      </c>
    </row>
    <row r="35" spans="2:6" x14ac:dyDescent="0.4">
      <c r="C35" t="s">
        <v>112</v>
      </c>
      <c r="D35" t="e" cm="1">
        <f t="array" ref="D35">_xll.ExLibris.WebAPIs.POST(D34,H5,TRUE,$B$5)</f>
        <v>#N/A</v>
      </c>
      <c r="F35" t="s">
        <v>167</v>
      </c>
    </row>
    <row r="36" spans="2:6" x14ac:dyDescent="0.4">
      <c r="C36" t="s">
        <v>101</v>
      </c>
      <c r="D36" t="e" cm="1">
        <f t="array" ref="D36">_xll.ExLibris.WebAPIs.WebAPIResponseStatus(D35,TRUE)</f>
        <v>#VALUE!</v>
      </c>
      <c r="E36" t="e">
        <f t="shared" si="0"/>
        <v>#VALUE!</v>
      </c>
      <c r="F36">
        <v>200</v>
      </c>
    </row>
    <row r="37" spans="2:6" x14ac:dyDescent="0.4">
      <c r="C37" t="s">
        <v>113</v>
      </c>
      <c r="D37" t="e" cm="1">
        <f t="array" ref="D37">_xll.ExLibris.WebAPIs.WebAPIResponseContent(D35)</f>
        <v>#VALUE!</v>
      </c>
      <c r="E37" t="e">
        <f t="shared" si="0"/>
        <v>#VALUE!</v>
      </c>
      <c r="F37" t="s">
        <v>168</v>
      </c>
    </row>
    <row r="39" spans="2:6" x14ac:dyDescent="0.4">
      <c r="B39" t="s">
        <v>139</v>
      </c>
      <c r="C39" t="s">
        <v>114</v>
      </c>
      <c r="D39" t="str" cm="1">
        <f t="array" ref="D39">_xll.ExLibris.WebAPIs.BuildUri($C$2&amp;"post",H6:I11)</f>
        <v>http://localhost:80/post?currency_pair.left=USD&amp;currency_pair.right=JPY&amp;strike=108.5&amp;call_or_put=CALL&amp;buy_or_sell=SELL&amp;date=44463</v>
      </c>
      <c r="E39" t="b">
        <f t="shared" si="0"/>
        <v>1</v>
      </c>
      <c r="F39" t="s">
        <v>169</v>
      </c>
    </row>
    <row r="40" spans="2:6" x14ac:dyDescent="0.4">
      <c r="C40" t="s">
        <v>112</v>
      </c>
      <c r="D40" t="e" cm="1">
        <f t="array" ref="D40">_xll.ExLibris.WebAPIs.POST(D39,H6:I11,TRUE,$B$5)</f>
        <v>#N/A</v>
      </c>
      <c r="F40" t="s">
        <v>170</v>
      </c>
    </row>
    <row r="41" spans="2:6" x14ac:dyDescent="0.4">
      <c r="C41" t="s">
        <v>101</v>
      </c>
      <c r="D41" t="e" cm="1">
        <f t="array" ref="D41">_xll.ExLibris.WebAPIs.WebAPIResponseStatus(D40,TRUE)</f>
        <v>#VALUE!</v>
      </c>
      <c r="E41" t="e">
        <f t="shared" si="0"/>
        <v>#VALUE!</v>
      </c>
      <c r="F41">
        <v>200</v>
      </c>
    </row>
    <row r="42" spans="2:6" x14ac:dyDescent="0.4">
      <c r="C42" t="s">
        <v>113</v>
      </c>
      <c r="D42" t="e" cm="1">
        <f t="array" ref="D42">_xll.ExLibris.WebAPIs.WebAPIResponseContent(D40)</f>
        <v>#VALUE!</v>
      </c>
      <c r="E42" t="e">
        <f t="shared" si="0"/>
        <v>#VALUE!</v>
      </c>
      <c r="F42" t="s">
        <v>171</v>
      </c>
    </row>
    <row r="44" spans="2:6" x14ac:dyDescent="0.4">
      <c r="B44" t="s">
        <v>144</v>
      </c>
      <c r="C44" t="s">
        <v>114</v>
      </c>
      <c r="D44" t="str" cm="1">
        <f t="array" ref="D44">_xll.ExLibris.WebAPIs.BuildUri($C$2&amp;"get",H6:I11)</f>
        <v>http://localhost:80/get?currency_pair.left=USD&amp;currency_pair.right=JPY&amp;strike=108.5&amp;call_or_put=CALL&amp;buy_or_sell=SELL&amp;date=44463</v>
      </c>
      <c r="E44" t="b">
        <f t="shared" si="0"/>
        <v>1</v>
      </c>
      <c r="F44" t="s">
        <v>172</v>
      </c>
    </row>
    <row r="45" spans="2:6" x14ac:dyDescent="0.4">
      <c r="C45" t="s">
        <v>112</v>
      </c>
      <c r="D45" t="e" cm="1">
        <f t="array" ref="D45">_xll.ExLibris.WebAPIs.GET(D44)</f>
        <v>#N/A</v>
      </c>
      <c r="F45" t="s">
        <v>173</v>
      </c>
    </row>
    <row r="46" spans="2:6" x14ac:dyDescent="0.4">
      <c r="C46" t="s">
        <v>101</v>
      </c>
      <c r="D46" t="e" cm="1">
        <f t="array" ref="D46">_xll.ExLibris.WebAPIs.WebAPIResponseStatus(D45,TRUE)</f>
        <v>#VALUE!</v>
      </c>
      <c r="E46" t="e">
        <f t="shared" si="0"/>
        <v>#VALUE!</v>
      </c>
      <c r="F46">
        <v>200</v>
      </c>
    </row>
    <row r="47" spans="2:6" x14ac:dyDescent="0.4">
      <c r="C47" t="s">
        <v>113</v>
      </c>
      <c r="D47" t="e" cm="1">
        <f t="array" ref="D47">_xll.ExLibris.WebAPIs.WebAPIResponseContent(D45)</f>
        <v>#VALUE!</v>
      </c>
      <c r="E47" t="e">
        <f t="shared" si="0"/>
        <v>#VALUE!</v>
      </c>
      <c r="F47" t="s">
        <v>174</v>
      </c>
    </row>
    <row r="49" spans="2:6" x14ac:dyDescent="0.4">
      <c r="B49" t="s">
        <v>146</v>
      </c>
      <c r="C49" t="s">
        <v>114</v>
      </c>
      <c r="D49" t="str">
        <f>$C$2&amp;"delay/10"</f>
        <v>http://localhost:80/delay/10</v>
      </c>
      <c r="E49" t="b">
        <f t="shared" si="0"/>
        <v>1</v>
      </c>
      <c r="F49" t="s">
        <v>175</v>
      </c>
    </row>
    <row r="50" spans="2:6" x14ac:dyDescent="0.4">
      <c r="C50" t="s">
        <v>112</v>
      </c>
      <c r="D50" t="e" cm="1">
        <f t="array" ref="D50">_xll.ExLibris.WebAPIs.GET(D49)</f>
        <v>#N/A</v>
      </c>
      <c r="F50" t="s">
        <v>176</v>
      </c>
    </row>
    <row r="51" spans="2:6" x14ac:dyDescent="0.4">
      <c r="C51" t="s">
        <v>101</v>
      </c>
      <c r="D51" t="e" cm="1">
        <f t="array" ref="D51">_xll.ExLibris.WebAPIs.WebAPIResponseStatus(D50,TRUE)</f>
        <v>#VALUE!</v>
      </c>
      <c r="E51" t="e">
        <f t="shared" si="0"/>
        <v>#VALUE!</v>
      </c>
      <c r="F51">
        <v>200</v>
      </c>
    </row>
    <row r="52" spans="2:6" x14ac:dyDescent="0.4">
      <c r="C52" t="s">
        <v>113</v>
      </c>
      <c r="D52" t="e" cm="1">
        <f t="array" ref="D52">_xll.ExLibris.WebAPIs.WebAPIResponseContent(D50)</f>
        <v>#VALUE!</v>
      </c>
      <c r="E52" t="e">
        <f t="shared" si="0"/>
        <v>#VALUE!</v>
      </c>
      <c r="F52" t="s">
        <v>179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2" max="2" width="20.625" customWidth="1"/>
    <col min="3" max="3" width="18.25" customWidth="1"/>
  </cols>
  <sheetData>
    <row r="2" spans="2:4" x14ac:dyDescent="0.4">
      <c r="B2" t="str" cm="1">
        <f t="array" ref="B2">_xll.ExLibris.WebAPIs.CreateHeadersAsync(B3:C3)</f>
        <v>ExLibris.Core.WebAPIs.WebAPIHeaders:048FA470-F40B-4E12-A202-7FBB2EA67477</v>
      </c>
    </row>
    <row r="3" spans="2:4" x14ac:dyDescent="0.4">
      <c r="B3" t="s">
        <v>120</v>
      </c>
      <c r="C3" t="s">
        <v>145</v>
      </c>
    </row>
    <row r="5" spans="2:4" x14ac:dyDescent="0.4">
      <c r="B5" t="s">
        <v>114</v>
      </c>
      <c r="C5" t="str">
        <f>"https://api.github.com/users/"&amp;C3</f>
        <v>https://api.github.com/users/defunkt</v>
      </c>
    </row>
    <row r="6" spans="2:4" x14ac:dyDescent="0.4">
      <c r="B6" t="s">
        <v>112</v>
      </c>
      <c r="C6" t="str" cm="1">
        <f t="array" ref="C6">_xll.ExLibris.WebAPIs.GET(C5,B2)</f>
        <v>ExLibris.Core.WebAPIs.Response:983346E2-30E2-44FD-AA41-C964ED5A9BD0</v>
      </c>
    </row>
    <row r="7" spans="2:4" x14ac:dyDescent="0.4">
      <c r="B7" t="s">
        <v>101</v>
      </c>
      <c r="C7" t="str" cm="1">
        <f t="array" ref="C7">_xll.ExLibris.WebAPIs.WebAPIResponseStatus(C6)</f>
        <v>OK(200)</v>
      </c>
    </row>
    <row r="8" spans="2:4" x14ac:dyDescent="0.4">
      <c r="B8" t="s">
        <v>113</v>
      </c>
      <c r="C8" t="str" cm="1">
        <f t="array" ref="C8">_xll.ExLibris.WebAPIs.WebAPIResponseContent(C6)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21402,"following":210,"created_at":"2007-10-20T05:24:19Z","updated_at":"2022-03-29T01:48:36Z"}</v>
      </c>
    </row>
    <row r="10" spans="2:4" x14ac:dyDescent="0.4">
      <c r="C10" t="str" cm="1">
        <f t="array" ref="C10">_xll.ExLibris.Json.CreateJsonObjectAsync(C8)</f>
        <v>JsonObject:21E33735-F806-4566-A797-446C8DA6C4EE</v>
      </c>
    </row>
    <row r="11" spans="2:4" x14ac:dyDescent="0.4">
      <c r="C11" t="str" cm="1">
        <f t="array" ref="C11:D42">_xll.ExLibris.Json.GetJsonKeyValuesAsync(C10)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21402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2022-03-29T01:48:36Z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</vt:i4>
      </vt:variant>
    </vt:vector>
  </HeadingPairs>
  <TitlesOfParts>
    <vt:vector size="8" baseType="lpstr">
      <vt:lpstr>json_test</vt:lpstr>
      <vt:lpstr>json_test_async</vt:lpstr>
      <vt:lpstr>json_w_conf_test_async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2022-05-01T05:34:53Z</dcterms:modified>
</cp:coreProperties>
</file>