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D8651EC5-336F-4042-90A8-3FB83ADEBEFF}" xr6:coauthVersionLast="47" xr6:coauthVersionMax="47" xr10:uidLastSave="{00000000-0000-0000-0000-000000000000}"/>
  <bookViews>
    <workbookView xWindow="-120" yWindow="-120" windowWidth="29040" windowHeight="15840" activeTab="4" xr2:uid="{705CD0B7-27A9-4291-85BD-6034C0FEE3E4}"/>
  </bookViews>
  <sheets>
    <sheet name="json_test" sheetId="1" r:id="rId1"/>
    <sheet name="json_w_conf_test" sheetId="4" r:id="rId2"/>
    <sheet name="configuration" sheetId="2" r:id="rId3"/>
    <sheet name="websocket" sheetId="3" r:id="rId4"/>
    <sheet name="webapi" sheetId="5" r:id="rId5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66" i="5" l="1"/>
  <c r="D23" i="5"/>
  <c r="N54" i="5"/>
  <c r="N42" i="5"/>
  <c r="N30" i="5"/>
  <c r="D18" i="5"/>
  <c r="J11" i="4"/>
  <c r="J12" i="4" s="1"/>
  <c r="J13" i="4" s="1"/>
  <c r="J14" i="4" s="1"/>
  <c r="J10" i="4"/>
  <c r="I14" i="4"/>
  <c r="I12" i="4"/>
  <c r="I10" i="4"/>
  <c r="I11" i="4"/>
  <c r="I13" i="4" s="1"/>
  <c r="G9" i="4"/>
  <c r="E9" i="4" s="1"/>
  <c r="I10" i="1"/>
  <c r="I11" i="1" s="1"/>
  <c r="I12" i="1" s="1"/>
  <c r="I13" i="1" s="1"/>
  <c r="I14" i="1" s="1"/>
  <c r="G9" i="1"/>
  <c r="E9" i="1" s="1"/>
  <c r="D30" i="5" a="1"/>
  <c r="D35" i="5" a="1"/>
  <c r="N65" i="5" a="1"/>
  <c r="N41" i="5" a="1"/>
  <c r="C17" i="5" a="1"/>
  <c r="C29" i="5" a="1"/>
  <c r="C2" i="2" a="1"/>
  <c r="N53" i="5" a="1"/>
  <c r="C41" i="5" a="1"/>
  <c r="E4" i="3" a="1"/>
  <c r="C5" i="5" a="1"/>
  <c r="H6" i="2" a="1"/>
  <c r="E17" i="3" a="1"/>
  <c r="N65" i="5" l="1"/>
  <c r="D35" i="5"/>
  <c r="D30" i="5"/>
  <c r="N53" i="5"/>
  <c r="N41" i="5"/>
  <c r="C41" i="5"/>
  <c r="C29" i="5"/>
  <c r="C17" i="5"/>
  <c r="C5" i="5"/>
  <c r="H6" i="2"/>
  <c r="E17" i="3"/>
  <c r="E4" i="3"/>
  <c r="F10" i="4"/>
  <c r="G10" i="4" s="1"/>
  <c r="C2" i="2"/>
  <c r="F10" i="1"/>
  <c r="G10" i="1" s="1"/>
  <c r="F11" i="1" s="1"/>
  <c r="G11" i="1" s="1"/>
  <c r="F12" i="1" s="1"/>
  <c r="G12" i="1" s="1"/>
  <c r="E12" i="1" s="1"/>
  <c r="D66" i="5" a="1"/>
  <c r="D71" i="5" a="1"/>
  <c r="D42" i="5" a="1"/>
  <c r="E19" i="3" a="1"/>
  <c r="D47" i="5" a="1"/>
  <c r="D31" i="5" a="1"/>
  <c r="D36" i="5" a="1"/>
  <c r="D24" i="5" a="1"/>
  <c r="D59" i="5" a="1"/>
  <c r="E6" i="3" a="1"/>
  <c r="D12" i="5" a="1"/>
  <c r="D54" i="5" a="1"/>
  <c r="D19" i="5" a="1"/>
  <c r="E20" i="3" a="1"/>
  <c r="E6" i="2" a="1"/>
  <c r="D7" i="5" a="1"/>
  <c r="E7" i="3" a="1"/>
  <c r="D71" i="5" l="1"/>
  <c r="D66" i="5"/>
  <c r="D59" i="5"/>
  <c r="D47" i="5"/>
  <c r="D36" i="5"/>
  <c r="D12" i="5"/>
  <c r="D24" i="5"/>
  <c r="D7" i="5"/>
  <c r="D19" i="5"/>
  <c r="D31" i="5"/>
  <c r="D42" i="5"/>
  <c r="D54" i="5"/>
  <c r="E6" i="2"/>
  <c r="E19" i="3"/>
  <c r="E20" i="3"/>
  <c r="K1" i="1"/>
  <c r="K1" i="4"/>
  <c r="F11" i="4"/>
  <c r="G11" i="4" s="1"/>
  <c r="E10" i="4"/>
  <c r="E7" i="3"/>
  <c r="E6" i="3"/>
  <c r="F13" i="1"/>
  <c r="G13" i="1" s="1"/>
  <c r="F14" i="1" s="1"/>
  <c r="G14" i="1" s="1"/>
  <c r="E14" i="1" s="1"/>
  <c r="E10" i="1"/>
  <c r="E11" i="1"/>
  <c r="D9" i="5" a="1"/>
  <c r="D33" i="5" a="1"/>
  <c r="D25" i="5" a="1"/>
  <c r="D27" i="5" a="1"/>
  <c r="D37" i="5" a="1"/>
  <c r="D14" i="5" a="1"/>
  <c r="D20" i="5" a="1"/>
  <c r="D13" i="5" a="1"/>
  <c r="D39" i="5" a="1"/>
  <c r="D43" i="5" a="1"/>
  <c r="D38" i="5" a="1"/>
  <c r="D8" i="5" a="1"/>
  <c r="D22" i="5" a="1"/>
  <c r="D32" i="5" a="1"/>
  <c r="D26" i="5" a="1"/>
  <c r="C53" i="5" a="1"/>
  <c r="D21" i="5" a="1"/>
  <c r="D34" i="5" a="1"/>
  <c r="D15" i="5" a="1"/>
  <c r="E22" i="3" a="1"/>
  <c r="D10" i="5" a="1"/>
  <c r="D48" i="5" a="1"/>
  <c r="C65" i="5" a="1"/>
  <c r="E9" i="3" a="1"/>
  <c r="C65" i="5" l="1"/>
  <c r="D48" i="5"/>
  <c r="D39" i="5"/>
  <c r="D38" i="5"/>
  <c r="D37" i="5"/>
  <c r="D14" i="5"/>
  <c r="D13" i="5"/>
  <c r="D15" i="5"/>
  <c r="D26" i="5"/>
  <c r="D25" i="5"/>
  <c r="D27" i="5"/>
  <c r="C53" i="5"/>
  <c r="D43" i="5"/>
  <c r="D34" i="5"/>
  <c r="D10" i="5"/>
  <c r="D22" i="5"/>
  <c r="D9" i="5"/>
  <c r="D33" i="5"/>
  <c r="D21" i="5"/>
  <c r="D32" i="5"/>
  <c r="D20" i="5"/>
  <c r="D8" i="5"/>
  <c r="E22" i="3"/>
  <c r="E11" i="4"/>
  <c r="F12" i="4"/>
  <c r="G12" i="4" s="1"/>
  <c r="E9" i="3"/>
  <c r="E13" i="1"/>
  <c r="D72" i="5" a="1"/>
  <c r="D60" i="5" a="1"/>
  <c r="F6" i="1" a="1"/>
  <c r="E23" i="3" a="1"/>
  <c r="D67" i="5" a="1"/>
  <c r="E10" i="3" a="1"/>
  <c r="D55" i="5" a="1"/>
  <c r="D46" i="5" a="1"/>
  <c r="D50" i="5" a="1"/>
  <c r="D49" i="5" a="1"/>
  <c r="D45" i="5" a="1"/>
  <c r="D51" i="5" a="1"/>
  <c r="D44" i="5" a="1"/>
  <c r="D60" i="5" l="1"/>
  <c r="D72" i="5"/>
  <c r="D67" i="5"/>
  <c r="D49" i="5"/>
  <c r="D50" i="5"/>
  <c r="D51" i="5"/>
  <c r="D46" i="5"/>
  <c r="D45" i="5"/>
  <c r="D44" i="5"/>
  <c r="D55" i="5"/>
  <c r="F6" i="1"/>
  <c r="E23" i="3"/>
  <c r="F13" i="4"/>
  <c r="G13" i="4" s="1"/>
  <c r="E12" i="4"/>
  <c r="E10" i="3"/>
  <c r="D57" i="5" a="1"/>
  <c r="D70" i="5" a="1"/>
  <c r="D63" i="5" a="1"/>
  <c r="D73" i="5" a="1"/>
  <c r="D62" i="5" a="1"/>
  <c r="E24" i="3" a="1"/>
  <c r="D56" i="5" a="1"/>
  <c r="D61" i="5" a="1"/>
  <c r="D69" i="5" a="1"/>
  <c r="D68" i="5" a="1"/>
  <c r="D58" i="5" a="1"/>
  <c r="D75" i="5" a="1"/>
  <c r="F1" i="1" a="1"/>
  <c r="D74" i="5" a="1"/>
  <c r="E11" i="3" a="1"/>
  <c r="D68" i="5" l="1"/>
  <c r="D69" i="5"/>
  <c r="D70" i="5"/>
  <c r="D73" i="5"/>
  <c r="D74" i="5"/>
  <c r="D75" i="5"/>
  <c r="D58" i="5"/>
  <c r="D63" i="5"/>
  <c r="D61" i="5"/>
  <c r="D62" i="5"/>
  <c r="D56" i="5"/>
  <c r="D57" i="5"/>
  <c r="F1" i="1"/>
  <c r="E24" i="3"/>
  <c r="E13" i="4"/>
  <c r="F14" i="4"/>
  <c r="G14" i="4" s="1"/>
  <c r="E14" i="4" s="1"/>
  <c r="E11" i="3"/>
  <c r="M6" i="1" a="1"/>
  <c r="E12" i="3" a="1"/>
  <c r="E25" i="3" a="1"/>
  <c r="P19" i="1" a="1"/>
  <c r="F6" i="4" a="1"/>
  <c r="E19" i="1" a="1"/>
  <c r="G45" i="1" a="1"/>
  <c r="G31" i="1" a="1"/>
  <c r="G32" i="1" a="1"/>
  <c r="G29" i="1" a="1"/>
  <c r="G28" i="1" a="1"/>
  <c r="G35" i="1" a="1"/>
  <c r="G43" i="1" a="1"/>
  <c r="G21" i="1" a="1"/>
  <c r="G23" i="1" a="1"/>
  <c r="G22" i="1" a="1"/>
  <c r="G27" i="1" a="1"/>
  <c r="G54" i="1" a="1"/>
  <c r="G41" i="1" a="1"/>
  <c r="G24" i="1" a="1"/>
  <c r="G55" i="1" a="1"/>
  <c r="G34" i="1" a="1"/>
  <c r="G57" i="1" a="1"/>
  <c r="G47" i="1" a="1"/>
  <c r="G33" i="1" a="1"/>
  <c r="G36" i="1" a="1"/>
  <c r="G38" i="1" a="1"/>
  <c r="G26" i="1" a="1"/>
  <c r="I19" i="1" a="1"/>
  <c r="G50" i="1" a="1"/>
  <c r="G52" i="1" a="1"/>
  <c r="G56" i="1" a="1"/>
  <c r="G25" i="1" a="1"/>
  <c r="G46" i="1" a="1"/>
  <c r="G39" i="1" a="1"/>
  <c r="G49" i="1" a="1"/>
  <c r="G37" i="1" a="1"/>
  <c r="G53" i="1" a="1"/>
  <c r="G42" i="1" a="1"/>
  <c r="G40" i="1" a="1"/>
  <c r="G48" i="1" a="1"/>
  <c r="G51" i="1" a="1"/>
  <c r="G20" i="1" a="1"/>
  <c r="G30" i="1" a="1"/>
  <c r="G44" i="1" a="1"/>
  <c r="AS21" i="1" l="1"/>
  <c r="AR21" i="1"/>
  <c r="AS19" i="1"/>
  <c r="AS20" i="1"/>
  <c r="AR20" i="1"/>
  <c r="P19" i="1"/>
  <c r="AR19" i="1" s="1"/>
  <c r="G44" i="1"/>
  <c r="G40" i="1"/>
  <c r="G45" i="1"/>
  <c r="G42" i="1"/>
  <c r="G57" i="1"/>
  <c r="G41" i="1"/>
  <c r="G33" i="1"/>
  <c r="G24" i="1"/>
  <c r="G35" i="1"/>
  <c r="G29" i="1"/>
  <c r="G21" i="1"/>
  <c r="G32" i="1"/>
  <c r="G53" i="1"/>
  <c r="G36" i="1"/>
  <c r="G31" i="1"/>
  <c r="G55" i="1"/>
  <c r="G50" i="1"/>
  <c r="G52" i="1"/>
  <c r="G28" i="1"/>
  <c r="G48" i="1"/>
  <c r="G37" i="1"/>
  <c r="G26" i="1"/>
  <c r="G51" i="1"/>
  <c r="G56" i="1"/>
  <c r="G27" i="1"/>
  <c r="G49" i="1"/>
  <c r="G34" i="1"/>
  <c r="G20" i="1"/>
  <c r="G22" i="1"/>
  <c r="G43" i="1"/>
  <c r="G47" i="1"/>
  <c r="G25" i="1"/>
  <c r="G54" i="1"/>
  <c r="G46" i="1"/>
  <c r="G38" i="1"/>
  <c r="G39" i="1"/>
  <c r="G30" i="1"/>
  <c r="G23" i="1"/>
  <c r="E19" i="1"/>
  <c r="I19" i="1"/>
  <c r="E25" i="3"/>
  <c r="F6" i="4"/>
  <c r="E12" i="3"/>
  <c r="AG27" i="1"/>
  <c r="AH42" i="1"/>
  <c r="AH46" i="1"/>
  <c r="AI55" i="1"/>
  <c r="AH51" i="1"/>
  <c r="AH22" i="1"/>
  <c r="AH28" i="1"/>
  <c r="AG39" i="1"/>
  <c r="AG24" i="1"/>
  <c r="AH57" i="1"/>
  <c r="AH45" i="1"/>
  <c r="AI28" i="1"/>
  <c r="AH26" i="1"/>
  <c r="AG44" i="1"/>
  <c r="AI21" i="1"/>
  <c r="AH55" i="1"/>
  <c r="AG53" i="1"/>
  <c r="AG51" i="1"/>
  <c r="AG29" i="1"/>
  <c r="AG46" i="1"/>
  <c r="AH48" i="1"/>
  <c r="AI26" i="1"/>
  <c r="AI45" i="1"/>
  <c r="AG41" i="1"/>
  <c r="AH30" i="1"/>
  <c r="AH35" i="1"/>
  <c r="AG36" i="1"/>
  <c r="AG56" i="1"/>
  <c r="AI22" i="1"/>
  <c r="AG21" i="1"/>
  <c r="AH43" i="1"/>
  <c r="AH20" i="1"/>
  <c r="AG28" i="1"/>
  <c r="AI40" i="1"/>
  <c r="AG32" i="1"/>
  <c r="AI57" i="1"/>
  <c r="AI52" i="1"/>
  <c r="AG43" i="1"/>
  <c r="AI49" i="1"/>
  <c r="AI36" i="1"/>
  <c r="AI43" i="1"/>
  <c r="AH32" i="1"/>
  <c r="AH33" i="1"/>
  <c r="AH27" i="1"/>
  <c r="AG34" i="1"/>
  <c r="AG48" i="1"/>
  <c r="AI32" i="1"/>
  <c r="AI42" i="1"/>
  <c r="AG50" i="1"/>
  <c r="AI41" i="1"/>
  <c r="AI20" i="1"/>
  <c r="AI30" i="1"/>
  <c r="AI19" i="1"/>
  <c r="AH34" i="1"/>
  <c r="AH53" i="1"/>
  <c r="AG23" i="1"/>
  <c r="AG55" i="1"/>
  <c r="AI37" i="1"/>
  <c r="AH23" i="1"/>
  <c r="AG54" i="1"/>
  <c r="AG42" i="1"/>
  <c r="AI48" i="1"/>
  <c r="AG45" i="1"/>
  <c r="AH31" i="1"/>
  <c r="AI46" i="1"/>
  <c r="AH50" i="1"/>
  <c r="AI47" i="1"/>
  <c r="AG37" i="1"/>
  <c r="AH47" i="1"/>
  <c r="AG49" i="1"/>
  <c r="AH41" i="1"/>
  <c r="AG25" i="1"/>
  <c r="AI51" i="1"/>
  <c r="AH52" i="1"/>
  <c r="AH25" i="1"/>
  <c r="AH56" i="1"/>
  <c r="AG26" i="1"/>
  <c r="AH37" i="1"/>
  <c r="AI29" i="1"/>
  <c r="AI38" i="1"/>
  <c r="AG35" i="1"/>
  <c r="AG57" i="1"/>
  <c r="AH38" i="1"/>
  <c r="AI34" i="1"/>
  <c r="AH54" i="1"/>
  <c r="AH21" i="1"/>
  <c r="AI44" i="1"/>
  <c r="AI31" i="1"/>
  <c r="AI39" i="1"/>
  <c r="AI54" i="1"/>
  <c r="AH29" i="1"/>
  <c r="AH39" i="1"/>
  <c r="AI27" i="1"/>
  <c r="AG40" i="1"/>
  <c r="AH40" i="1"/>
  <c r="AG33" i="1"/>
  <c r="AI35" i="1"/>
  <c r="AI33" i="1"/>
  <c r="AG30" i="1"/>
  <c r="AH36" i="1"/>
  <c r="AH49" i="1"/>
  <c r="AG47" i="1"/>
  <c r="AI53" i="1"/>
  <c r="AI23" i="1"/>
  <c r="AG31" i="1"/>
  <c r="AI56" i="1"/>
  <c r="AI25" i="1"/>
  <c r="AG38" i="1"/>
  <c r="AI24" i="1"/>
  <c r="AG22" i="1"/>
  <c r="AH44" i="1"/>
  <c r="AH24" i="1"/>
  <c r="AG52" i="1"/>
  <c r="AG20" i="1"/>
  <c r="AI50" i="1"/>
  <c r="M6" i="1"/>
  <c r="C5" i="1" s="1"/>
  <c r="I28" i="1" a="1"/>
  <c r="E13" i="3" a="1"/>
  <c r="G19" i="1" a="1"/>
  <c r="F1" i="4" a="1"/>
  <c r="E26" i="3" a="1"/>
  <c r="I20" i="1" a="1"/>
  <c r="P29" i="1" a="1"/>
  <c r="C7" i="1" l="1"/>
  <c r="P29" i="1"/>
  <c r="I20" i="1"/>
  <c r="AK20" i="1" s="1"/>
  <c r="I28" i="1"/>
  <c r="G19" i="1"/>
  <c r="E26" i="3"/>
  <c r="F1" i="4"/>
  <c r="E13" i="3"/>
  <c r="AP22" i="1"/>
  <c r="AO23" i="1"/>
  <c r="AM24" i="1"/>
  <c r="AP26" i="1"/>
  <c r="AP24" i="1"/>
  <c r="AN26" i="1"/>
  <c r="AL24" i="1"/>
  <c r="AL26" i="1"/>
  <c r="AK21" i="1"/>
  <c r="AL23" i="1"/>
  <c r="AO24" i="1"/>
  <c r="AP20" i="1"/>
  <c r="AM26" i="1"/>
  <c r="AO22" i="1"/>
  <c r="AP25" i="1"/>
  <c r="AN21" i="1"/>
  <c r="AP21" i="1"/>
  <c r="AK26" i="1"/>
  <c r="AM23" i="1"/>
  <c r="AK24" i="1"/>
  <c r="AN23" i="1"/>
  <c r="AN24" i="1"/>
  <c r="AL21" i="1"/>
  <c r="AL22" i="1"/>
  <c r="AL20" i="1"/>
  <c r="AK23" i="1"/>
  <c r="AO20" i="1"/>
  <c r="AN25" i="1"/>
  <c r="AO26" i="1"/>
  <c r="AN20" i="1"/>
  <c r="AN22" i="1"/>
  <c r="AK22" i="1"/>
  <c r="AP23" i="1"/>
  <c r="AO25" i="1"/>
  <c r="AO21" i="1"/>
  <c r="AM20" i="1"/>
  <c r="AM22" i="1"/>
  <c r="AL25" i="1"/>
  <c r="AM21" i="1"/>
  <c r="AM25" i="1"/>
  <c r="AK25" i="1"/>
  <c r="AH19" i="1"/>
  <c r="AG19" i="1"/>
  <c r="I19" i="4" a="1"/>
  <c r="I32" i="4" a="1"/>
  <c r="E27" i="3" a="1"/>
  <c r="E19" i="4" a="1"/>
  <c r="E14" i="3" a="1"/>
  <c r="G40" i="4" a="1"/>
  <c r="G39" i="4" a="1"/>
  <c r="G29" i="4" a="1"/>
  <c r="G26" i="4" a="1"/>
  <c r="G20" i="4" a="1"/>
  <c r="G49" i="4" a="1"/>
  <c r="G57" i="4" a="1"/>
  <c r="P30" i="1" a="1"/>
  <c r="G35" i="4" a="1"/>
  <c r="G48" i="4" a="1"/>
  <c r="M6" i="4" a="1"/>
  <c r="G28" i="4" a="1"/>
  <c r="I29" i="1" a="1"/>
  <c r="G33" i="4" a="1"/>
  <c r="G54" i="4" a="1"/>
  <c r="G25" i="4" a="1"/>
  <c r="G43" i="4" a="1"/>
  <c r="G24" i="4" a="1"/>
  <c r="G50" i="4" a="1"/>
  <c r="G30" i="4" a="1"/>
  <c r="G41" i="4" a="1"/>
  <c r="G37" i="4" a="1"/>
  <c r="G22" i="4" a="1"/>
  <c r="G27" i="4" a="1"/>
  <c r="G53" i="4" a="1"/>
  <c r="G36" i="4" a="1"/>
  <c r="G55" i="4" a="1"/>
  <c r="G34" i="4" a="1"/>
  <c r="G44" i="4" a="1"/>
  <c r="G45" i="4" a="1"/>
  <c r="G31" i="4" a="1"/>
  <c r="G52" i="4" a="1"/>
  <c r="G23" i="4" a="1"/>
  <c r="G56" i="4" a="1"/>
  <c r="G38" i="4" a="1"/>
  <c r="G46" i="4" a="1"/>
  <c r="G42" i="4" a="1"/>
  <c r="G32" i="4" a="1"/>
  <c r="G51" i="4" a="1"/>
  <c r="I32" i="4" l="1"/>
  <c r="AR47" i="1"/>
  <c r="AS50" i="1"/>
  <c r="AR54" i="1"/>
  <c r="AS53" i="1"/>
  <c r="AR53" i="1"/>
  <c r="AS56" i="1"/>
  <c r="AR60" i="1"/>
  <c r="AS59" i="1"/>
  <c r="P30" i="1"/>
  <c r="AR30" i="1" s="1"/>
  <c r="AS62" i="1"/>
  <c r="AS33" i="1"/>
  <c r="AR40" i="1"/>
  <c r="AR55" i="1"/>
  <c r="AR62" i="1"/>
  <c r="AS32" i="1"/>
  <c r="AR36" i="1"/>
  <c r="AS65" i="1"/>
  <c r="AR43" i="1"/>
  <c r="AS46" i="1"/>
  <c r="AR50" i="1"/>
  <c r="AS49" i="1"/>
  <c r="AR49" i="1"/>
  <c r="AS52" i="1"/>
  <c r="AR56" i="1"/>
  <c r="AS55" i="1"/>
  <c r="AS30" i="1"/>
  <c r="AR33" i="1"/>
  <c r="AS39" i="1"/>
  <c r="AS64" i="1"/>
  <c r="AR65" i="1"/>
  <c r="AR39" i="1"/>
  <c r="AS42" i="1"/>
  <c r="AR46" i="1"/>
  <c r="AS45" i="1"/>
  <c r="AR45" i="1"/>
  <c r="AS48" i="1"/>
  <c r="AR52" i="1"/>
  <c r="AS51" i="1"/>
  <c r="AR34" i="1"/>
  <c r="AR61" i="1"/>
  <c r="AS63" i="1"/>
  <c r="AR35" i="1"/>
  <c r="AS38" i="1"/>
  <c r="AR42" i="1"/>
  <c r="AS41" i="1"/>
  <c r="AR41" i="1"/>
  <c r="AS44" i="1"/>
  <c r="AR48" i="1"/>
  <c r="AS47" i="1"/>
  <c r="AS61" i="1"/>
  <c r="AR63" i="1"/>
  <c r="AR31" i="1"/>
  <c r="AS34" i="1"/>
  <c r="AR38" i="1"/>
  <c r="AS37" i="1"/>
  <c r="AR37" i="1"/>
  <c r="AS40" i="1"/>
  <c r="AR44" i="1"/>
  <c r="AS43" i="1"/>
  <c r="AR59" i="1"/>
  <c r="AS36" i="1"/>
  <c r="AS58" i="1"/>
  <c r="AS35" i="1"/>
  <c r="AR51" i="1"/>
  <c r="AS54" i="1"/>
  <c r="AR58" i="1"/>
  <c r="AS57" i="1"/>
  <c r="AR57" i="1"/>
  <c r="AS60" i="1"/>
  <c r="AR64" i="1"/>
  <c r="AR32" i="1"/>
  <c r="AS31" i="1"/>
  <c r="I29" i="1"/>
  <c r="AK29" i="1" s="1"/>
  <c r="E27" i="3"/>
  <c r="C3" i="1"/>
  <c r="C4" i="1"/>
  <c r="G50" i="4"/>
  <c r="G23" i="4"/>
  <c r="G29" i="4"/>
  <c r="G31" i="4"/>
  <c r="G39" i="4"/>
  <c r="G55" i="4"/>
  <c r="G26" i="4"/>
  <c r="G28" i="4"/>
  <c r="G36" i="4"/>
  <c r="G44" i="4"/>
  <c r="G52" i="4"/>
  <c r="G34" i="4"/>
  <c r="G33" i="4"/>
  <c r="G41" i="4"/>
  <c r="G49" i="4"/>
  <c r="G57" i="4"/>
  <c r="G24" i="4"/>
  <c r="G38" i="4"/>
  <c r="G46" i="4"/>
  <c r="G54" i="4"/>
  <c r="G42" i="4"/>
  <c r="G53" i="4"/>
  <c r="G45" i="4"/>
  <c r="G37" i="4"/>
  <c r="G25" i="4"/>
  <c r="G56" i="4"/>
  <c r="G48" i="4"/>
  <c r="G40" i="4"/>
  <c r="G32" i="4"/>
  <c r="G30" i="4"/>
  <c r="G22" i="4"/>
  <c r="G20" i="4"/>
  <c r="G51" i="4"/>
  <c r="G43" i="4"/>
  <c r="G35" i="4"/>
  <c r="G27" i="4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E19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M6" i="4"/>
  <c r="C5" i="4" s="1"/>
  <c r="I19" i="4"/>
  <c r="E14" i="3"/>
  <c r="AL29" i="1"/>
  <c r="AM30" i="1"/>
  <c r="AP30" i="1"/>
  <c r="AM29" i="1"/>
  <c r="AN29" i="1"/>
  <c r="AO30" i="1"/>
  <c r="AP29" i="1"/>
  <c r="AN30" i="1"/>
  <c r="AL30" i="1"/>
  <c r="AO29" i="1"/>
  <c r="AK30" i="1"/>
  <c r="I20" i="4" a="1"/>
  <c r="I33" i="4" a="1"/>
  <c r="E15" i="3" a="1"/>
  <c r="I42" i="4" a="1"/>
  <c r="I28" i="4" a="1"/>
  <c r="G21" i="4" a="1"/>
  <c r="G19" i="4" a="1"/>
  <c r="G47" i="4" a="1"/>
  <c r="I38" i="4" a="1"/>
  <c r="E28" i="3" a="1"/>
  <c r="G21" i="4" l="1"/>
  <c r="I42" i="4"/>
  <c r="G47" i="4"/>
  <c r="I38" i="4"/>
  <c r="C8" i="1"/>
  <c r="I33" i="4"/>
  <c r="E28" i="3"/>
  <c r="G19" i="4"/>
  <c r="I28" i="4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I20" i="4"/>
  <c r="AE20" i="4" s="1"/>
  <c r="AF26" i="4"/>
  <c r="AJ22" i="4"/>
  <c r="AB19" i="4"/>
  <c r="AA19" i="4"/>
  <c r="E15" i="3"/>
  <c r="C6" i="1"/>
  <c r="I39" i="4" a="1"/>
  <c r="I34" i="4" a="1"/>
  <c r="I43" i="4" a="1"/>
  <c r="I29" i="4" a="1"/>
  <c r="AI40" i="4" l="1"/>
  <c r="AG39" i="4"/>
  <c r="AF40" i="4"/>
  <c r="AI39" i="4"/>
  <c r="AJ40" i="4"/>
  <c r="AH39" i="4"/>
  <c r="AH40" i="4"/>
  <c r="AF39" i="4"/>
  <c r="AG40" i="4"/>
  <c r="AE40" i="4"/>
  <c r="AJ39" i="4"/>
  <c r="I39" i="4"/>
  <c r="AE39" i="4" s="1"/>
  <c r="I43" i="4"/>
  <c r="AE43" i="4" s="1"/>
  <c r="C9" i="4" s="1"/>
  <c r="AE36" i="4"/>
  <c r="AI34" i="4"/>
  <c r="AJ36" i="4"/>
  <c r="AH35" i="4"/>
  <c r="AF34" i="4"/>
  <c r="AF36" i="4"/>
  <c r="AJ34" i="4"/>
  <c r="AJ35" i="4"/>
  <c r="AH34" i="4"/>
  <c r="AI35" i="4"/>
  <c r="AG34" i="4"/>
  <c r="AI36" i="4"/>
  <c r="AG35" i="4"/>
  <c r="AH36" i="4"/>
  <c r="AF35" i="4"/>
  <c r="AG36" i="4"/>
  <c r="AE35" i="4"/>
  <c r="I34" i="4"/>
  <c r="AE34" i="4" s="1"/>
  <c r="C3" i="4"/>
  <c r="AI30" i="4"/>
  <c r="AH30" i="4"/>
  <c r="AG30" i="4"/>
  <c r="AJ29" i="4"/>
  <c r="AF30" i="4"/>
  <c r="AI29" i="4"/>
  <c r="I29" i="4"/>
  <c r="AE29" i="4" s="1"/>
  <c r="AE30" i="4"/>
  <c r="AH29" i="4"/>
  <c r="AG29" i="4"/>
  <c r="AF29" i="4"/>
  <c r="AJ30" i="4"/>
  <c r="C4" i="4"/>
  <c r="C8" i="4" l="1"/>
  <c r="C7" i="4"/>
  <c r="C6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<sst xmlns="http://schemas.openxmlformats.org/spreadsheetml/2006/main" count="515" uniqueCount="146">
  <si>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</si>
  <si>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</si>
  <si>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</si>
  <si>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</si>
  <si>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</si>
  <si>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</si>
  <si>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</si>
  <si>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</si>
  <si>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</si>
  <si>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</si>
  <si>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</si>
  <si>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</si>
  <si>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</si>
  <si>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</si>
  <si>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</si>
  <si>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</si>
  <si>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</si>
  <si>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</si>
  <si>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</si>
  <si>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</si>
  <si>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</si>
  <si>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</si>
  <si>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</si>
  <si>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</si>
  <si>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</si>
  <si>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</si>
  <si>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</si>
  <si>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</si>
  <si>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</si>
  <si>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</si>
  <si>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</si>
  <si>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</si>
  <si>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</si>
  <si>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</si>
  <si>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</si>
  <si>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</si>
  <si>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</si>
  <si>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</si>
  <si>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</si>
  <si>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</si>
  <si>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</si>
  <si>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</si>
  <si>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</si>
  <si>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</si>
  <si>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</si>
  <si>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</si>
  <si>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</si>
  <si>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</si>
  <si>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</si>
  <si>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</si>
  <si>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</si>
  <si>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</si>
  <si>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</si>
  <si>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</si>
  <si>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</si>
  <si>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</si>
  <si>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</si>
  <si>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</si>
  <si>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</si>
  <si>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</si>
  <si>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</si>
  <si>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</si>
  <si>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</si>
  <si>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</si>
  <si>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</si>
  <si>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</si>
  <si>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</si>
  <si>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</si>
  <si>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</si>
  <si>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</si>
  <si>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</si>
  <si>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</si>
  <si>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</si>
  <si>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</si>
  <si>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</si>
  <si>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</si>
  <si>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</si>
  <si>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</si>
  <si>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</si>
  <si>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</si>
  <si>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</si>
  <si>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</si>
  <si>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</si>
  <si>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</si>
  <si>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</si>
  <si>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</si>
  <si>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</si>
  <si>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</si>
  <si>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</si>
  <si>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</si>
  <si>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</si>
  <si>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</si>
  <si>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</si>
  <si>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</si>
  <si>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</si>
  <si>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</si>
  <si>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</si>
  <si>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</si>
  <si>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</si>
  <si>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</si>
  <si>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client</t>
    <phoneticPr fontId="1"/>
  </si>
  <si>
    <t>status</t>
    <phoneticPr fontId="1"/>
  </si>
  <si>
    <t>message</t>
    <phoneticPr fontId="1"/>
  </si>
  <si>
    <t>message 0</t>
    <phoneticPr fontId="1"/>
  </si>
  <si>
    <t>message 1</t>
  </si>
  <si>
    <t>message 2</t>
  </si>
  <si>
    <t>message 3</t>
  </si>
  <si>
    <t>message 4</t>
  </si>
  <si>
    <t>message 5</t>
  </si>
  <si>
    <t>message 6</t>
  </si>
  <si>
    <t>client0</t>
    <phoneticPr fontId="1"/>
  </si>
  <si>
    <t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t>
  </si>
  <si>
    <t>client1</t>
    <phoneticPr fontId="1"/>
  </si>
  <si>
    <t>keyvalues1</t>
    <phoneticPr fontId="1"/>
  </si>
  <si>
    <t>table3</t>
    <phoneticPr fontId="1"/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</si>
  <si>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t>
  </si>
  <si>
    <t/>
  </si>
  <si>
    <t>search</t>
    <phoneticPr fontId="1"/>
  </si>
  <si>
    <t>search1</t>
    <phoneticPr fontId="1"/>
  </si>
  <si>
    <t>search2</t>
    <phoneticPr fontId="1"/>
  </si>
  <si>
    <t>base uri</t>
    <phoneticPr fontId="1"/>
  </si>
  <si>
    <t>get</t>
    <phoneticPr fontId="1"/>
  </si>
  <si>
    <t>response</t>
    <phoneticPr fontId="1"/>
  </si>
  <si>
    <t>content</t>
    <phoneticPr fontId="1"/>
  </si>
  <si>
    <t>uri</t>
    <phoneticPr fontId="1"/>
  </si>
  <si>
    <t>GET</t>
    <phoneticPr fontId="1"/>
  </si>
  <si>
    <t>https://httpbin.org/</t>
  </si>
  <si>
    <t>http://localhost:80/</t>
    <phoneticPr fontId="1"/>
  </si>
  <si>
    <t>WebAPI1</t>
    <phoneticPr fontId="1"/>
  </si>
  <si>
    <t>WebAPI0</t>
    <phoneticPr fontId="1"/>
  </si>
  <si>
    <t>WebAPI2</t>
    <phoneticPr fontId="1"/>
  </si>
  <si>
    <t>key0</t>
    <phoneticPr fontId="1"/>
  </si>
  <si>
    <t>key1.int</t>
    <phoneticPr fontId="1"/>
  </si>
  <si>
    <t>key1.string</t>
    <phoneticPr fontId="1"/>
  </si>
  <si>
    <t>value1</t>
    <phoneticPr fontId="1"/>
  </si>
  <si>
    <t>parameters</t>
    <phoneticPr fontId="1"/>
  </si>
  <si>
    <t>WebAPI3</t>
    <phoneticPr fontId="1"/>
  </si>
  <si>
    <t>WebAPI4</t>
    <phoneticPr fontId="1"/>
  </si>
  <si>
    <t>header</t>
    <phoneticPr fontId="1"/>
  </si>
  <si>
    <t>POST</t>
    <phoneticPr fontId="1"/>
  </si>
  <si>
    <t>post</t>
    <phoneticPr fontId="1"/>
  </si>
  <si>
    <t>form</t>
    <phoneticPr fontId="1"/>
  </si>
  <si>
    <t>string</t>
    <phoneticPr fontId="1"/>
  </si>
  <si>
    <t>WebAPI5</t>
    <phoneticPr fontId="1"/>
  </si>
  <si>
    <t>sss</t>
    <phoneticPr fontId="1"/>
  </si>
  <si>
    <t>docker run -p 80:80 kennethreitz/httpbin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</si>
</sst>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3" fillId="0" borderId="0" xfId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45a6b04db77c44f68390c50d0c460d54">
      <tp>
        <v>1</v>
        <stp/>
        <stp>66a29d9a-fd16-4bda-9ff6-c086b14da42b</stp>
        <tr r="G41" s="1"/>
      </tp>
      <tp>
        <v>1</v>
        <stp/>
        <stp>377559c1-5c1b-4f67-bc93-65bd650053b9</stp>
        <tr r="G45" s="1"/>
      </tp>
    </main>
    <main first="rtdsrv.45a6b04db77c44f68390c50d0c460d54">
      <tp>
        <v>1</v>
        <stp/>
        <stp>8c2d9c52-4617-417e-915b-ab03f6ae5682</stp>
        <tr r="D19" s="5"/>
      </tp>
    </main>
    <main first="rtdsrv.45a6b04db77c44f68390c50d0c460d54">
      <tp>
        <v>1</v>
        <stp/>
        <stp>cb4fc5a3-0588-463c-a2b8-ec65e73f6470</stp>
        <tr r="G54" s="1"/>
      </tp>
      <tp>
        <v>1</v>
        <stp/>
        <stp>38d7f764-af1e-4838-b71f-221e4c993012</stp>
        <tr r="P19" s="1"/>
      </tp>
    </main>
    <main first="rtdsrv.45a6b04db77c44f68390c50d0c460d54">
      <tp>
        <v>1</v>
        <stp/>
        <stp>12858dc8-2eb1-45fe-8bba-216ed0906ecd</stp>
        <tr r="G32" s="4"/>
      </tp>
    </main>
    <main first="rtdsrv.45a6b04db77c44f68390c50d0c460d54">
      <tp>
        <v>1</v>
        <stp/>
        <stp>514ccefa-3b6c-47f7-9612-0782df31872c</stp>
        <tr r="I28" s="4"/>
      </tp>
    </main>
    <main first="rtdsrv.45a6b04db77c44f68390c50d0c460d54">
      <tp>
        <v>1</v>
        <stp/>
        <stp>acb60f52-bbec-4e2e-b21c-c9980571e86d</stp>
        <tr r="E4" s="3"/>
      </tp>
      <tp>
        <v>1</v>
        <stp/>
        <stp>1a14da85-0298-4732-8fca-df3d4d808d9a</stp>
        <tr r="C5" s="5"/>
      </tp>
      <tp>
        <v>1</v>
        <stp/>
        <stp>43c720e0-a2fe-4c1a-a561-14550ca85e85</stp>
        <tr r="F1" s="1"/>
      </tp>
    </main>
    <main first="rtdsrv.45a6b04db77c44f68390c50d0c460d54">
      <tp>
        <v>1</v>
        <stp/>
        <stp>35bdeb17-3439-4db8-ae15-6e8658b93460</stp>
        <tr r="G30" s="4"/>
      </tp>
      <tp>
        <v>1</v>
        <stp/>
        <stp>2674ab48-2e6c-471d-8b28-21402a5dbdc4</stp>
        <tr r="I38" s="4"/>
      </tp>
    </main>
    <main first="rtdsrv.45a6b04db77c44f68390c50d0c460d54">
      <tp>
        <v>1</v>
        <stp/>
        <stp>a45dbccb-7c1d-46d0-84a4-bf90b28f0ae3</stp>
        <tr r="I28" s="1"/>
      </tp>
    </main>
    <main first="rtdsrv.45a6b04db77c44f68390c50d0c460d54">
      <tp>
        <v>1</v>
        <stp/>
        <stp>23f8ce48-4c75-4906-82b9-0e676b5745df</stp>
        <tr r="G28" s="1"/>
      </tp>
      <tp>
        <v>1</v>
        <stp/>
        <stp>4c0e8da1-6d9f-47e6-bdf9-8ada357fe152</stp>
        <tr r="G52" s="1"/>
      </tp>
    </main>
    <main first="rtdsrv.45a6b04db77c44f68390c50d0c460d54">
      <tp>
        <v>1</v>
        <stp/>
        <stp>e3884903-26d5-45c0-924b-62206305e8d8</stp>
        <tr r="I19" s="1"/>
      </tp>
      <tp>
        <v>1</v>
        <stp/>
        <stp>7b92a438-232a-4ec1-a505-4f74973e8120</stp>
        <tr r="F1" s="4"/>
      </tp>
      <tp>
        <v>1</v>
        <stp/>
        <stp>7b614cac-3bb4-434d-b177-57eabbec819e</stp>
        <tr r="G24" s="4"/>
      </tp>
    </main>
    <main first="rtdsrv.45a6b04db77c44f68390c50d0c460d54">
      <tp>
        <v>1</v>
        <stp/>
        <stp>63c2809e-9c95-4194-a173-c240a8c1e1f4</stp>
        <tr r="G27" s="1"/>
      </tp>
    </main>
    <main first="rtdsrv.45a6b04db77c44f68390c50d0c460d54">
      <tp>
        <v>1</v>
        <stp/>
        <stp>b61a556b-c100-4877-9555-df2cde096c84</stp>
        <tr r="G47" s="1"/>
      </tp>
      <tp>
        <v>1</v>
        <stp/>
        <stp>febbe84f-801a-475e-acac-fece74db52dd</stp>
        <tr r="G26" s="4"/>
      </tp>
      <tp>
        <v>1</v>
        <stp/>
        <stp>4173a471-5cb3-47fe-987f-84bdb537fa2b</stp>
        <tr r="G38" s="1"/>
      </tp>
      <tp>
        <v>1</v>
        <stp/>
        <stp>418a9e0d-0191-48cc-bf39-e2fef0477451</stp>
        <tr r="G42" s="1"/>
      </tp>
    </main>
    <main first="rtdsrv.45a6b04db77c44f68390c50d0c460d54">
      <tp>
        <v>1</v>
        <stp/>
        <stp>3359ac0e-b13e-44e1-a589-d2ff49f252c6</stp>
        <tr r="G32" s="1"/>
      </tp>
    </main>
    <main first="rtdsrv.45a6b04db77c44f68390c50d0c460d54">
      <tp>
        <v>1</v>
        <stp/>
        <stp>1473ca8b-d543-4c30-b40a-000e944d1746</stp>
        <tr r="G29" s="4"/>
      </tp>
      <tp>
        <v>1</v>
        <stp/>
        <stp>acaab250-5569-49f4-8360-24e11b41a364</stp>
        <tr r="G21" s="4"/>
      </tp>
      <tp>
        <v>1</v>
        <stp/>
        <stp>18200b03-1595-45c4-be76-ea1578a532d7</stp>
        <tr r="I33" s="4"/>
      </tp>
      <tp>
        <v>1</v>
        <stp/>
        <stp>a5583ce3-b65d-4802-aefc-77d551df6e79</stp>
        <tr r="G25" s="4"/>
      </tp>
      <tp>
        <v>1</v>
        <stp/>
        <stp>289dd8a7-631a-4d24-868f-a3cdd3a5695c</stp>
        <tr r="G33" s="4"/>
      </tp>
    </main>
    <main first="rtdsrv.45a6b04db77c44f68390c50d0c460d54">
      <tp>
        <v>1</v>
        <stp/>
        <stp>db459d17-5174-478d-83d6-1e456cf5864e</stp>
        <tr r="G52" s="4"/>
      </tp>
    </main>
    <main first="rtdsrv.45a6b04db77c44f68390c50d0c460d54">
      <tp>
        <v>1</v>
        <stp/>
        <stp>b2a25d25-fcf5-4775-ac37-2f1641788bec</stp>
        <tr r="G54" s="4"/>
      </tp>
    </main>
    <main first="rtdsrv.45a6b04db77c44f68390c50d0c460d54">
      <tp>
        <v>1</v>
        <stp/>
        <stp>5898a39c-07d5-4589-8c4b-5b1b71351f9f</stp>
        <tr r="G55" s="1"/>
      </tp>
    </main>
    <main first="rtdsrv.45a6b04db77c44f68390c50d0c460d54">
      <tp>
        <v>1</v>
        <stp/>
        <stp>0555c851-5287-4070-848a-8b6cfe5b47f7</stp>
        <tr r="G43" s="1"/>
      </tp>
    </main>
    <main first="rtdsrv.45a6b04db77c44f68390c50d0c460d54">
      <tp>
        <v>1</v>
        <stp/>
        <stp>3a41c27c-adcd-490f-bf07-93aa7da973bc</stp>
        <tr r="G48" s="4"/>
      </tp>
    </main>
    <main first="rtdsrv.45a6b04db77c44f68390c50d0c460d54">
      <tp>
        <v>1</v>
        <stp/>
        <stp>80c8dca1-f26c-4631-b91b-3248c0b53753</stp>
        <tr r="G39" s="4"/>
      </tp>
      <tp>
        <v>1</v>
        <stp/>
        <stp>59bc1267-2c6a-40f6-ada9-a427fb3db83b</stp>
        <tr r="G26" s="1"/>
      </tp>
    </main>
    <main first="rtdsrv.45a6b04db77c44f68390c50d0c460d54">
      <tp>
        <v>1</v>
        <stp/>
        <stp>dc4baff5-a879-4064-857f-73aa7d7be00a</stp>
        <tr r="E17" s="3"/>
      </tp>
      <tp>
        <v>2</v>
        <stp/>
        <stp>6df243e5-a563-4a0b-bbef-d21720196399</stp>
        <tr r="H6" s="2"/>
      </tp>
    </main>
    <main first="rtdsrv.45a6b04db77c44f68390c50d0c460d54">
      <tp>
        <v>1</v>
        <stp/>
        <stp>40d0f914-88a7-4b83-ac14-859c3f032aad</stp>
        <tr r="G36" s="1"/>
      </tp>
      <tp>
        <v>1</v>
        <stp/>
        <stp>a2976acc-ecc8-4b8c-94d5-3605e64d7014</stp>
        <tr r="G35" s="4"/>
      </tp>
      <tp>
        <v>1</v>
        <stp/>
        <stp>7448fce0-8f42-4028-b257-06e6862bdc99</stp>
        <tr r="G21" s="1"/>
      </tp>
    </main>
    <main first="rtdsrv.45a6b04db77c44f68390c50d0c460d54">
      <tp>
        <v>1</v>
        <stp/>
        <stp>5211099d-8efa-4850-a156-89c86330e246</stp>
        <tr r="C65" s="5"/>
      </tp>
      <tp>
        <v>1</v>
        <stp/>
        <stp>498b9f20-a39e-43e2-b2c4-aa2fd33e3300</stp>
        <tr r="G25" s="1"/>
      </tp>
      <tp>
        <v>1</v>
        <stp/>
        <stp>924cdf60-5525-4ef0-8ca8-154b69e952cd</stp>
        <tr r="G51" s="1"/>
      </tp>
    </main>
    <main first="rtdsrv.45a6b04db77c44f68390c50d0c460d54">
      <tp>
        <v>1</v>
        <stp/>
        <stp>9cf95c70-91db-46d2-a240-fbc60e3dd78d</stp>
        <tr r="G37" s="4"/>
      </tp>
    </main>
    <main first="rtdsrv.45a6b04db77c44f68390c50d0c460d54">
      <tp>
        <v>1</v>
        <stp/>
        <stp>48bf99cd-aa8c-4c7f-b499-f72dd1d7c537</stp>
        <tr r="G27" s="4"/>
      </tp>
    </main>
    <main first="rtdsrv.45a6b04db77c44f68390c50d0c460d54">
      <tp>
        <v>1</v>
        <stp/>
        <stp>edc7b08f-1fb9-45bc-83f1-d93a3e59f01d</stp>
        <tr r="F6" s="4"/>
      </tp>
      <tp>
        <v>1</v>
        <stp/>
        <stp>e62f8fa7-6ddd-4896-a428-5b556882d4da</stp>
        <tr r="C2" s="2"/>
      </tp>
    </main>
    <main first="rtdsrv.45a6b04db77c44f68390c50d0c460d54">
      <tp>
        <v>1</v>
        <stp/>
        <stp>81055f76-0b73-48a0-a39a-5cc7f5175514</stp>
        <tr r="G50" s="1"/>
      </tp>
      <tp>
        <v>3</v>
        <stp/>
        <stp>9beea417-5201-4749-b9de-4dda7eef12ea</stp>
        <tr r="E19" s="3"/>
      </tp>
    </main>
    <main first="rtdsrv.45a6b04db77c44f68390c50d0c460d54">
      <tp>
        <v>1</v>
        <stp/>
        <stp>d8596b31-acbc-4e20-b595-79b2444712d7</stp>
        <tr r="G34" s="1"/>
      </tp>
    </main>
    <main first="rtdsrv.45a6b04db77c44f68390c50d0c460d54">
      <tp>
        <v>1</v>
        <stp/>
        <stp>692fcacb-5427-4445-a7ec-13427ed13f9c</stp>
        <tr r="G28" s="4"/>
      </tp>
    </main>
    <main first="rtdsrv.45a6b04db77c44f68390c50d0c460d54">
      <tp>
        <v>1</v>
        <stp/>
        <stp>e1080cba-49d3-4d78-80a8-b80985cdb930</stp>
        <tr r="G24" s="1"/>
      </tp>
      <tp>
        <v>1</v>
        <stp/>
        <stp>88b43a23-b12a-4f7b-bc8f-ce85d92cd67a</stp>
        <tr r="G42" s="4"/>
      </tp>
      <tp>
        <v>1</v>
        <stp/>
        <stp>b20d3877-e8bb-46af-82c5-ae31364d82cd</stp>
        <tr r="G22" s="1"/>
      </tp>
      <tp>
        <v>2</v>
        <stp/>
        <stp>37a19e17-0cfa-4f87-a498-3e4925dde4c3</stp>
        <tr r="E6" s="3"/>
      </tp>
      <tp>
        <v>1</v>
        <stp/>
        <stp>f51ed77c-9fd3-460a-a0d5-9bccc0765d96</stp>
        <tr r="D60" s="5"/>
      </tp>
    </main>
    <main first="rtdsrv.45a6b04db77c44f68390c50d0c460d54">
      <tp>
        <v>1</v>
        <stp/>
        <stp>a8922f57-3d47-4a65-9944-75d50777680c</stp>
        <tr r="D43" s="5"/>
      </tp>
    </main>
    <main first="rtdsrv.45a6b04db77c44f68390c50d0c460d54">
      <tp>
        <v>1</v>
        <stp/>
        <stp>d12ba1e5-c2d9-42b8-b3b3-d7ee18cb9abe</stp>
        <tr r="G31" s="1"/>
      </tp>
    </main>
    <main first="rtdsrv.45a6b04db77c44f68390c50d0c460d54">
      <tp>
        <v>1</v>
        <stp/>
        <stp>a9a5a9cf-1f28-47bf-9cc8-1d9055fa9234</stp>
        <tr r="G36" s="4"/>
      </tp>
    </main>
    <main first="rtdsrv.45a6b04db77c44f68390c50d0c460d54">
      <tp>
        <v>1</v>
        <stp/>
        <stp>fe9d117f-46d5-42d7-81eb-6d6909828826</stp>
        <tr r="G53" s="4"/>
      </tp>
    </main>
    <main first="rtdsrv.45a6b04db77c44f68390c50d0c460d54">
      <tp>
        <v>1</v>
        <stp/>
        <stp>cd5d8627-35da-4d71-83b3-af3e82d16247</stp>
        <tr r="G29" s="1"/>
      </tp>
      <tp>
        <v>1</v>
        <stp/>
        <stp>108b14fd-c4d4-446e-bdd5-9966a880333d</stp>
        <tr r="G34" s="4"/>
      </tp>
    </main>
    <main first="rtdsrv.45a6b04db77c44f68390c50d0c460d54">
      <tp>
        <v>1</v>
        <stp/>
        <stp>6dc703e4-c9eb-4d9b-8bb8-4fd535a8124b</stp>
        <tr r="G44" s="1"/>
      </tp>
    </main>
    <main first="rtdsrv.45a6b04db77c44f68390c50d0c460d54">
      <tp>
        <v>1</v>
        <stp/>
        <stp>c43f1bd6-9345-4c03-90d6-e2ae19f64ffa</stp>
        <tr r="N53" s="5"/>
      </tp>
      <tp>
        <v>1</v>
        <stp/>
        <stp>2172a223-d562-4abf-b0ff-977ebd827af3</stp>
        <tr r="G48" s="1"/>
      </tp>
    </main>
    <main first="rtdsrv.45a6b04db77c44f68390c50d0c460d54">
      <tp>
        <v>1</v>
        <stp/>
        <stp>99d15011-578b-42a8-8673-dc8e3354e64f</stp>
        <tr r="P29" s="1"/>
      </tp>
      <tp>
        <v>1</v>
        <stp/>
        <stp>3b2880f4-055d-4ef2-b619-30522e64da39</stp>
        <tr r="D55" s="5"/>
      </tp>
    </main>
    <main first="rtdsrv.45a6b04db77c44f68390c50d0c460d54">
      <tp>
        <v>1</v>
        <stp/>
        <stp>4a049dc7-8cfc-45cd-a322-a184f8785062</stp>
        <tr r="G56" s="4"/>
      </tp>
      <tp>
        <v>1</v>
        <stp/>
        <stp>b813cced-085c-498e-97e7-255368a8c444</stp>
        <tr r="G44" s="4"/>
      </tp>
      <tp>
        <v>1</v>
        <stp/>
        <stp>c108ad8b-3784-4725-9f5a-57c155e296c2</stp>
        <tr r="G37" s="1"/>
      </tp>
    </main>
    <main first="rtdsrv.45a6b04db77c44f68390c50d0c460d54">
      <tp>
        <v>1</v>
        <stp/>
        <stp>3deb5d7f-4e99-4011-99d3-6b1f2ffaf77d</stp>
        <tr r="G47" s="4"/>
      </tp>
    </main>
    <main first="rtdsrv.45a6b04db77c44f68390c50d0c460d54">
      <tp>
        <v>1</v>
        <stp/>
        <stp>40fee9eb-c618-4a7a-a918-cc1be2f51951</stp>
        <tr r="D67" s="5"/>
      </tp>
      <tp>
        <v>1</v>
        <stp/>
        <stp>87a23eaa-f82f-4db3-b803-15f06d47b44a</stp>
        <tr r="G23" s="4"/>
      </tp>
      <tp>
        <v>1</v>
        <stp/>
        <stp>55d8e77f-2dfd-43df-ab92-f6bbc83a8391</stp>
        <tr r="G56" s="1"/>
      </tp>
      <tp>
        <v>1</v>
        <stp/>
        <stp>7408b341-1548-4693-a719-9c3f14bd2122</stp>
        <tr r="D31" s="5"/>
      </tp>
    </main>
    <main first="rtdsrv.45a6b04db77c44f68390c50d0c460d54">
      <tp>
        <v>1</v>
        <stp/>
        <stp>40b077c0-579a-4bb3-a90c-15bdb5f9cbfa</stp>
        <tr r="D12" s="5"/>
      </tp>
    </main>
    <main first="rtdsrv.45a6b04db77c44f68390c50d0c460d54">
      <tp>
        <v>1</v>
        <stp/>
        <stp>2b6dfc0a-9004-4637-b32f-074dd84daac1</stp>
        <tr r="G40" s="1"/>
      </tp>
      <tp>
        <v>1</v>
        <stp/>
        <stp>30381f47-a127-44a6-a4c5-2e1890111d39</stp>
        <tr r="G46" s="4"/>
      </tp>
      <tp>
        <v>1</v>
        <stp/>
        <stp>ae384727-e98f-4b01-a8a7-f127c046456c</stp>
        <tr r="D36" s="5"/>
      </tp>
      <tp>
        <v>1</v>
        <stp/>
        <stp>a2c661f4-9082-4428-94ee-e03acba0ffff</stp>
        <tr r="F6" s="1"/>
      </tp>
    </main>
    <main first="rtdsrv.45a6b04db77c44f68390c50d0c460d54">
      <tp>
        <v>1</v>
        <stp/>
        <stp>a43750f8-e99f-422e-b4a0-78fcd9f00717</stp>
        <tr r="G43" s="4"/>
      </tp>
    </main>
    <main first="rtdsrv.45a6b04db77c44f68390c50d0c460d54">
      <tp>
        <v>1</v>
        <stp/>
        <stp>71844b60-6d5b-4cd0-be12-47060a5f2a6a</stp>
        <tr r="G22" s="4"/>
      </tp>
    </main>
    <main first="rtdsrv.45a6b04db77c44f68390c50d0c460d54">
      <tp>
        <v>1</v>
        <stp/>
        <stp>5664200b-dad6-4aa7-a51c-356af767562a</stp>
        <tr r="G30" s="1"/>
      </tp>
    </main>
    <main first="rtdsrv.45a6b04db77c44f68390c50d0c460d54">
      <tp>
        <v>1</v>
        <stp/>
        <stp>7726c557-5726-4ab5-a764-037fbbcf0544</stp>
        <tr r="N41" s="5"/>
      </tp>
      <tp>
        <v>1</v>
        <stp/>
        <stp>4190fc68-2c51-4c70-8c39-8143404b727c</stp>
        <tr r="G20" s="1"/>
      </tp>
    </main>
    <main first="rtdsrv.45a6b04db77c44f68390c50d0c460d54">
      <tp>
        <v>1</v>
        <stp/>
        <stp>bbf04582-bc55-4a8a-b53c-ab7fc6e58ce1</stp>
        <tr r="G35" s="1"/>
      </tp>
      <tp>
        <v>1</v>
        <stp/>
        <stp>d6b074a8-d601-414c-8d1e-9d2330f79120</stp>
        <tr r="D7" s="5"/>
      </tp>
    </main>
    <main first="rtdsrv.45a6b04db77c44f68390c50d0c460d54">
      <tp>
        <v>1</v>
        <stp/>
        <stp>9f8b991a-b1ea-4d52-a74d-7f2e44e82811</stp>
        <tr r="G57" s="1"/>
      </tp>
    </main>
    <main first="rtdsrv.45a6b04db77c44f68390c50d0c460d54">
      <tp>
        <v>1</v>
        <stp/>
        <stp>a6604599-514d-483f-acc6-cb8120bab00d</stp>
        <tr r="G20" s="4"/>
      </tp>
      <tp>
        <v>1</v>
        <stp/>
        <stp>2c2cc460-3218-4f09-9a55-1eebeebb6614</stp>
        <tr r="C41" s="5"/>
      </tp>
    </main>
    <main first="rtdsrv.45a6b04db77c44f68390c50d0c460d54">
      <tp>
        <v>1</v>
        <stp/>
        <stp>4428bfcb-3ca3-4329-9156-f44ebcae2dc6</stp>
        <tr r="E7" s="3"/>
      </tp>
    </main>
    <main first="rtdsrv.45a6b04db77c44f68390c50d0c460d54">
      <tp>
        <v>1</v>
        <stp/>
        <stp>81db0713-761e-42e8-9b41-3bcb239482d3</stp>
        <tr r="I32" s="4"/>
        <tr r="I19" s="4"/>
      </tp>
      <tp>
        <v>1</v>
        <stp/>
        <stp>cbda66c7-5a54-4cd2-a0b3-ab9b1824156e</stp>
        <tr r="G49" s="4"/>
      </tp>
    </main>
    <main first="rtdsrv.45a6b04db77c44f68390c50d0c460d54">
      <tp>
        <v>1</v>
        <stp/>
        <stp>2de372eb-5e01-4c63-83c5-5dce8890a09c</stp>
        <tr r="G53" s="1"/>
      </tp>
      <tp>
        <v>1</v>
        <stp/>
        <stp>35b31ad9-69f3-45f7-a073-79a1a401c0b4</stp>
        <tr r="G50" s="4"/>
      </tp>
    </main>
    <main first="rtdsrv.45a6b04db77c44f68390c50d0c460d54">
      <tp>
        <v>1</v>
        <stp/>
        <stp>3e51405d-fdd4-4d8f-b4c5-783a255e5d28</stp>
        <tr r="G38" s="4"/>
      </tp>
      <tp>
        <v>1</v>
        <stp/>
        <stp>51d3f47d-5264-4dd2-8f96-54a40c2263de</stp>
        <tr r="C53" s="5"/>
      </tp>
    </main>
    <main first="rtdsrv.45a6b04db77c44f68390c50d0c460d54">
      <tp>
        <v>1</v>
        <stp/>
        <stp>b58e265e-68c6-415d-a15c-733a0857b3f2</stp>
        <tr r="C17" s="5"/>
      </tp>
      <tp>
        <v>1</v>
        <stp/>
        <stp>b5cc8e9a-353b-44ee-b046-8c98740c29e9</stp>
        <tr r="G57" s="4"/>
      </tp>
    </main>
    <main first="rtdsrv.45a6b04db77c44f68390c50d0c460d54">
      <tp>
        <v>1</v>
        <stp/>
        <stp>e346d9ef-098a-4b05-b6b6-93aa6a836c96</stp>
        <tr r="I42" s="4"/>
      </tp>
      <tp>
        <v>1</v>
        <stp/>
        <stp>2997dc0c-2f75-4542-a8fa-aad98c760bc0</stp>
        <tr r="G39" s="1"/>
      </tp>
    </main>
    <main first="rtdsrv.45a6b04db77c44f68390c50d0c460d54">
      <tp>
        <v>1</v>
        <stp/>
        <stp>778a5de8-4a4e-4fa9-adb7-96d31772baf2</stp>
        <tr r="G31" s="4"/>
      </tp>
    </main>
    <main first="rtdsrv.45a6b04db77c44f68390c50d0c460d54">
      <tp>
        <v>1</v>
        <stp/>
        <stp>74954a3a-c7e3-4f4e-9fae-d80375ac9cd9</stp>
        <tr r="G55" s="4"/>
      </tp>
    </main>
    <main first="rtdsrv.45a6b04db77c44f68390c50d0c460d54">
      <tp>
        <v>1</v>
        <stp/>
        <stp>33428507-620d-4869-a671-cc1839ea39a9</stp>
        <tr r="D72" s="5"/>
      </tp>
      <tp>
        <v>1</v>
        <stp/>
        <stp>b5bbae0a-7c92-4e79-9358-0d63c6951d45</stp>
        <tr r="D24" s="5"/>
      </tp>
      <tp>
        <v>1</v>
        <stp/>
        <stp>bf04c91d-acb3-40c3-87e0-dd0ba4ba4e17</stp>
        <tr r="C29" s="5"/>
      </tp>
      <tp>
        <v>1</v>
        <stp/>
        <stp>ba7c610a-9bb2-4183-933d-7019f4ecc0df</stp>
        <tr r="G23" s="1"/>
      </tp>
    </main>
    <main first="rtdsrv.45a6b04db77c44f68390c50d0c460d54">
      <tp>
        <v>1</v>
        <stp/>
        <stp>bb442866-e4ba-41a3-80ef-9d80d4c58df0</stp>
        <tr r="G19" s="4"/>
      </tp>
    </main>
    <main first="rtdsrv.45a6b04db77c44f68390c50d0c460d54">
      <tp>
        <v>1</v>
        <stp/>
        <stp>5860c82a-e3c6-45c7-8cff-a5cd8b3d19a9</stp>
        <tr r="G19" s="1"/>
      </tp>
      <tp>
        <v>1</v>
        <stp/>
        <stp>e7022dfe-7d6d-4b21-a6fe-e322c8c16c24</stp>
        <tr r="G46" s="1"/>
      </tp>
      <tp>
        <v>1</v>
        <stp/>
        <stp>2bff5001-68b4-4dfa-974a-04374fd1d8c5</stp>
        <tr r="G40" s="4"/>
      </tp>
      <tp>
        <v>1</v>
        <stp/>
        <stp>e9c3299d-0179-4d38-9922-52256e42f68d</stp>
        <tr r="G49" s="1"/>
      </tp>
      <tp>
        <v>1</v>
        <stp/>
        <stp>ef4161cb-8e89-43ee-9813-c06f76a25f43</stp>
        <tr r="E20" s="3"/>
      </tp>
      <tp>
        <v>1</v>
        <stp/>
        <stp>31bd0476-975a-4317-b14e-095719c0cd33</stp>
        <tr r="G33" s="1"/>
      </tp>
    </main>
    <main first="rtdsrv.45a6b04db77c44f68390c50d0c460d54">
      <tp>
        <v>1</v>
        <stp/>
        <stp>ca670d39-a1ba-41a8-b5d0-2a1c01246072</stp>
        <tr r="G45" s="4"/>
      </tp>
    </main>
    <main first="rtdsrv.45a6b04db77c44f68390c50d0c460d54">
      <tp>
        <v>1</v>
        <stp/>
        <stp>c53ad62a-1dfa-45de-b09e-70cacb1e9d3d</stp>
        <tr r="G51" s="4"/>
      </tp>
      <tp>
        <v>1</v>
        <stp/>
        <stp>4d8e61ce-1292-4189-ac40-2ae1cab8b13a</stp>
        <tr r="G41" s="4"/>
      </tp>
      <tp>
        <v>1</v>
        <stp/>
        <stp>b57e92eb-1e15-4b0e-b29b-e016959126b6</stp>
        <tr r="N65" s="5"/>
      </tp>
    </main>
    <main first="rtdsrv.45a6b04db77c44f68390c50d0c460d54">
      <tp>
        <v>1</v>
        <stp/>
        <stp>c22e2d4f-306e-48d1-83c7-7e42930308c8</stp>
        <tr r="D48" s="5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localho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S65"/>
  <sheetViews>
    <sheetView zoomScaleNormal="100" workbookViewId="0">
      <selection activeCell="M6" sqref="M6"/>
    </sheetView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40.75" customWidth="1"/>
    <col min="17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_xll.ExLibris.Json.CreateJsonObject(E3:F6)</f>
        <v>JsonObject:70EE4163-39CE-4271-9E25-FC5D867E94EE</v>
      </c>
      <c r="K1" t="str">
        <f>EXLIBRIS_CONFIGURATION</f>
        <v>ExLibris.Core.ExLibrisConfiguration:DC7FD29D-C132-4C29-BDD4-EA02C96C53D4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_xll.ExLibris.Json.CreateJsonArray(E8:J14)</f>
        <v>JsonObject:8D71F1F1-3323-4FFB-BFF2-BE1E93369F00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113</v>
      </c>
      <c r="C7" s="6">
        <f>COUNTIF(AR19:AS21,FALSE)</f>
        <v>0</v>
      </c>
      <c r="L7" t="s">
        <v>74</v>
      </c>
      <c r="M7" t="s">
        <v>111</v>
      </c>
    </row>
    <row r="8" spans="2:28" x14ac:dyDescent="0.4">
      <c r="B8" s="6" t="s">
        <v>114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JsonObject:699B9733-75BE-451C-BD30-129930344C08</v>
      </c>
      <c r="P19" t="str" cm="1">
        <f t="array" ref="P19:Q27">_xll.ExLibris.Json.GetJsonKeyValues(F1,,3)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H57" si="5">E19=S19</f>
        <v>1</v>
      </c>
      <c r="AI19" t="b">
        <f t="shared" ref="AI19:AI57" si="6">F19=T19</f>
        <v>1</v>
      </c>
      <c r="AR19" t="b">
        <f t="shared" ref="AR19:AS21" si="7">P19=AD19</f>
        <v>1</v>
      </c>
      <c r="AS19" t="b">
        <f t="shared" si="7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6"/>
        <v>1</v>
      </c>
      <c r="AK20" t="b">
        <f t="shared" ref="AK20:AP26" si="8">I20=W20</f>
        <v>1</v>
      </c>
      <c r="AL20" t="b">
        <f t="shared" si="8"/>
        <v>1</v>
      </c>
      <c r="AM20" t="b">
        <f t="shared" si="8"/>
        <v>1</v>
      </c>
      <c r="AN20" t="b">
        <f t="shared" si="8"/>
        <v>1</v>
      </c>
      <c r="AO20" t="b">
        <f t="shared" si="8"/>
        <v>1</v>
      </c>
      <c r="AP20" t="b">
        <f t="shared" si="8"/>
        <v>1</v>
      </c>
      <c r="AR20" t="b">
        <f t="shared" si="7"/>
        <v>1</v>
      </c>
      <c r="AS20" t="b">
        <f t="shared" si="7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6"/>
        <v>1</v>
      </c>
      <c r="AK21" t="b">
        <f t="shared" si="8"/>
        <v>1</v>
      </c>
      <c r="AL21" t="b">
        <f t="shared" si="8"/>
        <v>1</v>
      </c>
      <c r="AM21" t="b">
        <f t="shared" si="8"/>
        <v>1</v>
      </c>
      <c r="AN21" t="b">
        <f t="shared" si="8"/>
        <v>1</v>
      </c>
      <c r="AO21" t="b">
        <f t="shared" si="8"/>
        <v>1</v>
      </c>
      <c r="AP21" t="b">
        <f t="shared" si="8"/>
        <v>1</v>
      </c>
      <c r="AR21" t="b">
        <f t="shared" si="7"/>
        <v>1</v>
      </c>
      <c r="AS21" t="b">
        <f t="shared" si="7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JsonObject:98813151-9C3C-4C9A-9FE9-B17423FE39FE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6"/>
        <v>1</v>
      </c>
      <c r="AK22" t="b">
        <f t="shared" si="8"/>
        <v>1</v>
      </c>
      <c r="AL22" t="b">
        <f t="shared" si="8"/>
        <v>1</v>
      </c>
      <c r="AM22" t="b">
        <f t="shared" si="8"/>
        <v>1</v>
      </c>
      <c r="AN22" t="b">
        <f t="shared" si="8"/>
        <v>1</v>
      </c>
      <c r="AO22" t="b">
        <f t="shared" si="8"/>
        <v>1</v>
      </c>
      <c r="AP22" t="b">
        <f t="shared" si="8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JsonObject:64C481AD-4187-41D6-BD4C-D6BACE707AB7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6"/>
        <v>1</v>
      </c>
      <c r="AK23" t="b">
        <f t="shared" si="8"/>
        <v>1</v>
      </c>
      <c r="AL23" t="b">
        <f t="shared" si="8"/>
        <v>1</v>
      </c>
      <c r="AM23" t="b">
        <f t="shared" si="8"/>
        <v>1</v>
      </c>
      <c r="AN23" t="b">
        <f t="shared" si="8"/>
        <v>1</v>
      </c>
      <c r="AO23" t="b">
        <f t="shared" si="8"/>
        <v>1</v>
      </c>
      <c r="AP23" t="b">
        <f t="shared" si="8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JsonObject:733B91FB-9922-49F3-A7A0-09FFE13D21DC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6"/>
        <v>1</v>
      </c>
      <c r="AK24" t="b">
        <f t="shared" si="8"/>
        <v>1</v>
      </c>
      <c r="AL24" t="b">
        <f t="shared" si="8"/>
        <v>1</v>
      </c>
      <c r="AM24" t="b">
        <f t="shared" si="8"/>
        <v>1</v>
      </c>
      <c r="AN24" t="b">
        <f t="shared" si="8"/>
        <v>1</v>
      </c>
      <c r="AO24" t="b">
        <f t="shared" si="8"/>
        <v>1</v>
      </c>
      <c r="AP24" t="b">
        <f t="shared" si="8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JsonObject:CB006863-3F75-4A5F-901D-F9DAE4F43D54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6"/>
        <v>1</v>
      </c>
      <c r="AK25" t="b">
        <f t="shared" si="8"/>
        <v>1</v>
      </c>
      <c r="AL25" t="b">
        <f t="shared" si="8"/>
        <v>1</v>
      </c>
      <c r="AM25" t="b">
        <f t="shared" si="8"/>
        <v>1</v>
      </c>
      <c r="AN25" t="b">
        <f t="shared" si="8"/>
        <v>1</v>
      </c>
      <c r="AO25" t="b">
        <f t="shared" si="8"/>
        <v>1</v>
      </c>
      <c r="AP25" t="b">
        <f t="shared" si="8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JsonObject:243160BB-32A3-435B-98F7-AC84BA2F630D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6"/>
        <v>1</v>
      </c>
      <c r="AK26" t="b">
        <f t="shared" si="8"/>
        <v>1</v>
      </c>
      <c r="AL26" t="b">
        <f t="shared" si="8"/>
        <v>1</v>
      </c>
      <c r="AM26" t="b">
        <f t="shared" si="8"/>
        <v>1</v>
      </c>
      <c r="AN26" t="b">
        <f t="shared" si="8"/>
        <v>1</v>
      </c>
      <c r="AO26" t="b">
        <f t="shared" si="8"/>
        <v>1</v>
      </c>
      <c r="AP26" t="b">
        <f t="shared" si="8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tr">
        <v>fixed_leg.cashflows.[5]</v>
      </c>
      <c r="Q27" t="str">
        <v>JsonObject:B72AC00C-5062-4FD2-ABEC-1746C6F17F06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6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_xll.ExLibris.Json.GetJsonValue($F$1,E28)</f>
        <v>44812</v>
      </c>
      <c r="I28" t="str" cm="1">
        <f t="array" ref="I28">_xll.ExLibris.Json.GetJsonValue(I19,"[2]")</f>
        <v>JsonObject:D6644696-C1E7-405B-8355-F88C6670197F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6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_xll.ExLibris.Json.GetJsonValue($F$1,E29)</f>
        <v>44632</v>
      </c>
      <c r="I29" t="str" cm="1">
        <f t="array" ref="I29:N30">_xll.ExLibris.Json.GetJsonTable(I28)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_xll.ExLibris.Json.CreateJsonObject(P22:Q27)</f>
        <v>JsonObject:F30147FE-182A-42FF-BB4A-524EDC1D4014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6"/>
        <v>1</v>
      </c>
      <c r="AK29" t="b">
        <f t="shared" ref="AK29:AP30" si="9">I29=W29</f>
        <v>1</v>
      </c>
      <c r="AL29" t="b">
        <f t="shared" si="9"/>
        <v>1</v>
      </c>
      <c r="AM29" t="b">
        <f t="shared" si="9"/>
        <v>1</v>
      </c>
      <c r="AN29" t="b">
        <f t="shared" si="9"/>
        <v>1</v>
      </c>
      <c r="AO29" t="b">
        <f t="shared" si="9"/>
        <v>1</v>
      </c>
      <c r="AP29" t="b">
        <f t="shared" si="9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6"/>
        <v>1</v>
      </c>
      <c r="AK30" t="b">
        <f t="shared" si="9"/>
        <v>1</v>
      </c>
      <c r="AL30" t="b">
        <f t="shared" si="9"/>
        <v>1</v>
      </c>
      <c r="AM30" t="b">
        <f t="shared" si="9"/>
        <v>1</v>
      </c>
      <c r="AN30" t="b">
        <f t="shared" si="9"/>
        <v>1</v>
      </c>
      <c r="AO30" t="b">
        <f t="shared" si="9"/>
        <v>1</v>
      </c>
      <c r="AP30" t="b">
        <f t="shared" si="9"/>
        <v>1</v>
      </c>
      <c r="AR30" t="b">
        <f t="shared" ref="AR30:AR64" si="10">P30=AD30</f>
        <v>1</v>
      </c>
      <c r="AS30" t="b">
        <f t="shared" ref="AS30:AS64" si="11">Q30=AE30</f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6"/>
        <v>1</v>
      </c>
      <c r="AR31" t="b">
        <f t="shared" si="10"/>
        <v>1</v>
      </c>
      <c r="AS31" t="b">
        <f t="shared" si="11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_xll.ExLibris.Json.GetJsonValue($F$1,E32)</f>
        <v>11000000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6"/>
        <v>1</v>
      </c>
      <c r="AR32" t="b">
        <f t="shared" si="10"/>
        <v>1</v>
      </c>
      <c r="AS32" t="b">
        <f t="shared" si="11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6"/>
        <v>1</v>
      </c>
      <c r="AR33" t="b">
        <f t="shared" si="10"/>
        <v>1</v>
      </c>
      <c r="AS33" t="b">
        <f t="shared" si="11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_xll.ExLibris.Json.GetJsonValue($F$1,E34)</f>
        <v>44992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6"/>
        <v>1</v>
      </c>
      <c r="AR34" t="b">
        <f t="shared" si="10"/>
        <v>1</v>
      </c>
      <c r="AS34" t="b">
        <f t="shared" si="11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_xll.ExLibris.Json.GetJsonValue($F$1,E35)</f>
        <v>44812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6"/>
        <v>1</v>
      </c>
      <c r="AR35" t="b">
        <f t="shared" si="10"/>
        <v>1</v>
      </c>
      <c r="AS35" t="b">
        <f t="shared" si="11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_xll.ExLibris.Json.GetJsonValue($F$1,E36)</f>
        <v>44992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6"/>
        <v>1</v>
      </c>
      <c r="AR36" t="b">
        <f t="shared" si="10"/>
        <v>1</v>
      </c>
      <c r="AS36" t="b">
        <f t="shared" si="11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6"/>
        <v>1</v>
      </c>
      <c r="AR37" t="b">
        <f t="shared" si="10"/>
        <v>1</v>
      </c>
      <c r="AS37" t="b">
        <f t="shared" si="11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_xll.ExLibris.Json.GetJsonValue($F$1,E38)</f>
        <v>12000000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6"/>
        <v>1</v>
      </c>
      <c r="AR38" t="b">
        <f t="shared" si="10"/>
        <v>1</v>
      </c>
      <c r="AS38" t="b">
        <f t="shared" si="11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6"/>
        <v>1</v>
      </c>
      <c r="AR39" t="b">
        <f t="shared" si="10"/>
        <v>1</v>
      </c>
      <c r="AS39" t="b">
        <f t="shared" si="11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6"/>
        <v>1</v>
      </c>
      <c r="AR40" t="b">
        <f t="shared" si="10"/>
        <v>1</v>
      </c>
      <c r="AS40" t="b">
        <f t="shared" si="11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6"/>
        <v>1</v>
      </c>
      <c r="AR41" t="b">
        <f t="shared" si="10"/>
        <v>1</v>
      </c>
      <c r="AS41" t="b">
        <f t="shared" si="11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6"/>
        <v>1</v>
      </c>
      <c r="AR42" t="b">
        <f t="shared" si="10"/>
        <v>1</v>
      </c>
      <c r="AS42" t="b">
        <f t="shared" si="11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6"/>
        <v>1</v>
      </c>
      <c r="AR43" t="b">
        <f t="shared" si="10"/>
        <v>1</v>
      </c>
      <c r="AS43" t="b">
        <f t="shared" si="11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6"/>
        <v>1</v>
      </c>
      <c r="AR44" t="b">
        <f t="shared" si="10"/>
        <v>1</v>
      </c>
      <c r="AS44" t="b">
        <f t="shared" si="11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6"/>
        <v>1</v>
      </c>
      <c r="AR45" t="b">
        <f t="shared" si="10"/>
        <v>1</v>
      </c>
      <c r="AS45" t="b">
        <f t="shared" si="11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6"/>
        <v>1</v>
      </c>
      <c r="AR46" t="b">
        <f t="shared" si="10"/>
        <v>1</v>
      </c>
      <c r="AS46" t="b">
        <f t="shared" si="11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6"/>
        <v>1</v>
      </c>
      <c r="AR47" t="b">
        <f t="shared" si="10"/>
        <v>1</v>
      </c>
      <c r="AS47" t="b">
        <f t="shared" si="11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6"/>
        <v>1</v>
      </c>
      <c r="AR48" t="b">
        <f t="shared" si="10"/>
        <v>1</v>
      </c>
      <c r="AS48" t="b">
        <f t="shared" si="11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6"/>
        <v>1</v>
      </c>
      <c r="AR49" t="b">
        <f t="shared" si="10"/>
        <v>1</v>
      </c>
      <c r="AS49" t="b">
        <f t="shared" si="11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6"/>
        <v>1</v>
      </c>
      <c r="AR50" t="b">
        <f t="shared" si="10"/>
        <v>1</v>
      </c>
      <c r="AS50" t="b">
        <f t="shared" si="11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6"/>
        <v>1</v>
      </c>
      <c r="AR51" t="b">
        <f t="shared" si="10"/>
        <v>1</v>
      </c>
      <c r="AS51" t="b">
        <f t="shared" si="11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6"/>
        <v>1</v>
      </c>
      <c r="AR52" t="b">
        <f t="shared" si="10"/>
        <v>1</v>
      </c>
      <c r="AS52" t="b">
        <f t="shared" si="11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6"/>
        <v>1</v>
      </c>
      <c r="AR53" t="b">
        <f t="shared" si="10"/>
        <v>1</v>
      </c>
      <c r="AS53" t="b">
        <f t="shared" si="11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6"/>
        <v>1</v>
      </c>
      <c r="AR54" t="b">
        <f t="shared" si="10"/>
        <v>1</v>
      </c>
      <c r="AS54" t="b">
        <f t="shared" si="11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6"/>
        <v>1</v>
      </c>
      <c r="AR55" t="b">
        <f t="shared" si="10"/>
        <v>1</v>
      </c>
      <c r="AS55" t="b">
        <f t="shared" si="11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6"/>
        <v>1</v>
      </c>
      <c r="AR56" t="b">
        <f t="shared" si="10"/>
        <v>1</v>
      </c>
      <c r="AS56" t="b">
        <f t="shared" si="11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6"/>
        <v>1</v>
      </c>
      <c r="AR57" t="b">
        <f t="shared" si="10"/>
        <v>1</v>
      </c>
      <c r="AS57" t="b">
        <f t="shared" si="11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10"/>
        <v>1</v>
      </c>
      <c r="AS58" t="b">
        <f t="shared" si="11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10"/>
        <v>1</v>
      </c>
      <c r="AS59" t="b">
        <f t="shared" si="11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10"/>
        <v>1</v>
      </c>
      <c r="AS60" t="b">
        <f t="shared" si="11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10"/>
        <v>1</v>
      </c>
      <c r="AS61" t="b">
        <f t="shared" si="11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10"/>
        <v>1</v>
      </c>
      <c r="AS62" t="b">
        <f t="shared" si="11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10"/>
        <v>1</v>
      </c>
      <c r="AS63" t="b">
        <f t="shared" si="11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10"/>
        <v>1</v>
      </c>
      <c r="AS64" t="b">
        <f t="shared" si="11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zoomScaleNormal="100" workbookViewId="0"/>
  </sheetViews>
  <sheetFormatPr defaultRowHeight="18.75" x14ac:dyDescent="0.4"/>
  <cols>
    <col min="1" max="1" width="2.25" customWidth="1"/>
    <col min="2" max="2" width="1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_xll.ExLibris.Json.CreateJsonObject(E3:F6, EXLIBRIS_CONFIGURATION)</f>
        <v>JsonObject:19BCEDBC-5726-4B6A-89DD-C22FDE1BD5CA</v>
      </c>
      <c r="K1" t="str">
        <f>EXLIBRIS_CONFIGURATION</f>
        <v>ExLibris.Core.ExLibrisConfiguration:DC7FD29D-C132-4C29-BDD4-EA02C96C53D4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_xll.ExLibris.Json.CreateJsonArray(E8:J14, EXLIBRIS_CONFIGURATION)</f>
        <v>JsonObject:6C33BEF5-2AEA-4442-806B-3FB28F736829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v>
      </c>
    </row>
    <row r="7" spans="2:25" x14ac:dyDescent="0.4">
      <c r="B7" s="6" t="s">
        <v>117</v>
      </c>
      <c r="C7" s="6">
        <f>COUNTIF(AE34:AJ36,FALSE)</f>
        <v>0</v>
      </c>
      <c r="L7" t="s">
        <v>74</v>
      </c>
      <c r="M7" t="s">
        <v>115</v>
      </c>
    </row>
    <row r="8" spans="2:25" x14ac:dyDescent="0.4">
      <c r="B8" s="6" t="s">
        <v>118</v>
      </c>
      <c r="C8" s="6">
        <f>COUNTIF(AE39:AJ40,FALSE)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B9" s="6" t="s">
        <v>119</v>
      </c>
      <c r="C9" s="6">
        <f>COUNTIF(AE43,FALSE)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</f>
        <v>10000000</v>
      </c>
      <c r="J10" s="3">
        <f>J9+0.0001</f>
        <v>1.1000000000000001E-3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3" si="3">I10+1000000</f>
        <v>11000000</v>
      </c>
      <c r="J11" s="3">
        <f t="shared" ref="J11:J14" si="4">J10+0.0001</f>
        <v>1.2000000000000001E-3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>I11</f>
        <v>11000000</v>
      </c>
      <c r="J12" s="3">
        <f t="shared" si="4"/>
        <v>1.3000000000000002E-3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12000000</v>
      </c>
      <c r="J13" s="3">
        <f t="shared" si="4"/>
        <v>1.4000000000000002E-3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>I13</f>
        <v>12000000</v>
      </c>
      <c r="J14" s="3">
        <f t="shared" si="4"/>
        <v>1.5000000000000002E-3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_xll.ExLibris.Json.GetJsonKeyValues(F1, EXLIBRIS_CONFIGURATION)</f>
        <v>trade_code</v>
      </c>
      <c r="F19" t="str">
        <v>money_00001</v>
      </c>
      <c r="G19" t="str" cm="1">
        <f t="array" ref="G19">_xll.ExLibris.Json.GetJsonValue($F$1,E19, EXLIBRIS_CONFIGURATION)</f>
        <v>money_00001</v>
      </c>
      <c r="I19" t="str" cm="1">
        <f t="array" ref="I19">_xll.ExLibris.Json.GetJsonValue(F1,E6, EXLIBRIS_CONFIGURATION)</f>
        <v>JsonObject:B8D36A5D-D3DB-4B33-8D02-7F763EDA8E1F</v>
      </c>
      <c r="P19" t="s">
        <v>14</v>
      </c>
      <c r="Q19" t="s">
        <v>16</v>
      </c>
      <c r="R19" t="s">
        <v>16</v>
      </c>
      <c r="AA19" t="b">
        <f t="shared" ref="AA19:AA57" si="5">E19=P19</f>
        <v>1</v>
      </c>
      <c r="AB19" t="b">
        <f t="shared" ref="AB19:AC57" si="6">E19=P19</f>
        <v>1</v>
      </c>
      <c r="AC19" t="b">
        <f t="shared" si="6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_xll.ExLibris.Json.GetJsonValue($F$1,E20, EXLIBRIS_CONFIGURATION)</f>
        <v>CP00001</v>
      </c>
      <c r="I20" t="str" cm="1">
        <f t="array" ref="I20:N26">_xll.ExLibris.Json.GetJsonTable(I19,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5"/>
        <v>1</v>
      </c>
      <c r="AB20" t="b">
        <f t="shared" si="6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5"/>
        <v>1</v>
      </c>
      <c r="AB21" t="b">
        <f t="shared" si="6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s="1" t="str" cm="1">
        <f t="array" ref="G22">_xll.ExLibris.Json.GetJsonValue($F$1,E22,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10000000</v>
      </c>
      <c r="N22">
        <v>1.1000000000000001E-3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10000000</v>
      </c>
      <c r="Y22">
        <v>1.1000000000000001E-3</v>
      </c>
      <c r="AA22" t="b">
        <f t="shared" si="5"/>
        <v>1</v>
      </c>
      <c r="AB22" t="b">
        <f t="shared" si="6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11000000</v>
      </c>
      <c r="N23">
        <v>1.2000000000000001E-3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11000000</v>
      </c>
      <c r="Y23">
        <v>1.2000000000000001E-3</v>
      </c>
      <c r="AA23" t="b">
        <f t="shared" si="5"/>
        <v>1</v>
      </c>
      <c r="AB23" t="b">
        <f t="shared" si="6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11000000</v>
      </c>
      <c r="N24">
        <v>1.3000000000000002E-3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11000000</v>
      </c>
      <c r="Y24">
        <v>1.3000000000000002E-3</v>
      </c>
      <c r="AA24" t="b">
        <f t="shared" si="5"/>
        <v>1</v>
      </c>
      <c r="AB24" t="b">
        <f t="shared" si="6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12000000</v>
      </c>
      <c r="N25">
        <v>1.4000000000000002E-3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12000000</v>
      </c>
      <c r="Y25">
        <v>1.4000000000000002E-3</v>
      </c>
      <c r="AA25" t="b">
        <f t="shared" si="5"/>
        <v>1</v>
      </c>
      <c r="AB25" t="b">
        <f t="shared" si="6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12000000</v>
      </c>
      <c r="N26">
        <v>1.5000000000000002E-3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12000000</v>
      </c>
      <c r="Y26">
        <v>1.5000000000000002E-3</v>
      </c>
      <c r="AA26" t="b">
        <f t="shared" si="5"/>
        <v>1</v>
      </c>
      <c r="AB26" t="b">
        <f t="shared" si="6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_xll.ExLibris.Json.GetJsonValue($F$1,E27, EXLIBRIS_CONFIGURATION)</f>
        <v>1E-3</v>
      </c>
      <c r="P27" t="s">
        <v>37</v>
      </c>
      <c r="Q27">
        <v>1E-3</v>
      </c>
      <c r="R27">
        <v>1E-3</v>
      </c>
      <c r="AA27" t="b">
        <f t="shared" si="5"/>
        <v>1</v>
      </c>
      <c r="AB27" t="b">
        <f t="shared" si="6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_xll.ExLibris.Json.GetJsonValue($F$1,E28, EXLIBRIS_CONFIGURATION)</f>
        <v>2022-09-08</v>
      </c>
      <c r="I28" t="str" cm="1">
        <f t="array" ref="I28">_xll.ExLibris.Json.GetJsonValue(I19,"[2]", EXLIBRIS_CONFIGURATION)</f>
        <v>JsonObject:00CEC5E9-8297-407D-85B7-D265E61582F2</v>
      </c>
      <c r="P28" t="s">
        <v>38</v>
      </c>
      <c r="Q28" t="s">
        <v>95</v>
      </c>
      <c r="R28" t="s">
        <v>95</v>
      </c>
      <c r="AA28" t="b">
        <f t="shared" si="5"/>
        <v>1</v>
      </c>
      <c r="AB28" t="b">
        <f t="shared" si="6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_xll.ExLibris.Json.GetJsonValue($F$1,E29, EXLIBRIS_CONFIGURATION)</f>
        <v>2022-03-12</v>
      </c>
      <c r="I29" t="str" cm="1">
        <f t="array" ref="I29:N30">_xll.ExLibris.Json.GetJsonTable(I28,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5"/>
        <v>1</v>
      </c>
      <c r="AB29" t="b">
        <f t="shared" si="6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11000000</v>
      </c>
      <c r="N30">
        <v>1.2000000000000001E-3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11000000</v>
      </c>
      <c r="Y30">
        <v>1.2000000000000001E-3</v>
      </c>
      <c r="AA30" t="b">
        <f t="shared" si="5"/>
        <v>1</v>
      </c>
      <c r="AB30" t="b">
        <f t="shared" si="6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5"/>
        <v>1</v>
      </c>
      <c r="AB31" t="b">
        <f t="shared" si="6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10000000</v>
      </c>
      <c r="G32" cm="1">
        <f t="array" ref="G32">_xll.ExLibris.Json.GetJsonValue($F$1,E32, EXLIBRIS_CONFIGURATION)</f>
        <v>10000000</v>
      </c>
      <c r="I32" t="str" cm="1">
        <f t="array" ref="I32">_xll.ExLibris.Json.GetJsonValue(F1,E6,EXLIBRIS_CONFIGURATION)</f>
        <v>JsonObject:B8D36A5D-D3DB-4B33-8D02-7F763EDA8E1F</v>
      </c>
      <c r="P32" t="s">
        <v>42</v>
      </c>
      <c r="Q32">
        <v>10000000</v>
      </c>
      <c r="R32">
        <v>10000000</v>
      </c>
      <c r="AA32" t="b">
        <f t="shared" si="5"/>
        <v>1</v>
      </c>
      <c r="AB32" t="b">
        <f t="shared" si="6"/>
        <v>1</v>
      </c>
      <c r="AC32" t="b">
        <f t="shared" si="6"/>
        <v>1</v>
      </c>
    </row>
    <row r="33" spans="5:36" x14ac:dyDescent="0.4">
      <c r="E33" t="str">
        <v>fixed_leg.cashflows.[1].fixed_rate</v>
      </c>
      <c r="F33">
        <v>1.1000000000000001E-3</v>
      </c>
      <c r="G33" cm="1">
        <f t="array" ref="G33">_xll.ExLibris.Json.GetJsonValue($F$1,E33, EXLIBRIS_CONFIGURATION)</f>
        <v>1.1000000000000001E-3</v>
      </c>
      <c r="I33" t="str" cm="1">
        <f t="array" ref="I33">_xll.ExLibris.Json.SeachJsonArrayElements(I32,I8,I11,EXLIBRIS_CONFIGURATION)</f>
        <v>JsonObject:B9585CCD-D919-4EB3-AB78-B6650980E616</v>
      </c>
      <c r="P33" t="s">
        <v>43</v>
      </c>
      <c r="Q33">
        <v>1.1000000000000001E-3</v>
      </c>
      <c r="R33">
        <v>1.1000000000000001E-3</v>
      </c>
      <c r="AA33" t="b">
        <f t="shared" si="5"/>
        <v>1</v>
      </c>
      <c r="AB33" t="b">
        <f t="shared" si="6"/>
        <v>1</v>
      </c>
      <c r="AC33" t="b">
        <f t="shared" si="6"/>
        <v>1</v>
      </c>
    </row>
    <row r="34" spans="5:36" x14ac:dyDescent="0.4">
      <c r="E34" t="str">
        <v>fixed_leg.cashflows.[2].payment _date</v>
      </c>
      <c r="F34" t="str">
        <v>2023-03-07</v>
      </c>
      <c r="G34" t="str" cm="1">
        <f t="array" ref="G34">_xll.ExLibris.Json.GetJsonValue($F$1,E34, EXLIBRIS_CONFIGURATION)</f>
        <v>2023-03-07</v>
      </c>
      <c r="I34" t="str" cm="1">
        <f t="array" ref="I34:N36">_xll.ExLibris.Json.GetJsonTable(I33, EXLIBRIS_CONFIGURATION)</f>
        <v>payment _date</v>
      </c>
      <c r="J34" t="str">
        <v>start_date</v>
      </c>
      <c r="K34" t="str">
        <v>end_date</v>
      </c>
      <c r="L34" t="str">
        <v>day_count_type</v>
      </c>
      <c r="M34" t="str">
        <v>amout</v>
      </c>
      <c r="N34" t="str">
        <v>fixed_rate</v>
      </c>
      <c r="P34" t="s">
        <v>44</v>
      </c>
      <c r="Q34" t="s">
        <v>96</v>
      </c>
      <c r="R34" t="s">
        <v>96</v>
      </c>
      <c r="T34" t="s">
        <v>0</v>
      </c>
      <c r="U34" t="s">
        <v>2</v>
      </c>
      <c r="V34" t="s">
        <v>4</v>
      </c>
      <c r="W34" t="s">
        <v>6</v>
      </c>
      <c r="X34" t="s">
        <v>10</v>
      </c>
      <c r="Y34" t="s">
        <v>12</v>
      </c>
      <c r="AA34" t="b">
        <f t="shared" si="5"/>
        <v>1</v>
      </c>
      <c r="AB34" t="b">
        <f t="shared" si="6"/>
        <v>1</v>
      </c>
      <c r="AC34" t="b">
        <f t="shared" si="6"/>
        <v>1</v>
      </c>
      <c r="AE34" t="b">
        <f t="shared" ref="AE34:AE36" si="9">I34=T34</f>
        <v>1</v>
      </c>
      <c r="AF34" t="b">
        <f t="shared" ref="AF34:AF36" si="10">J34=U34</f>
        <v>1</v>
      </c>
      <c r="AG34" t="b">
        <f t="shared" ref="AG34:AG36" si="11">K34=V34</f>
        <v>1</v>
      </c>
      <c r="AH34" t="b">
        <f t="shared" ref="AH34:AH36" si="12">L34=W34</f>
        <v>1</v>
      </c>
      <c r="AI34" t="b">
        <f t="shared" ref="AI34:AI36" si="13">M34=X34</f>
        <v>1</v>
      </c>
      <c r="AJ34" t="b">
        <f t="shared" ref="AJ34:AJ36" si="14">N34=Y34</f>
        <v>1</v>
      </c>
    </row>
    <row r="35" spans="5:36" x14ac:dyDescent="0.4">
      <c r="E35" t="str">
        <v>fixed_leg.cashflows.[2].start_date</v>
      </c>
      <c r="F35" t="str">
        <v>2022-09-08</v>
      </c>
      <c r="G35" t="str" cm="1">
        <f t="array" ref="G35">_xll.ExLibris.Json.GetJsonValue($F$1,E35, EXLIBRIS_CONFIGURATION)</f>
        <v>2022-09-08</v>
      </c>
      <c r="I35" t="str">
        <v>2023-03-07</v>
      </c>
      <c r="J35" t="str">
        <v>2022-09-08</v>
      </c>
      <c r="K35" t="str">
        <v>2023-03-07</v>
      </c>
      <c r="L35" t="str">
        <v>ACT/360</v>
      </c>
      <c r="M35">
        <v>11000000</v>
      </c>
      <c r="N35">
        <v>1.2000000000000001E-3</v>
      </c>
      <c r="P35" t="s">
        <v>45</v>
      </c>
      <c r="Q35" t="s">
        <v>95</v>
      </c>
      <c r="R35" t="s">
        <v>95</v>
      </c>
      <c r="T35" t="s">
        <v>96</v>
      </c>
      <c r="U35" t="s">
        <v>95</v>
      </c>
      <c r="V35" t="s">
        <v>96</v>
      </c>
      <c r="W35" t="s">
        <v>8</v>
      </c>
      <c r="X35">
        <v>11000000</v>
      </c>
      <c r="Y35">
        <v>1.2000000000000001E-3</v>
      </c>
      <c r="AA35" t="b">
        <f t="shared" si="5"/>
        <v>1</v>
      </c>
      <c r="AB35" t="b">
        <f t="shared" si="6"/>
        <v>1</v>
      </c>
      <c r="AC35" t="b">
        <f t="shared" si="6"/>
        <v>1</v>
      </c>
      <c r="AE35" t="b">
        <f t="shared" si="9"/>
        <v>1</v>
      </c>
      <c r="AF35" t="b">
        <f t="shared" si="10"/>
        <v>1</v>
      </c>
      <c r="AG35" t="b">
        <f t="shared" si="11"/>
        <v>1</v>
      </c>
      <c r="AH35" t="b">
        <f t="shared" si="12"/>
        <v>1</v>
      </c>
      <c r="AI35" t="b">
        <f t="shared" si="13"/>
        <v>1</v>
      </c>
      <c r="AJ35" t="b">
        <f t="shared" si="14"/>
        <v>1</v>
      </c>
    </row>
    <row r="36" spans="5:36" x14ac:dyDescent="0.4">
      <c r="E36" t="str">
        <v>fixed_leg.cashflows.[2].end_date</v>
      </c>
      <c r="F36" t="str">
        <v>2023-03-07</v>
      </c>
      <c r="G36" t="str" cm="1">
        <f t="array" ref="G36">_xll.ExLibris.Json.GetJsonValue($F$1,E36, EXLIBRIS_CONFIGURATION)</f>
        <v>2023-03-07</v>
      </c>
      <c r="I36" t="str">
        <v>2023-09-03</v>
      </c>
      <c r="J36" t="str">
        <v>2023-03-07</v>
      </c>
      <c r="K36" t="str">
        <v>2023-09-03</v>
      </c>
      <c r="L36" t="str">
        <v>ACT/360</v>
      </c>
      <c r="M36">
        <v>11000000</v>
      </c>
      <c r="N36">
        <v>1.3000000000000002E-3</v>
      </c>
      <c r="P36" t="s">
        <v>46</v>
      </c>
      <c r="Q36" t="s">
        <v>96</v>
      </c>
      <c r="R36" t="s">
        <v>96</v>
      </c>
      <c r="T36" t="s">
        <v>97</v>
      </c>
      <c r="U36" t="s">
        <v>96</v>
      </c>
      <c r="V36" t="s">
        <v>97</v>
      </c>
      <c r="W36" t="s">
        <v>8</v>
      </c>
      <c r="X36">
        <v>11000000</v>
      </c>
      <c r="Y36">
        <v>1.3000000000000002E-3</v>
      </c>
      <c r="AA36" t="b">
        <f t="shared" si="5"/>
        <v>1</v>
      </c>
      <c r="AB36" t="b">
        <f t="shared" si="6"/>
        <v>1</v>
      </c>
      <c r="AC36" t="b">
        <f t="shared" si="6"/>
        <v>1</v>
      </c>
      <c r="AE36" t="b">
        <f t="shared" si="9"/>
        <v>1</v>
      </c>
      <c r="AF36" t="b">
        <f t="shared" si="10"/>
        <v>1</v>
      </c>
      <c r="AG36" t="b">
        <f t="shared" si="11"/>
        <v>1</v>
      </c>
      <c r="AH36" t="b">
        <f t="shared" si="12"/>
        <v>1</v>
      </c>
      <c r="AI36" t="b">
        <f t="shared" si="13"/>
        <v>1</v>
      </c>
      <c r="AJ36" t="b">
        <f t="shared" si="14"/>
        <v>1</v>
      </c>
    </row>
    <row r="37" spans="5:36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5"/>
        <v>1</v>
      </c>
      <c r="AB37" t="b">
        <f t="shared" si="6"/>
        <v>1</v>
      </c>
      <c r="AC37" t="b">
        <f t="shared" si="6"/>
        <v>1</v>
      </c>
    </row>
    <row r="38" spans="5:36" x14ac:dyDescent="0.4">
      <c r="E38" t="str">
        <v>fixed_leg.cashflows.[2].amout</v>
      </c>
      <c r="F38">
        <v>11000000</v>
      </c>
      <c r="G38" cm="1">
        <f t="array" ref="G38">_xll.ExLibris.Json.GetJsonValue($F$1,E38, EXLIBRIS_CONFIGURATION)</f>
        <v>11000000</v>
      </c>
      <c r="I38" t="str" cm="1">
        <f t="array" ref="I38">_xll.ExLibris.Json.SeachJsonArrayElements(I32,J8,J11,EXLIBRIS_CONFIGURATION)</f>
        <v>JsonObject:401A1050-D25E-46F6-AE84-126D04B05BC9</v>
      </c>
      <c r="P38" t="s">
        <v>48</v>
      </c>
      <c r="Q38">
        <v>11000000</v>
      </c>
      <c r="R38">
        <v>11000000</v>
      </c>
      <c r="AA38" t="b">
        <f t="shared" si="5"/>
        <v>1</v>
      </c>
      <c r="AB38" t="b">
        <f t="shared" si="6"/>
        <v>1</v>
      </c>
      <c r="AC38" t="b">
        <f t="shared" si="6"/>
        <v>1</v>
      </c>
    </row>
    <row r="39" spans="5:36" x14ac:dyDescent="0.4">
      <c r="E39" t="str">
        <v>fixed_leg.cashflows.[2].fixed_rate</v>
      </c>
      <c r="F39">
        <v>1.2000000000000001E-3</v>
      </c>
      <c r="G39" cm="1">
        <f t="array" ref="G39">_xll.ExLibris.Json.GetJsonValue($F$1,E39, EXLIBRIS_CONFIGURATION)</f>
        <v>1.2000000000000001E-3</v>
      </c>
      <c r="I39" t="str" cm="1">
        <f t="array" ref="I39:N40">_xll.ExLibris.Json.GetJsonTable(I38, EXLIBRIS_CONFIGURATION)</f>
        <v>payment _date</v>
      </c>
      <c r="J39" t="str">
        <v>start_date</v>
      </c>
      <c r="K39" t="str">
        <v>end_date</v>
      </c>
      <c r="L39" t="str">
        <v>day_count_type</v>
      </c>
      <c r="M39" t="str">
        <v>amout</v>
      </c>
      <c r="N39" t="str">
        <v>fixed_rate</v>
      </c>
      <c r="P39" t="s">
        <v>49</v>
      </c>
      <c r="Q39">
        <v>1.2000000000000001E-3</v>
      </c>
      <c r="R39">
        <v>1.2000000000000001E-3</v>
      </c>
      <c r="T39" t="s">
        <v>0</v>
      </c>
      <c r="U39" t="s">
        <v>2</v>
      </c>
      <c r="V39" t="s">
        <v>4</v>
      </c>
      <c r="W39" t="s">
        <v>6</v>
      </c>
      <c r="X39" t="s">
        <v>10</v>
      </c>
      <c r="Y39" t="s">
        <v>12</v>
      </c>
      <c r="AA39" t="b">
        <f t="shared" si="5"/>
        <v>1</v>
      </c>
      <c r="AB39" t="b">
        <f t="shared" si="6"/>
        <v>1</v>
      </c>
      <c r="AC39" t="b">
        <f t="shared" si="6"/>
        <v>1</v>
      </c>
      <c r="AE39" t="b">
        <f t="shared" ref="AE39:AE40" si="15">I39=T39</f>
        <v>1</v>
      </c>
      <c r="AF39" t="b">
        <f t="shared" ref="AF39:AF40" si="16">J39=U39</f>
        <v>1</v>
      </c>
      <c r="AG39" t="b">
        <f t="shared" ref="AG39:AG40" si="17">K39=V39</f>
        <v>1</v>
      </c>
      <c r="AH39" t="b">
        <f t="shared" ref="AH39:AH40" si="18">L39=W39</f>
        <v>1</v>
      </c>
      <c r="AI39" t="b">
        <f t="shared" ref="AI39:AI40" si="19">M39=X39</f>
        <v>1</v>
      </c>
      <c r="AJ39" t="b">
        <f t="shared" ref="AJ39:AJ40" si="20">N39=Y39</f>
        <v>1</v>
      </c>
    </row>
    <row r="40" spans="5:36" x14ac:dyDescent="0.4">
      <c r="E40" t="str">
        <v>fixed_leg.cashflows.[3].payment _date</v>
      </c>
      <c r="F40" t="str">
        <v>2023-09-03</v>
      </c>
      <c r="G40" t="str" cm="1">
        <f t="array" ref="G40">_xll.ExLibris.Json.GetJsonValue($F$1,E40, EXLIBRIS_CONFIGURATION)</f>
        <v>2023-09-03</v>
      </c>
      <c r="I40" t="str">
        <v>2023-03-07</v>
      </c>
      <c r="J40" t="str">
        <v>2022-09-08</v>
      </c>
      <c r="K40" t="str">
        <v>2023-03-07</v>
      </c>
      <c r="L40" t="str">
        <v>ACT/360</v>
      </c>
      <c r="M40">
        <v>11000000</v>
      </c>
      <c r="N40">
        <v>1.2000000000000001E-3</v>
      </c>
      <c r="P40" t="s">
        <v>50</v>
      </c>
      <c r="Q40" t="s">
        <v>97</v>
      </c>
      <c r="R40" t="s">
        <v>97</v>
      </c>
      <c r="T40" t="s">
        <v>96</v>
      </c>
      <c r="U40" t="s">
        <v>95</v>
      </c>
      <c r="V40" t="s">
        <v>96</v>
      </c>
      <c r="W40" t="s">
        <v>8</v>
      </c>
      <c r="X40">
        <v>11000000</v>
      </c>
      <c r="Y40">
        <v>1.2000000000000001E-3</v>
      </c>
      <c r="AA40" t="b">
        <f t="shared" si="5"/>
        <v>1</v>
      </c>
      <c r="AB40" t="b">
        <f t="shared" si="6"/>
        <v>1</v>
      </c>
      <c r="AC40" t="b">
        <f t="shared" si="6"/>
        <v>1</v>
      </c>
      <c r="AE40" t="b">
        <f t="shared" si="15"/>
        <v>1</v>
      </c>
      <c r="AF40" t="b">
        <f t="shared" si="16"/>
        <v>1</v>
      </c>
      <c r="AG40" t="b">
        <f t="shared" si="17"/>
        <v>1</v>
      </c>
      <c r="AH40" t="b">
        <f t="shared" si="18"/>
        <v>1</v>
      </c>
      <c r="AI40" t="b">
        <f t="shared" si="19"/>
        <v>1</v>
      </c>
      <c r="AJ40" t="b">
        <f t="shared" si="20"/>
        <v>1</v>
      </c>
    </row>
    <row r="41" spans="5:36" x14ac:dyDescent="0.4">
      <c r="E41" t="str">
        <v>fixed_leg.cashflows.[3].start_date</v>
      </c>
      <c r="F41" t="str">
        <v>2023-03-07</v>
      </c>
      <c r="G41" t="str" cm="1">
        <f t="array" ref="G41">_xll.ExLibris.Json.GetJsonValue($F$1,E41,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5"/>
        <v>1</v>
      </c>
      <c r="AB41" t="b">
        <f t="shared" si="6"/>
        <v>1</v>
      </c>
      <c r="AC41" t="b">
        <f t="shared" si="6"/>
        <v>1</v>
      </c>
    </row>
    <row r="42" spans="5:36" x14ac:dyDescent="0.4">
      <c r="E42" t="str">
        <v>fixed_leg.cashflows.[3].end_date</v>
      </c>
      <c r="F42" t="str">
        <v>2023-09-03</v>
      </c>
      <c r="G42" t="str" cm="1">
        <f t="array" ref="G42">_xll.ExLibris.Json.GetJsonValue($F$1,E42, EXLIBRIS_CONFIGURATION)</f>
        <v>2023-09-03</v>
      </c>
      <c r="I42" t="str" cm="1">
        <f t="array" ref="I42">_xll.ExLibris.Json.SeachJsonArrayElements(I32,J8,,EXLIBRIS_CONFIGURATION)</f>
        <v>JsonObject:1DF61BE0-3840-40B4-BACF-7BD4469C90D4</v>
      </c>
      <c r="P42" t="s">
        <v>52</v>
      </c>
      <c r="Q42" t="s">
        <v>97</v>
      </c>
      <c r="R42" t="s">
        <v>97</v>
      </c>
      <c r="AA42" t="b">
        <f t="shared" si="5"/>
        <v>1</v>
      </c>
      <c r="AB42" t="b">
        <f t="shared" si="6"/>
        <v>1</v>
      </c>
      <c r="AC42" t="b">
        <f t="shared" si="6"/>
        <v>1</v>
      </c>
    </row>
    <row r="43" spans="5:36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_xll.ExLibris.Json.GetJsonValue($F$1,E43, EXLIBRIS_CONFIGURATION)</f>
        <v>ACT/360</v>
      </c>
      <c r="I43" t="str" cm="1">
        <f t="array" ref="I43">_xll.ExLibris.Json.GetJsonTable(I42, EXLIBRIS_CONFIGURATION)</f>
        <v/>
      </c>
      <c r="P43" t="s">
        <v>53</v>
      </c>
      <c r="Q43" t="s">
        <v>8</v>
      </c>
      <c r="R43" t="s">
        <v>8</v>
      </c>
      <c r="T43" t="s">
        <v>116</v>
      </c>
      <c r="AA43" t="b">
        <f t="shared" si="5"/>
        <v>1</v>
      </c>
      <c r="AB43" t="b">
        <f t="shared" si="6"/>
        <v>1</v>
      </c>
      <c r="AC43" t="b">
        <f t="shared" si="6"/>
        <v>1</v>
      </c>
      <c r="AE43" t="b">
        <f t="shared" ref="AE43" si="21">I43=T43</f>
        <v>1</v>
      </c>
    </row>
    <row r="44" spans="5:36" x14ac:dyDescent="0.4">
      <c r="E44" t="str">
        <v>fixed_leg.cashflows.[3].amout</v>
      </c>
      <c r="F44">
        <v>11000000</v>
      </c>
      <c r="G44" cm="1">
        <f t="array" ref="G44">_xll.ExLibris.Json.GetJsonValue($F$1,E44, EXLIBRIS_CONFIGURATION)</f>
        <v>11000000</v>
      </c>
      <c r="P44" t="s">
        <v>54</v>
      </c>
      <c r="Q44">
        <v>11000000</v>
      </c>
      <c r="R44">
        <v>11000000</v>
      </c>
      <c r="AA44" t="b">
        <f t="shared" si="5"/>
        <v>1</v>
      </c>
      <c r="AB44" t="b">
        <f t="shared" si="6"/>
        <v>1</v>
      </c>
      <c r="AC44" t="b">
        <f t="shared" si="6"/>
        <v>1</v>
      </c>
    </row>
    <row r="45" spans="5:36" x14ac:dyDescent="0.4">
      <c r="E45" t="str">
        <v>fixed_leg.cashflows.[3].fixed_rate</v>
      </c>
      <c r="F45">
        <v>1.3000000000000002E-3</v>
      </c>
      <c r="G45" cm="1">
        <f t="array" ref="G45">_xll.ExLibris.Json.GetJsonValue($F$1,E45, EXLIBRIS_CONFIGURATION)</f>
        <v>1.3000000000000002E-3</v>
      </c>
      <c r="P45" t="s">
        <v>55</v>
      </c>
      <c r="Q45">
        <v>1.3000000000000002E-3</v>
      </c>
      <c r="R45">
        <v>1.3000000000000002E-3</v>
      </c>
      <c r="AA45" t="b">
        <f t="shared" si="5"/>
        <v>1</v>
      </c>
      <c r="AB45" t="b">
        <f t="shared" si="6"/>
        <v>1</v>
      </c>
      <c r="AC45" t="b">
        <f t="shared" si="6"/>
        <v>1</v>
      </c>
    </row>
    <row r="46" spans="5:36" x14ac:dyDescent="0.4">
      <c r="E46" t="str">
        <v>fixed_leg.cashflows.[4].payment _date</v>
      </c>
      <c r="F46" t="str">
        <v>2024-03-01</v>
      </c>
      <c r="G46" t="str" cm="1">
        <f t="array" ref="G46">_xll.ExLibris.Json.GetJsonValue($F$1,E46,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5"/>
        <v>1</v>
      </c>
      <c r="AB46" t="b">
        <f t="shared" si="6"/>
        <v>1</v>
      </c>
      <c r="AC46" t="b">
        <f t="shared" si="6"/>
        <v>1</v>
      </c>
    </row>
    <row r="47" spans="5:36" x14ac:dyDescent="0.4">
      <c r="E47" t="str">
        <v>fixed_leg.cashflows.[4].start_date</v>
      </c>
      <c r="F47" t="str">
        <v>2023-09-03</v>
      </c>
      <c r="G47" t="str" cm="1">
        <f t="array" ref="G47">_xll.ExLibris.Json.GetJsonValue($F$1,E47,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5"/>
        <v>1</v>
      </c>
      <c r="AB47" t="b">
        <f t="shared" si="6"/>
        <v>1</v>
      </c>
      <c r="AC47" t="b">
        <f t="shared" si="6"/>
        <v>1</v>
      </c>
    </row>
    <row r="48" spans="5:36" x14ac:dyDescent="0.4">
      <c r="E48" t="str">
        <v>fixed_leg.cashflows.[4].end_date</v>
      </c>
      <c r="F48" t="str">
        <v>2024-03-01</v>
      </c>
      <c r="G48" t="str" cm="1">
        <f t="array" ref="G48">_xll.ExLibris.Json.GetJsonValue($F$1,E48,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5"/>
        <v>1</v>
      </c>
      <c r="AB48" t="b">
        <f t="shared" si="6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5"/>
        <v>1</v>
      </c>
      <c r="AB49" t="b">
        <f t="shared" si="6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12000000</v>
      </c>
      <c r="G50" cm="1">
        <f t="array" ref="G50">_xll.ExLibris.Json.GetJsonValue($F$1,E50, EXLIBRIS_CONFIGURATION)</f>
        <v>12000000</v>
      </c>
      <c r="P50" t="s">
        <v>60</v>
      </c>
      <c r="Q50">
        <v>12000000</v>
      </c>
      <c r="R50">
        <v>12000000</v>
      </c>
      <c r="AA50" t="b">
        <f t="shared" si="5"/>
        <v>1</v>
      </c>
      <c r="AB50" t="b">
        <f t="shared" si="6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1.4000000000000002E-3</v>
      </c>
      <c r="G51" cm="1">
        <f t="array" ref="G51">_xll.ExLibris.Json.GetJsonValue($F$1,E51, EXLIBRIS_CONFIGURATION)</f>
        <v>1.4000000000000002E-3</v>
      </c>
      <c r="P51" t="s">
        <v>61</v>
      </c>
      <c r="Q51">
        <v>1.4000000000000002E-3</v>
      </c>
      <c r="R51">
        <v>1.4000000000000002E-3</v>
      </c>
      <c r="AA51" t="b">
        <f t="shared" si="5"/>
        <v>1</v>
      </c>
      <c r="AB51" t="b">
        <f t="shared" si="6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5"/>
        <v>1</v>
      </c>
      <c r="AB52" t="b">
        <f t="shared" si="6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5"/>
        <v>1</v>
      </c>
      <c r="AB53" t="b">
        <f t="shared" si="6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5"/>
        <v>1</v>
      </c>
      <c r="AB54" t="b">
        <f t="shared" si="6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5"/>
        <v>1</v>
      </c>
      <c r="AB55" t="b">
        <f t="shared" si="6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12000000</v>
      </c>
      <c r="G56" cm="1">
        <f t="array" ref="G56">_xll.ExLibris.Json.GetJsonValue($F$1,E56, EXLIBRIS_CONFIGURATION)</f>
        <v>12000000</v>
      </c>
      <c r="P56" t="s">
        <v>66</v>
      </c>
      <c r="Q56">
        <v>12000000</v>
      </c>
      <c r="R56">
        <v>12000000</v>
      </c>
      <c r="AA56" t="b">
        <f t="shared" si="5"/>
        <v>1</v>
      </c>
      <c r="AB56" t="b">
        <f t="shared" si="6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1.5000000000000002E-3</v>
      </c>
      <c r="G57" cm="1">
        <f t="array" ref="G57">_xll.ExLibris.Json.GetJsonValue($F$1,E57, EXLIBRIS_CONFIGURATION)</f>
        <v>1.5000000000000002E-3</v>
      </c>
      <c r="P57" t="s">
        <v>67</v>
      </c>
      <c r="Q57">
        <v>1.5000000000000002E-3</v>
      </c>
      <c r="R57">
        <v>1.5000000000000002E-3</v>
      </c>
      <c r="AA57" t="b">
        <f t="shared" si="5"/>
        <v>1</v>
      </c>
      <c r="AB57" t="b">
        <f t="shared" si="6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H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8" x14ac:dyDescent="0.4">
      <c r="B2" t="s">
        <v>84</v>
      </c>
      <c r="C2" t="str" cm="1">
        <f t="array" ref="C2">_xll.ExLibris.LoadConfiguration(B6:C15)</f>
        <v>ExLibris.Core.ExLibrisConfiguration:DC7FD29D-C132-4C29-BDD4-EA02C96C53D4</v>
      </c>
    </row>
    <row r="4" spans="2:8" s="4" customFormat="1" ht="18" x14ac:dyDescent="0.4">
      <c r="B4" s="4" t="s">
        <v>86</v>
      </c>
      <c r="E4" s="4" t="s">
        <v>85</v>
      </c>
    </row>
    <row r="6" spans="2:8" x14ac:dyDescent="0.4">
      <c r="B6" t="s">
        <v>76</v>
      </c>
      <c r="C6" t="s">
        <v>77</v>
      </c>
      <c r="E6" t="str" cm="1">
        <f t="array" ref="E6:F15">_xll.ExLibris.DumpObject(EXLIBRIS_CONFIGURATION)</f>
        <v>excel_value.excel_error_to</v>
      </c>
      <c r="F6" t="str">
        <v>Error</v>
      </c>
      <c r="H6" t="str" cm="1">
        <f t="array" ref="H6:H15">_xll.ExLibris.ObserveRegisteredObjects()</f>
        <v>ExLibris.Core.WebAPIs.WebAPI:4872062D-BCA4-4E5B-BB53-967EBB4C342E</v>
      </c>
    </row>
    <row r="7" spans="2:8" x14ac:dyDescent="0.4">
      <c r="B7" t="s">
        <v>78</v>
      </c>
      <c r="C7" t="s">
        <v>79</v>
      </c>
      <c r="E7" t="str">
        <v>excel_value.excel_missing_to</v>
      </c>
      <c r="F7" t="str">
        <v>Null</v>
      </c>
      <c r="H7" t="str">
        <v>JsonObject:F31F377B-CD95-4C25-8CF7-9A5903513051</v>
      </c>
    </row>
    <row r="8" spans="2:8" x14ac:dyDescent="0.4">
      <c r="B8" t="s">
        <v>80</v>
      </c>
      <c r="C8" t="s">
        <v>79</v>
      </c>
      <c r="E8" t="str">
        <v>excel_value.excel_empty_to</v>
      </c>
      <c r="F8" t="str">
        <v>Null</v>
      </c>
      <c r="H8" t="str">
        <v>JsonObject:4AD0D2F8-27FD-489D-9E9A-715A8135709A</v>
      </c>
    </row>
    <row r="9" spans="2:8" x14ac:dyDescent="0.4">
      <c r="B9" t="s">
        <v>81</v>
      </c>
      <c r="C9" t="s">
        <v>79</v>
      </c>
      <c r="E9" t="str">
        <v>excel_value.excel_string_empty_to</v>
      </c>
      <c r="F9" t="str">
        <v>Null</v>
      </c>
      <c r="H9" t="str">
        <v>ExLibris.Core.WebAPIs.WebAPI:0FB4F9B3-A994-41E0-9E8F-D4CAF4ED8C1A</v>
      </c>
    </row>
    <row r="10" spans="2:8" x14ac:dyDescent="0.4">
      <c r="B10" t="s">
        <v>82</v>
      </c>
      <c r="C10" t="s">
        <v>87</v>
      </c>
      <c r="E10" t="str">
        <v>excel_value.null_to_excel</v>
      </c>
      <c r="F10" t="str">
        <v>StringEmpty</v>
      </c>
      <c r="H10" t="str">
        <v>JsonObject:47BA52AF-AC12-49E3-B283-F0E65C6C6AED</v>
      </c>
    </row>
    <row r="11" spans="2:8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  <c r="H11" t="str">
        <v>ExLibris.Core.ExLibrisConfiguration:DC7FD29D-C132-4C29-BDD4-EA02C96C53D4</v>
      </c>
    </row>
    <row r="12" spans="2:8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  <c r="H12" t="str">
        <v>ExLibris.Core.WebSockets.WebsocketClient:9BBB6F85-F0F2-40B2-8BA0-6701AFDE61D2</v>
      </c>
    </row>
    <row r="13" spans="2:8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  <c r="H13" t="str">
        <v>ExLibris.Core.WebAPIs.WebAPI:B7FBDAD7-97E9-4500-92E2-A52D7FD80A26</v>
      </c>
    </row>
    <row r="14" spans="2:8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  <c r="H14" t="str">
        <v>ExLibris.Core.WebAPIs.WebAPI:972B430B-3758-4516-BD2C-0513E87FDCBC</v>
      </c>
    </row>
    <row r="15" spans="2:8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  <c r="H15" t="str">
        <v>ExLibris.Core.WebSockets.WebsocketClient:4359F3D4-4102-41EE-A422-B7A3804A52A0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E28"/>
  <sheetViews>
    <sheetView workbookViewId="0"/>
  </sheetViews>
  <sheetFormatPr defaultRowHeight="18.75" x14ac:dyDescent="0.4"/>
  <cols>
    <col min="1" max="1" width="2.25" customWidth="1"/>
    <col min="3" max="3" width="2.25" customWidth="1"/>
    <col min="4" max="4" width="10.625" bestFit="1" customWidth="1"/>
    <col min="5" max="5" width="9.375" bestFit="1" customWidth="1"/>
  </cols>
  <sheetData>
    <row r="2" spans="2:5" s="4" customFormat="1" ht="18" x14ac:dyDescent="0.4">
      <c r="B2" s="4" t="s">
        <v>100</v>
      </c>
    </row>
    <row r="4" spans="2:5" x14ac:dyDescent="0.4">
      <c r="D4" t="s">
        <v>110</v>
      </c>
      <c r="E4" t="str" cm="1">
        <f t="array" ref="E4">_xll.ExLibris.WebSockets.OpenWebSocket("ws://localhost:10101",,D4)</f>
        <v>ExLibris.Core.WebSockets.WebsocketClient:4359F3D4-4102-41EE-A422-B7A3804A52A0</v>
      </c>
    </row>
    <row r="6" spans="2:5" x14ac:dyDescent="0.4">
      <c r="D6" t="s">
        <v>101</v>
      </c>
      <c r="E6" t="str" cm="1">
        <f t="array" ref="E6">_xll.ExLibris.WebSockets.ObserveWebSocketStatus(E4,1000)</f>
        <v>Closed</v>
      </c>
    </row>
    <row r="7" spans="2:5" x14ac:dyDescent="0.4">
      <c r="D7" t="s">
        <v>102</v>
      </c>
      <c r="E7" t="e" cm="1">
        <f t="array" ref="E7">_xll.ExLibris.WebSockets.ObserveWebSocketMessage(E4)</f>
        <v>#N/A</v>
      </c>
    </row>
    <row r="9" spans="2:5" x14ac:dyDescent="0.4">
      <c r="D9" t="s">
        <v>103</v>
      </c>
      <c r="E9" t="e" cm="1">
        <f t="array" ref="E9">_xll.ExLibris.WebSockets.SendWebSocketMessage(E4,"test "&amp;D9,E6="Open")</f>
        <v>#N/A</v>
      </c>
    </row>
    <row r="10" spans="2:5" x14ac:dyDescent="0.4">
      <c r="D10" t="s">
        <v>104</v>
      </c>
      <c r="E10" t="e" cm="1">
        <f t="array" ref="E10">_xll.ExLibris.WebSockets.SendWebSocketMessage($E$4,"test next "&amp;D10,E9)</f>
        <v>#N/A</v>
      </c>
    </row>
    <row r="11" spans="2:5" x14ac:dyDescent="0.4">
      <c r="D11" t="s">
        <v>105</v>
      </c>
      <c r="E11" t="e" cm="1">
        <f t="array" ref="E11">_xll.ExLibris.WebSockets.SendWebSocketMessage($E$4,"test next "&amp;D11,E10)</f>
        <v>#N/A</v>
      </c>
    </row>
    <row r="12" spans="2:5" x14ac:dyDescent="0.4">
      <c r="D12" t="s">
        <v>106</v>
      </c>
      <c r="E12" t="e" cm="1">
        <f t="array" ref="E12">_xll.ExLibris.WebSockets.SendWebSocketMessage($E$4,"test next "&amp;D12,E11)</f>
        <v>#N/A</v>
      </c>
    </row>
    <row r="13" spans="2:5" x14ac:dyDescent="0.4">
      <c r="D13" t="s">
        <v>107</v>
      </c>
      <c r="E13" t="e" cm="1">
        <f t="array" ref="E13">_xll.ExLibris.WebSockets.SendWebSocketMessage($E$4,"test next "&amp;D13,E12)</f>
        <v>#N/A</v>
      </c>
    </row>
    <row r="14" spans="2:5" x14ac:dyDescent="0.4">
      <c r="D14" t="s">
        <v>108</v>
      </c>
      <c r="E14" t="e" cm="1">
        <f t="array" ref="E14">_xll.ExLibris.WebSockets.SendWebSocketMessage($E$4,"test next "&amp;D14,E13)</f>
        <v>#N/A</v>
      </c>
    </row>
    <row r="15" spans="2:5" x14ac:dyDescent="0.4">
      <c r="D15" t="s">
        <v>109</v>
      </c>
      <c r="E15" t="e" cm="1">
        <f t="array" ref="E15">_xll.ExLibris.WebSockets.SendWebSocketMessage($E$4,"test next "&amp;D15,E14)</f>
        <v>#N/A</v>
      </c>
    </row>
    <row r="17" spans="4:5" x14ac:dyDescent="0.4">
      <c r="D17" t="s">
        <v>112</v>
      </c>
      <c r="E17" t="str" cm="1">
        <f t="array" ref="E17">_xll.ExLibris.WebSockets.OpenWebSocket("ws://localhost:10101",,D17)</f>
        <v>ExLibris.Core.WebSockets.WebsocketClient:9BBB6F85-F0F2-40B2-8BA0-6701AFDE61D2</v>
      </c>
    </row>
    <row r="19" spans="4:5" x14ac:dyDescent="0.4">
      <c r="D19" t="s">
        <v>101</v>
      </c>
      <c r="E19" t="str" cm="1">
        <f t="array" ref="E19">_xll.ExLibris.WebSockets.ObserveWebSocketStatus(E17,1000)</f>
        <v>Closed</v>
      </c>
    </row>
    <row r="20" spans="4:5" x14ac:dyDescent="0.4">
      <c r="D20" t="s">
        <v>102</v>
      </c>
      <c r="E20" t="e" cm="1">
        <f t="array" ref="E20">_xll.ExLibris.WebSockets.ObserveWebSocketMessage(E17)</f>
        <v>#N/A</v>
      </c>
    </row>
    <row r="22" spans="4:5" x14ac:dyDescent="0.4">
      <c r="D22" t="s">
        <v>103</v>
      </c>
      <c r="E22" t="e" cm="1">
        <f t="array" ref="E22">_xll.ExLibris.WebSockets.SendWebSocketMessage(E17,"test "&amp;D22,E19="Open")</f>
        <v>#N/A</v>
      </c>
    </row>
    <row r="23" spans="4:5" x14ac:dyDescent="0.4">
      <c r="D23" t="s">
        <v>104</v>
      </c>
      <c r="E23" t="e" cm="1">
        <f t="array" ref="E23">_xll.ExLibris.WebSockets.SendWebSocketMessage($E$4,"test next "&amp;D23,E22)</f>
        <v>#N/A</v>
      </c>
    </row>
    <row r="24" spans="4:5" x14ac:dyDescent="0.4">
      <c r="D24" t="s">
        <v>105</v>
      </c>
      <c r="E24" t="e" cm="1">
        <f t="array" ref="E24">_xll.ExLibris.WebSockets.SendWebSocketMessage($E$4,"test next "&amp;D24,E23)</f>
        <v>#N/A</v>
      </c>
    </row>
    <row r="25" spans="4:5" x14ac:dyDescent="0.4">
      <c r="D25" t="s">
        <v>106</v>
      </c>
      <c r="E25" t="e" cm="1">
        <f t="array" ref="E25">_xll.ExLibris.WebSockets.SendWebSocketMessage($E$4,"test next "&amp;D25,E24)</f>
        <v>#N/A</v>
      </c>
    </row>
    <row r="26" spans="4:5" x14ac:dyDescent="0.4">
      <c r="D26" t="s">
        <v>107</v>
      </c>
      <c r="E26" t="e" cm="1">
        <f t="array" ref="E26">_xll.ExLibris.WebSockets.SendWebSocketMessage($E$4,"test next "&amp;D26,E25)</f>
        <v>#N/A</v>
      </c>
    </row>
    <row r="27" spans="4:5" x14ac:dyDescent="0.4">
      <c r="D27" t="s">
        <v>108</v>
      </c>
      <c r="E27" t="e" cm="1">
        <f t="array" ref="E27">_xll.ExLibris.WebSockets.SendWebSocketMessage($E$4,"test next "&amp;D27,E26)</f>
        <v>#N/A</v>
      </c>
    </row>
    <row r="28" spans="4:5" x14ac:dyDescent="0.4">
      <c r="D28" t="s">
        <v>109</v>
      </c>
      <c r="E28" t="e" cm="1">
        <f t="array" ref="E28">_xll.ExLibris.WebSockets.SendWebSocketMessage($E$4,"test next "&amp;D28,E27)</f>
        <v>#N/A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2036-D85E-4010-85A4-72DC442287D3}">
  <dimension ref="B2:N75"/>
  <sheetViews>
    <sheetView tabSelected="1" workbookViewId="0"/>
  </sheetViews>
  <sheetFormatPr defaultRowHeight="18.75" x14ac:dyDescent="0.4"/>
  <cols>
    <col min="4" max="4" width="9.375" bestFit="1" customWidth="1"/>
  </cols>
  <sheetData>
    <row r="2" spans="2:5" x14ac:dyDescent="0.4">
      <c r="B2" t="s">
        <v>120</v>
      </c>
      <c r="C2" s="7" t="s">
        <v>127</v>
      </c>
      <c r="E2" t="s">
        <v>145</v>
      </c>
    </row>
    <row r="3" spans="2:5" x14ac:dyDescent="0.4">
      <c r="C3" t="s">
        <v>126</v>
      </c>
    </row>
    <row r="5" spans="2:5" x14ac:dyDescent="0.4">
      <c r="B5" t="s">
        <v>129</v>
      </c>
      <c r="C5" t="str" cm="1">
        <f t="array" ref="C5">_xll.ExLibris.WebAPIs.OpenWebSocket($C$2,B5)</f>
        <v>ExLibris.Core.WebAPIs.WebAPI:4872062D-BCA4-4E5B-BB53-967EBB4C342E</v>
      </c>
    </row>
    <row r="6" spans="2:5" x14ac:dyDescent="0.4">
      <c r="B6" t="s">
        <v>125</v>
      </c>
      <c r="C6" t="s">
        <v>124</v>
      </c>
      <c r="D6" t="s">
        <v>121</v>
      </c>
    </row>
    <row r="7" spans="2:5" x14ac:dyDescent="0.4">
      <c r="C7" t="s">
        <v>122</v>
      </c>
      <c r="D7" t="str" cm="1">
        <f t="array" ref="D7">_xll.ExLibris.WebAPIs.WebAPIGet(C5,D6)</f>
        <v>ExLibris.Core.WebAPIs.Response:1C7AD517-7C19-4D0E-A311-4004B9B3351D</v>
      </c>
    </row>
    <row r="8" spans="2:5" x14ac:dyDescent="0.4">
      <c r="C8" t="s">
        <v>123</v>
      </c>
      <c r="D8" t="str" cm="1">
        <f t="array" ref="D8">_xll.ExLibris.WebAPIs.WebAPIRequestContent(D7)</f>
        <v xml:space="preserve">{
  "args": {}, 
  "headers": {
    "Host": "localhost"
  }, 
  "origin": "172.17.0.1", 
  "url": "http://localhost/get"
}
</v>
      </c>
    </row>
    <row r="9" spans="2:5" x14ac:dyDescent="0.4">
      <c r="C9" t="s">
        <v>101</v>
      </c>
      <c r="D9" t="str" cm="1">
        <f t="array" ref="D9">_xll.ExLibris.WebAPIs.WebAPIResponseStatus(D7)</f>
        <v>OK(200)</v>
      </c>
    </row>
    <row r="10" spans="2:5" x14ac:dyDescent="0.4">
      <c r="C10" t="s">
        <v>138</v>
      </c>
      <c r="D10" t="str" cm="1">
        <f t="array" ref="D10">_xll.ExLibris.WebAPIs.WebAPIResponseHeader(D7)</f>
        <v xml:space="preserve">Connection: keep-alive_x000D_
Access-Control-Allow-Origin: *_x000D_
Access-Control-Allow-Credentials: true_x000D_
Date: Thu, 23 Sep 2021 14:06:07 GMT_x000D_
Server: gunicorn/19.9.0_x000D_
</v>
      </c>
    </row>
    <row r="11" spans="2:5" x14ac:dyDescent="0.4">
      <c r="B11" t="s">
        <v>139</v>
      </c>
      <c r="C11" t="s">
        <v>124</v>
      </c>
      <c r="D11" t="s">
        <v>140</v>
      </c>
    </row>
    <row r="12" spans="2:5" x14ac:dyDescent="0.4">
      <c r="C12" t="s">
        <v>122</v>
      </c>
      <c r="D12" t="str" cm="1">
        <f t="array" ref="D12">_xll.ExLibris.WebAPIs.WebAPIPost(C5,D11)</f>
        <v>ExLibris.Core.WebAPIs.Response:CCE2FB9A-9816-4E8B-99E2-1AEC083714A4</v>
      </c>
    </row>
    <row r="13" spans="2:5" x14ac:dyDescent="0.4">
      <c r="C13" t="s">
        <v>123</v>
      </c>
      <c r="D13" t="str" cm="1">
        <f t="array" ref="D13">_xll.ExLibris.WebAPIs.WebAPIRequestContent(D12)</f>
        <v xml:space="preserve">{
  "args": {}, 
  "data": "", 
  "files": {}, 
  "form": {}, 
  "headers": {
    "Content-Length": "0", 
    "Host": "localhost"
  }, 
  "json": null, 
  "origin": "172.17.0.1", 
  "url": "http://localhost/post"
}
</v>
      </c>
    </row>
    <row r="14" spans="2:5" x14ac:dyDescent="0.4">
      <c r="C14" t="s">
        <v>101</v>
      </c>
      <c r="D14" t="str" cm="1">
        <f t="array" ref="D14">_xll.ExLibris.WebAPIs.WebAPIResponseStatus(D12)</f>
        <v>OK(200)</v>
      </c>
    </row>
    <row r="15" spans="2:5" x14ac:dyDescent="0.4">
      <c r="C15" t="s">
        <v>138</v>
      </c>
      <c r="D15" t="str" cm="1">
        <f t="array" ref="D15">_xll.ExLibris.WebAPIs.WebAPIResponseHeader(D12)</f>
        <v xml:space="preserve">Connection: keep-alive_x000D_
Access-Control-Allow-Origin: *_x000D_
Access-Control-Allow-Credentials: true_x000D_
Date: Thu, 23 Sep 2021 14:06:07 GMT_x000D_
Server: gunicorn/19.9.0_x000D_
</v>
      </c>
    </row>
    <row r="17" spans="2:14" x14ac:dyDescent="0.4">
      <c r="B17" t="s">
        <v>128</v>
      </c>
      <c r="C17" t="str" cm="1">
        <f t="array" ref="C17">_xll.ExLibris.WebAPIs.OpenWebSocket(,B17)</f>
        <v>ExLibris.Core.WebAPIs.WebAPI:0FB4F9B3-A994-41E0-9E8F-D4CAF4ED8C1A</v>
      </c>
    </row>
    <row r="18" spans="2:14" x14ac:dyDescent="0.4">
      <c r="B18" t="s">
        <v>125</v>
      </c>
      <c r="C18" t="s">
        <v>124</v>
      </c>
      <c r="D18" t="str">
        <f>$C$2&amp;"get"</f>
        <v>http://localhost:80/get</v>
      </c>
    </row>
    <row r="19" spans="2:14" x14ac:dyDescent="0.4">
      <c r="C19" t="s">
        <v>122</v>
      </c>
      <c r="D19" t="str" cm="1">
        <f t="array" ref="D19">_xll.ExLibris.WebAPIs.WebAPIGet(C17,D18,C17)</f>
        <v>ExLibris.Core.WebAPIs.Response:69D6AD04-C8DA-4215-93E4-1FD2B38FA123</v>
      </c>
    </row>
    <row r="20" spans="2:14" x14ac:dyDescent="0.4">
      <c r="C20" t="s">
        <v>123</v>
      </c>
      <c r="D20" t="str" cm="1">
        <f t="array" ref="D20">_xll.ExLibris.WebAPIs.WebAPIRequestContent(D19)</f>
        <v xml:space="preserve">{
  "args": {}, 
  "headers": {
    "Host": "localhost"
  }, 
  "origin": "172.17.0.1", 
  "url": "http://localhost/get"
}
</v>
      </c>
    </row>
    <row r="21" spans="2:14" x14ac:dyDescent="0.4">
      <c r="C21" t="s">
        <v>101</v>
      </c>
      <c r="D21" t="str" cm="1">
        <f t="array" ref="D21">_xll.ExLibris.WebAPIs.WebAPIResponseStatus(D19)</f>
        <v>OK(200)</v>
      </c>
    </row>
    <row r="22" spans="2:14" x14ac:dyDescent="0.4">
      <c r="C22" t="s">
        <v>138</v>
      </c>
      <c r="D22" t="str" cm="1">
        <f t="array" ref="D22">_xll.ExLibris.WebAPIs.WebAPIResponseHeader(D19)</f>
        <v xml:space="preserve">Connection: keep-alive_x000D_
Access-Control-Allow-Origin: *_x000D_
Access-Control-Allow-Credentials: true_x000D_
Date: Thu, 23 Sep 2021 14:06:07 GMT_x000D_
Server: gunicorn/19.9.0_x000D_
</v>
      </c>
    </row>
    <row r="23" spans="2:14" x14ac:dyDescent="0.4">
      <c r="B23" t="s">
        <v>139</v>
      </c>
      <c r="C23" t="s">
        <v>124</v>
      </c>
      <c r="D23" t="str">
        <f>$C$2&amp;"post"</f>
        <v>http://localhost:80/post</v>
      </c>
    </row>
    <row r="24" spans="2:14" x14ac:dyDescent="0.4">
      <c r="C24" t="s">
        <v>122</v>
      </c>
      <c r="D24" t="str" cm="1">
        <f t="array" ref="D24">_xll.ExLibris.WebAPIs.WebAPIPost(C17,D23)</f>
        <v>ExLibris.Core.WebAPIs.Response:E01A2713-466E-47F4-8A36-427B8329AB81</v>
      </c>
    </row>
    <row r="25" spans="2:14" x14ac:dyDescent="0.4">
      <c r="C25" t="s">
        <v>123</v>
      </c>
      <c r="D25" t="str" cm="1">
        <f t="array" ref="D25">_xll.ExLibris.WebAPIs.WebAPIRequestContent(D24)</f>
        <v xml:space="preserve">{
  "args": {}, 
  "data": "", 
  "files": {}, 
  "form": {}, 
  "headers": {
    "Content-Length": "0", 
    "Host": "localhost"
  }, 
  "json": null, 
  "origin": "172.17.0.1", 
  "url": "http://localhost/post"
}
</v>
      </c>
    </row>
    <row r="26" spans="2:14" x14ac:dyDescent="0.4">
      <c r="C26" t="s">
        <v>101</v>
      </c>
      <c r="D26" t="str" cm="1">
        <f t="array" ref="D26">_xll.ExLibris.WebAPIs.WebAPIResponseStatus(D24)</f>
        <v>OK(200)</v>
      </c>
    </row>
    <row r="27" spans="2:14" x14ac:dyDescent="0.4">
      <c r="C27" t="s">
        <v>138</v>
      </c>
      <c r="D27" t="str" cm="1">
        <f t="array" ref="D27">_xll.ExLibris.WebAPIs.WebAPIResponseHeader(D24)</f>
        <v xml:space="preserve">Connection: keep-alive_x000D_
Access-Control-Allow-Origin: *_x000D_
Access-Control-Allow-Credentials: true_x000D_
Date: Thu, 23 Sep 2021 14:06:07 GMT_x000D_
Server: gunicorn/19.9.0_x000D_
</v>
      </c>
    </row>
    <row r="29" spans="2:14" x14ac:dyDescent="0.4">
      <c r="B29" t="s">
        <v>130</v>
      </c>
      <c r="C29" t="str" cm="1">
        <f t="array" ref="C29">_xll.ExLibris.WebAPIs.OpenWebSocket(,B29)</f>
        <v>ExLibris.Core.WebAPIs.WebAPI:972B430B-3758-4516-BD2C-0513E87FDCBC</v>
      </c>
      <c r="M29" t="s">
        <v>135</v>
      </c>
    </row>
    <row r="30" spans="2:14" x14ac:dyDescent="0.4">
      <c r="B30" t="s">
        <v>125</v>
      </c>
      <c r="C30" t="s">
        <v>124</v>
      </c>
      <c r="D30" t="str" cm="1">
        <f t="array" ref="D30">_xll.ExLibris.WebAPIs.BuildUri($C$2&amp;"get",M30:N32)</f>
        <v>http://localhost:80/get?key0=WebAPI2&amp;key1.int=1&amp;key1.string=value1</v>
      </c>
      <c r="M30" t="s">
        <v>131</v>
      </c>
      <c r="N30" t="str">
        <f>B29</f>
        <v>WebAPI2</v>
      </c>
    </row>
    <row r="31" spans="2:14" x14ac:dyDescent="0.4">
      <c r="C31" t="s">
        <v>122</v>
      </c>
      <c r="D31" t="str" cm="1">
        <f t="array" ref="D31">_xll.ExLibris.WebAPIs.WebAPIGet(C29,D30,C29)</f>
        <v>ExLibris.Core.WebAPIs.Response:4D81A612-FD19-4B78-9F06-BB847AAD380B</v>
      </c>
      <c r="M31" t="s">
        <v>132</v>
      </c>
      <c r="N31">
        <v>1</v>
      </c>
    </row>
    <row r="32" spans="2:14" x14ac:dyDescent="0.4">
      <c r="C32" t="s">
        <v>123</v>
      </c>
      <c r="D32" t="str" cm="1">
        <f t="array" ref="D32">_xll.ExLibris.WebAPIs.WebAPIRequestContent(D31)</f>
        <v xml:space="preserve">{
  "args": {
    "key0": "WebAPI2", 
    "key1.int": "1", 
    "key1.string": "value1"
  }, 
  "headers": {
    "Connection": "Keep-Alive", 
    "Host": "localhost"
  }, 
  "origin": "172.17.0.1", 
  "url": "http://localhost/get?key0=WebAPI2&amp;key1.int=1&amp;key1.string=value1"
}
</v>
      </c>
      <c r="M32" t="s">
        <v>133</v>
      </c>
      <c r="N32" t="s">
        <v>134</v>
      </c>
    </row>
    <row r="33" spans="2:14" x14ac:dyDescent="0.4">
      <c r="C33" t="s">
        <v>101</v>
      </c>
      <c r="D33" t="str" cm="1">
        <f t="array" ref="D33">_xll.ExLibris.WebAPIs.WebAPIResponseStatus(D31)</f>
        <v>OK(200)</v>
      </c>
    </row>
    <row r="34" spans="2:14" x14ac:dyDescent="0.4">
      <c r="C34" t="s">
        <v>138</v>
      </c>
      <c r="D34" t="str" cm="1">
        <f t="array" ref="D34">_xll.ExLibris.WebAPIs.WebAPIResponseHeader(D31)</f>
        <v xml:space="preserve">Connection: keep-alive_x000D_
Access-Control-Allow-Origin: *_x000D_
Access-Control-Allow-Credentials: true_x000D_
Date: Thu, 23 Sep 2021 14:06:07 GMT_x000D_
Server: gunicorn/19.9.0_x000D_
</v>
      </c>
    </row>
    <row r="35" spans="2:14" x14ac:dyDescent="0.4">
      <c r="B35" t="s">
        <v>139</v>
      </c>
      <c r="C35" t="s">
        <v>124</v>
      </c>
      <c r="D35" t="str" cm="1">
        <f t="array" ref="D35">_xll.ExLibris.WebAPIs.BuildUri($C$2&amp;"post",M30:N32)</f>
        <v>http://localhost:80/post?key0=WebAPI2&amp;key1.int=1&amp;key1.string=value1</v>
      </c>
    </row>
    <row r="36" spans="2:14" x14ac:dyDescent="0.4">
      <c r="B36" t="s">
        <v>141</v>
      </c>
      <c r="C36" t="s">
        <v>122</v>
      </c>
      <c r="D36" t="str" cm="1">
        <f t="array" ref="D36">_xll.ExLibris.WebAPIs.WebAPIPost(C29,D35,M30:N32,TRUE)</f>
        <v>ExLibris.Core.WebAPIs.Response:E729AF21-CED6-40BD-AFF3-5805617B224D</v>
      </c>
    </row>
    <row r="37" spans="2:14" x14ac:dyDescent="0.4">
      <c r="C37" t="s">
        <v>123</v>
      </c>
      <c r="D37" t="str" cm="1">
        <f t="array" ref="D37">_xll.ExLibris.WebAPIs.WebAPIRequestContent(D36)</f>
        <v xml:space="preserve">{
  "args": {
    "key0": "WebAPI2", 
    "key1.int": "1", 
    "key1.string": "value1"
  }, 
  "data": "", 
  "files": {}, 
  "form": {
    "key0": "WebAPI2", 
    "key1.int": "1", 
    "key1.string": "value1"
  }, 
  "headers": {
    "Content-Length": "42", 
    "Content-Type": "application/x-www-form-urlencoded", 
    "Expect": "100-continue", 
    "Host": "localhost"
  }, 
  "json": null, 
  "origin": "172.17.0.1", 
  "url": "http://localhost/post?key0=WebAPI2&amp;key1.int=1&amp;key1.string=value1"
}
</v>
      </c>
    </row>
    <row r="38" spans="2:14" x14ac:dyDescent="0.4">
      <c r="C38" t="s">
        <v>101</v>
      </c>
      <c r="D38" t="str" cm="1">
        <f t="array" ref="D38">_xll.ExLibris.WebAPIs.WebAPIResponseStatus(D36)</f>
        <v>OK(200)</v>
      </c>
    </row>
    <row r="39" spans="2:14" x14ac:dyDescent="0.4">
      <c r="C39" t="s">
        <v>138</v>
      </c>
      <c r="D39" t="str" cm="1">
        <f t="array" ref="D39">_xll.ExLibris.WebAPIs.WebAPIResponseHeader(D36)</f>
        <v xml:space="preserve">Connection: keep-alive_x000D_
Access-Control-Allow-Origin: *_x000D_
Access-Control-Allow-Credentials: true_x000D_
Date: Thu, 23 Sep 2021 14:06:07 GMT_x000D_
Server: gunicorn/19.9.0_x000D_
</v>
      </c>
    </row>
    <row r="41" spans="2:14" x14ac:dyDescent="0.4">
      <c r="B41" t="s">
        <v>136</v>
      </c>
      <c r="C41" t="str" cm="1">
        <f t="array" ref="C41">_xll.ExLibris.WebAPIs.OpenWebSocket(,B41)</f>
        <v>ExLibris.Core.WebAPIs.WebAPI:B7FBDAD7-97E9-4500-92E2-A52D7FD80A26</v>
      </c>
      <c r="M41" t="s">
        <v>135</v>
      </c>
      <c r="N41" t="str" cm="1">
        <f t="array" ref="N41">_xll.ExLibris.Json.CreateJsonObject(M42:N44)</f>
        <v>JsonObject:47BA52AF-AC12-49E3-B283-F0E65C6C6AED</v>
      </c>
    </row>
    <row r="42" spans="2:14" x14ac:dyDescent="0.4">
      <c r="B42" t="s">
        <v>125</v>
      </c>
      <c r="C42" t="s">
        <v>124</v>
      </c>
      <c r="D42" t="str" cm="1">
        <f t="array" ref="D42">_xll.ExLibris.WebAPIs.BuildUri($C$2&amp;"get",N41)</f>
        <v>http://localhost:80/get?key0=WebAPI3&amp;key1.int=1&amp;key1.string=value1</v>
      </c>
      <c r="M42" t="s">
        <v>131</v>
      </c>
      <c r="N42" t="str">
        <f>B41</f>
        <v>WebAPI3</v>
      </c>
    </row>
    <row r="43" spans="2:14" x14ac:dyDescent="0.4">
      <c r="C43" t="s">
        <v>122</v>
      </c>
      <c r="D43" t="str" cm="1">
        <f t="array" ref="D43">_xll.ExLibris.WebAPIs.WebAPIGet(C41,D42,C41)</f>
        <v>ExLibris.Core.WebAPIs.Response:75E28F5F-D011-4859-83BF-D5D091FEC199</v>
      </c>
      <c r="M43" t="s">
        <v>132</v>
      </c>
      <c r="N43">
        <v>1</v>
      </c>
    </row>
    <row r="44" spans="2:14" x14ac:dyDescent="0.4">
      <c r="C44" t="s">
        <v>123</v>
      </c>
      <c r="D44" t="str" cm="1">
        <f t="array" ref="D44">_xll.ExLibris.WebAPIs.WebAPIRequestContent(D43)</f>
        <v xml:space="preserve">{
  "args": {
    "key0": "WebAPI3", 
    "key1.int": "1", 
    "key1.string": "value1"
  }, 
  "headers": {
    "Host": "localhost"
  }, 
  "origin": "172.17.0.1", 
  "url": "http://localhost/get?key0=WebAPI3&amp;key1.int=1&amp;key1.string=value1"
}
</v>
      </c>
      <c r="M44" t="s">
        <v>133</v>
      </c>
      <c r="N44" t="s">
        <v>134</v>
      </c>
    </row>
    <row r="45" spans="2:14" x14ac:dyDescent="0.4">
      <c r="C45" t="s">
        <v>101</v>
      </c>
      <c r="D45" t="str" cm="1">
        <f t="array" ref="D45">_xll.ExLibris.WebAPIs.WebAPIResponseStatus(D43)</f>
        <v>OK(200)</v>
      </c>
    </row>
    <row r="46" spans="2:14" x14ac:dyDescent="0.4">
      <c r="C46" t="s">
        <v>138</v>
      </c>
      <c r="D46" t="str" cm="1">
        <f t="array" ref="D46">_xll.ExLibris.WebAPIs.WebAPIResponseHeader(D43)</f>
        <v xml:space="preserve">Connection: keep-alive_x000D_
Access-Control-Allow-Origin: *_x000D_
Access-Control-Allow-Credentials: true_x000D_
Date: Thu, 23 Sep 2021 14:06:07 GMT_x000D_
Server: gunicorn/19.9.0_x000D_
</v>
      </c>
    </row>
    <row r="47" spans="2:14" x14ac:dyDescent="0.4">
      <c r="B47" t="s">
        <v>139</v>
      </c>
      <c r="C47" t="s">
        <v>124</v>
      </c>
      <c r="D47" t="str" cm="1">
        <f t="array" ref="D47">_xll.ExLibris.WebAPIs.BuildUri($C$2&amp;"post",N41)</f>
        <v>http://localhost:80/post?key0=WebAPI3&amp;key1.int=1&amp;key1.string=value1</v>
      </c>
    </row>
    <row r="48" spans="2:14" x14ac:dyDescent="0.4">
      <c r="B48" t="s">
        <v>141</v>
      </c>
      <c r="C48" t="s">
        <v>122</v>
      </c>
      <c r="D48" t="str" cm="1">
        <f t="array" ref="D48">_xll.ExLibris.WebAPIs.WebAPIPost(C41,D47,N41,TRUE)</f>
        <v>ExLibris.Core.WebAPIs.Response:52479086-3B85-46A5-8457-5B4FAC29DC92</v>
      </c>
    </row>
    <row r="49" spans="2:14" x14ac:dyDescent="0.4">
      <c r="C49" t="s">
        <v>123</v>
      </c>
      <c r="D49" t="str" cm="1">
        <f t="array" ref="D49">_xll.ExLibris.WebAPIs.WebAPIRequestContent(D48)</f>
        <v xml:space="preserve">{
  "args": {
    "key0": "WebAPI3", 
    "key1.int": "1", 
    "key1.string": "value1"
  }, 
  "data": "", 
  "files": {}, 
  "form": {
    "key0": "WebAPI3", 
    "key1.int": "1", 
    "key1.string": "value1"
  }, 
  "headers": {
    "Content-Length": "42", 
    "Content-Type": "application/x-www-form-urlencoded", 
    "Expect": "100-continue", 
    "Host": "localhost"
  }, 
  "json": null, 
  "origin": "172.17.0.1", 
  "url": "http://localhost/post?key0=WebAPI3&amp;key1.int=1&amp;key1.string=value1"
}
</v>
      </c>
    </row>
    <row r="50" spans="2:14" x14ac:dyDescent="0.4">
      <c r="C50" t="s">
        <v>101</v>
      </c>
      <c r="D50" t="str" cm="1">
        <f t="array" ref="D50">_xll.ExLibris.WebAPIs.WebAPIResponseStatus(D48)</f>
        <v>OK(200)</v>
      </c>
    </row>
    <row r="51" spans="2:14" x14ac:dyDescent="0.4">
      <c r="C51" t="s">
        <v>138</v>
      </c>
      <c r="D51" t="str" cm="1">
        <f t="array" ref="D51">_xll.ExLibris.WebAPIs.WebAPIResponseHeader(D48)</f>
        <v xml:space="preserve">Connection: keep-alive_x000D_
Access-Control-Allow-Origin: *_x000D_
Access-Control-Allow-Credentials: true_x000D_
Date: Thu, 23 Sep 2021 14:06:07 GMT_x000D_
Server: gunicorn/19.9.0_x000D_
</v>
      </c>
    </row>
    <row r="53" spans="2:14" x14ac:dyDescent="0.4">
      <c r="B53" t="s">
        <v>137</v>
      </c>
      <c r="C53" t="str" cm="1">
        <f t="array" ref="C53">_xll.ExLibris.WebAPIs.OpenWebSocket(D54,B53)</f>
        <v>ExLibris.Core.WebAPIs.WebAPI:B9AB81F6-1D63-4F3A-A4C2-DDC7F65F1E88</v>
      </c>
      <c r="M53" t="s">
        <v>135</v>
      </c>
      <c r="N53" t="str" cm="1">
        <f t="array" ref="N53">_xll.ExLibris.Json.CreateJsonObject(M54:N56)</f>
        <v>JsonObject:4AD0D2F8-27FD-489D-9E9A-715A8135709A</v>
      </c>
    </row>
    <row r="54" spans="2:14" x14ac:dyDescent="0.4">
      <c r="B54" t="s">
        <v>125</v>
      </c>
      <c r="C54" t="s">
        <v>124</v>
      </c>
      <c r="D54" t="str" cm="1">
        <f t="array" ref="D54">_xll.ExLibris.WebAPIs.BuildUri($C$2&amp;"get",N53)</f>
        <v>http://localhost:80/get?key0=WebAPI4&amp;key1.int=1&amp;key1.string=value1</v>
      </c>
      <c r="M54" t="s">
        <v>131</v>
      </c>
      <c r="N54" t="str">
        <f>B53</f>
        <v>WebAPI4</v>
      </c>
    </row>
    <row r="55" spans="2:14" x14ac:dyDescent="0.4">
      <c r="C55" t="s">
        <v>122</v>
      </c>
      <c r="D55" t="str" cm="1">
        <f t="array" ref="D55">_xll.ExLibris.WebAPIs.WebAPIGet(C53,,C53)</f>
        <v>ExLibris.Core.WebAPIs.Response:28D65D09-A744-47CA-A4BF-F4136E627DB3</v>
      </c>
      <c r="M55" t="s">
        <v>132</v>
      </c>
      <c r="N55">
        <v>1</v>
      </c>
    </row>
    <row r="56" spans="2:14" x14ac:dyDescent="0.4">
      <c r="C56" t="s">
        <v>123</v>
      </c>
      <c r="D56" t="str" cm="1">
        <f t="array" ref="D56">_xll.ExLibris.WebAPIs.WebAPIRequestContent(D55)</f>
        <v xml:space="preserve">{
  "args": {
    "key0": "WebAPI4", 
    "key1.int": "1", 
    "key1.string": "value1"
  }, 
  "headers": {
    "Host": "localhost"
  }, 
  "origin": "172.17.0.1", 
  "url": "http://localhost/get?key0=WebAPI4&amp;key1.int=1&amp;key1.string=value1"
}
</v>
      </c>
      <c r="M56" t="s">
        <v>133</v>
      </c>
      <c r="N56" t="s">
        <v>134</v>
      </c>
    </row>
    <row r="57" spans="2:14" x14ac:dyDescent="0.4">
      <c r="C57" t="s">
        <v>101</v>
      </c>
      <c r="D57" t="str" cm="1">
        <f t="array" ref="D57">_xll.ExLibris.WebAPIs.WebAPIResponseStatus(D55)</f>
        <v>OK(200)</v>
      </c>
    </row>
    <row r="58" spans="2:14" x14ac:dyDescent="0.4">
      <c r="C58" t="s">
        <v>138</v>
      </c>
      <c r="D58" t="str" cm="1">
        <f t="array" ref="D58">_xll.ExLibris.WebAPIs.WebAPIResponseHeader(D55)</f>
        <v xml:space="preserve">Connection: keep-alive_x000D_
Access-Control-Allow-Origin: *_x000D_
Access-Control-Allow-Credentials: true_x000D_
Date: Thu, 23 Sep 2021 14:06:09 GMT_x000D_
Server: gunicorn/19.9.0_x000D_
</v>
      </c>
    </row>
    <row r="59" spans="2:14" x14ac:dyDescent="0.4">
      <c r="B59" t="s">
        <v>139</v>
      </c>
      <c r="C59" t="s">
        <v>124</v>
      </c>
      <c r="D59" t="str" cm="1">
        <f t="array" ref="D59">_xll.ExLibris.WebAPIs.BuildUri($C$2&amp;"post",N53)</f>
        <v>http://localhost:80/post?key0=WebAPI4&amp;key1.int=1&amp;key1.string=value1</v>
      </c>
    </row>
    <row r="60" spans="2:14" x14ac:dyDescent="0.4">
      <c r="B60" t="s">
        <v>142</v>
      </c>
      <c r="C60" t="s">
        <v>122</v>
      </c>
      <c r="D60" t="str" cm="1">
        <f t="array" ref="D60">_xll.ExLibris.WebAPIs.WebAPIPost(C53,D59,_xll.ExLibris.Json.ShowJsonText(N53,FALSE,TRUE))</f>
        <v>ExLibris.Core.WebAPIs.Response:0AD56F37-71B8-4460-A127-3EDAB4E8525E</v>
      </c>
    </row>
    <row r="61" spans="2:14" x14ac:dyDescent="0.4">
      <c r="C61" t="s">
        <v>123</v>
      </c>
      <c r="D61" t="str" cm="1">
        <f t="array" ref="D61">_xll.ExLibris.WebAPIs.WebAPIRequestContent(D60)</f>
        <v xml:space="preserve">{
  "args": {
    "key0": "WebAPI4", 
    "key1.int": "1", 
    "key1.string": "value1"
  }, 
  "data": "{\"key0\":\"WebAPI4\",\"key1\":{\"int\":1,\"string\":\"value1\"}}", 
  "files": {}, 
  "form": {}, 
  "headers": {
    "Content-Length": "53", 
    "Content-Type": "text/plain; charset=utf-8", 
    "Expect": "100-continue", 
    "Host": "localhost"
  }, 
  "json": {
    "key0": "WebAPI4", 
    "key1": {
      "int": 1, 
      "string": "value1"
    }
  }, 
  "origin": "172.17.0.1", 
  "url": "http://localhost/post?key0=WebAPI4&amp;key1.int=1&amp;key1.string=value1"
}
</v>
      </c>
    </row>
    <row r="62" spans="2:14" x14ac:dyDescent="0.4">
      <c r="C62" t="s">
        <v>101</v>
      </c>
      <c r="D62" t="str" cm="1">
        <f t="array" ref="D62">_xll.ExLibris.WebAPIs.WebAPIResponseStatus(D60)</f>
        <v>OK(200)</v>
      </c>
    </row>
    <row r="63" spans="2:14" x14ac:dyDescent="0.4">
      <c r="C63" t="s">
        <v>138</v>
      </c>
      <c r="D63" t="str" cm="1">
        <f t="array" ref="D63">_xll.ExLibris.WebAPIs.WebAPIResponseHeader(D60)</f>
        <v xml:space="preserve">Connection: keep-alive_x000D_
Access-Control-Allow-Origin: *_x000D_
Access-Control-Allow-Credentials: true_x000D_
Date: Thu, 23 Sep 2021 14:09:14 GMT_x000D_
Server: gunicorn/19.9.0_x000D_
</v>
      </c>
    </row>
    <row r="65" spans="2:14" x14ac:dyDescent="0.4">
      <c r="B65" t="s">
        <v>143</v>
      </c>
      <c r="C65" t="str" cm="1">
        <f t="array" ref="C65">_xll.ExLibris.WebAPIs.OpenWebSocket(D66,B65)</f>
        <v>ExLibris.Core.WebAPIs.WebAPI:74709B39-9067-4C03-8F9E-A56BCD4E0131</v>
      </c>
      <c r="M65" t="s">
        <v>135</v>
      </c>
      <c r="N65" t="str" cm="1">
        <f t="array" ref="N65">_xll.ExLibris.Json.CreateJsonObject(M66:N68)</f>
        <v>JsonObject:F31F377B-CD95-4C25-8CF7-9A5903513051</v>
      </c>
    </row>
    <row r="66" spans="2:14" x14ac:dyDescent="0.4">
      <c r="B66" t="s">
        <v>125</v>
      </c>
      <c r="C66" t="s">
        <v>124</v>
      </c>
      <c r="D66" t="str" cm="1">
        <f t="array" ref="D66">_xll.ExLibris.WebAPIs.BuildUri($C$2&amp;"delay/3",N65)</f>
        <v>http://localhost:80/delay/3?key0=WebAPI5&amp;key1.int=1&amp;key1.string=sss</v>
      </c>
      <c r="M66" t="s">
        <v>131</v>
      </c>
      <c r="N66" t="str">
        <f>B65</f>
        <v>WebAPI5</v>
      </c>
    </row>
    <row r="67" spans="2:14" x14ac:dyDescent="0.4">
      <c r="C67" t="s">
        <v>122</v>
      </c>
      <c r="D67" t="str" cm="1">
        <f t="array" ref="D67">_xll.ExLibris.WebAPIs.WebAPIGet(C65,,C65)</f>
        <v>ExLibris.Core.WebAPIs.Response:6A3EE0C0-6EE2-4F92-9BA1-5FD73427257F</v>
      </c>
      <c r="M67" t="s">
        <v>132</v>
      </c>
      <c r="N67">
        <v>1</v>
      </c>
    </row>
    <row r="68" spans="2:14" x14ac:dyDescent="0.4">
      <c r="C68" t="s">
        <v>123</v>
      </c>
      <c r="D68" t="str" cm="1">
        <f t="array" ref="D68">_xll.ExLibris.WebAPIs.WebAPIRequestContent(D67)</f>
        <v xml:space="preserve">{
  "args": {
    "key0": "WebAPI5", 
    "key1.int": "1", 
    "key1.string": "sss"
  }, 
  "data": "", 
  "files": {}, 
  "form": {}, 
  "headers": {
    "Host": "localhost"
  }, 
  "origin": "172.17.0.1", 
  "url": "http://localhost/delay/3?key0=WebAPI5&amp;key1.int=1&amp;key1.string=sss"
}
</v>
      </c>
      <c r="M68" t="s">
        <v>133</v>
      </c>
      <c r="N68" t="s">
        <v>144</v>
      </c>
    </row>
    <row r="69" spans="2:14" x14ac:dyDescent="0.4">
      <c r="C69" t="s">
        <v>101</v>
      </c>
      <c r="D69" t="str" cm="1">
        <f t="array" ref="D69">_xll.ExLibris.WebAPIs.WebAPIResponseStatus(D67)</f>
        <v>OK(200)</v>
      </c>
    </row>
    <row r="70" spans="2:14" x14ac:dyDescent="0.4">
      <c r="C70" t="s">
        <v>138</v>
      </c>
      <c r="D70" t="str" cm="1">
        <f t="array" ref="D70">_xll.ExLibris.WebAPIs.WebAPIResponseHeader(D67)</f>
        <v xml:space="preserve">Connection: keep-alive_x000D_
Access-Control-Allow-Origin: *_x000D_
Access-Control-Allow-Credentials: true_x000D_
Date: Thu, 23 Sep 2021 14:06:26 GMT_x000D_
Server: gunicorn/19.9.0_x000D_
</v>
      </c>
    </row>
    <row r="71" spans="2:14" x14ac:dyDescent="0.4">
      <c r="B71" t="s">
        <v>139</v>
      </c>
      <c r="C71" t="s">
        <v>124</v>
      </c>
      <c r="D71" t="str" cm="1">
        <f t="array" ref="D71">_xll.ExLibris.WebAPIs.BuildUri($C$2&amp;"delay/3",N65)</f>
        <v>http://localhost:80/delay/3?key0=WebAPI5&amp;key1.int=1&amp;key1.string=sss</v>
      </c>
    </row>
    <row r="72" spans="2:14" x14ac:dyDescent="0.4">
      <c r="B72" t="s">
        <v>142</v>
      </c>
      <c r="C72" t="s">
        <v>122</v>
      </c>
      <c r="D72" t="str" cm="1">
        <f t="array" ref="D72">_xll.ExLibris.WebAPIs.WebAPIPost(C65,D71,_xll.ExLibris.Json.ShowJsonText(N65,FALSE,TRUE))</f>
        <v>ExLibris.Core.WebAPIs.Response:81CC1800-E739-4F0A-A70C-908691DDAA69</v>
      </c>
    </row>
    <row r="73" spans="2:14" x14ac:dyDescent="0.4">
      <c r="C73" t="s">
        <v>123</v>
      </c>
      <c r="D73" t="str" cm="1">
        <f t="array" ref="D73">_xll.ExLibris.WebAPIs.WebAPIRequestContent(D72)</f>
        <v xml:space="preserve">{
  "args": {
    "key0": "WebAPI5", 
    "key1.int": "1", 
    "key1.string": "sss"
  }, 
  "data": "{\"key0\":\"WebAPI5\",\"key1\":{\"int\":1,\"string\":\"sss\"}}", 
  "files": {}, 
  "form": {}, 
  "headers": {
    "Content-Length": "50", 
    "Content-Type": "text/plain; charset=utf-8", 
    "Expect": "100-continue", 
    "Host": "localhost"
  }, 
  "origin": "172.17.0.1", 
  "url": "http://localhost/delay/3?key0=WebAPI5&amp;key1.int=1&amp;key1.string=sss"
}
</v>
      </c>
    </row>
    <row r="74" spans="2:14" x14ac:dyDescent="0.4">
      <c r="C74" t="s">
        <v>101</v>
      </c>
      <c r="D74" t="str" cm="1">
        <f t="array" ref="D74">_xll.ExLibris.WebAPIs.WebAPIResponseStatus(D72)</f>
        <v>OK(200)</v>
      </c>
    </row>
    <row r="75" spans="2:14" x14ac:dyDescent="0.4">
      <c r="C75" t="s">
        <v>138</v>
      </c>
      <c r="D75" t="str" cm="1">
        <f t="array" ref="D75">_xll.ExLibris.WebAPIs.WebAPIResponseHeader(D72)</f>
        <v xml:space="preserve">Connection: keep-alive_x000D_
Access-Control-Allow-Origin: *_x000D_
Access-Control-Allow-Credentials: true_x000D_
Date: Thu, 23 Sep 2021 14:09:37 GMT_x000D_
Server: gunicorn/19.9.0_x000D_
</v>
      </c>
    </row>
  </sheetData>
  <phoneticPr fontId="1"/>
  <hyperlinks>
    <hyperlink ref="C2" r:id="rId1" xr:uid="{1F584646-A45A-426F-9C4B-AC5B12FEC0AF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1</vt:i4>
      </vt:variant>
    </vt:vector>
  </HeadingPairs>
  <TitlesOfParts>
    <vt:vector size="6" baseType="lpstr">
      <vt:lpstr>json_test</vt:lpstr>
      <vt:lpstr>json_w_conf_test</vt:lpstr>
      <vt:lpstr>configuration</vt:lpstr>
      <vt:lpstr>websocket</vt:lpstr>
      <vt:lpstr>webapi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2021-09-23T14:10:16Z</dcterms:modified>
</cp:coreProperties>
</file>