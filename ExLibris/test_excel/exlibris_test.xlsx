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9CA1AB08-3CF5-44A6-BEBD-1AEEFF741CA9}" xr6:coauthVersionLast="47" xr6:coauthVersionMax="47" xr10:uidLastSave="{00000000-0000-0000-0000-000000000000}"/>
  <bookViews>
    <workbookView xWindow="-120" yWindow="-120" windowWidth="29040" windowHeight="15840" activeTab="1" xr2:uid="{705CD0B7-27A9-4291-85BD-6034C0FEE3E4}"/>
  </bookViews>
  <sheets>
    <sheet name="json_test" sheetId="1" r:id="rId1"/>
    <sheet name="configuration" sheetId="2" r:id="rId2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" l="1"/>
  <c r="I11" i="1" s="1"/>
  <c r="I12" i="1" s="1"/>
  <c r="I13" i="1" s="1"/>
  <c r="I14" i="1" s="1"/>
  <c r="G9" i="1"/>
  <c r="E9" i="1" s="1"/>
  <c r="C2" i="2" a="1"/>
  <c r="C2" i="2" l="1"/>
  <c r="F10" i="1"/>
  <c r="G10" i="1" s="1"/>
  <c r="F11" i="1" s="1"/>
  <c r="G11" i="1" s="1"/>
  <c r="F12" i="1" s="1"/>
  <c r="G12" i="1" s="1"/>
  <c r="E12" i="1"/>
  <c r="F13" i="1"/>
  <c r="G13" i="1" s="1"/>
  <c r="E11" i="1"/>
  <c r="E10" i="1"/>
  <c r="F6" i="1" a="1"/>
  <c r="F6" i="1" l="1"/>
  <c r="F14" i="1"/>
  <c r="G14" i="1" s="1"/>
  <c r="E14" i="1" s="1"/>
  <c r="E13" i="1"/>
  <c r="F1" i="1" a="1"/>
  <c r="F1" i="1" l="1"/>
  <c r="E19" i="1" a="1"/>
  <c r="I19" i="1" a="1"/>
  <c r="G45" i="1" a="1"/>
  <c r="G31" i="1" a="1"/>
  <c r="G47" i="1" a="1"/>
  <c r="G54" i="1" a="1"/>
  <c r="M6" i="1" a="1"/>
  <c r="G53" i="1" a="1"/>
  <c r="G37" i="1" a="1"/>
  <c r="G26" i="1" a="1"/>
  <c r="G39" i="1" a="1"/>
  <c r="G50" i="1" a="1"/>
  <c r="G23" i="1" a="1"/>
  <c r="G51" i="1" a="1"/>
  <c r="G24" i="1" a="1"/>
  <c r="G57" i="1" a="1"/>
  <c r="G30" i="1" a="1"/>
  <c r="G35" i="1" a="1"/>
  <c r="G20" i="1" a="1"/>
  <c r="G32" i="1" a="1"/>
  <c r="G21" i="1" a="1"/>
  <c r="G34" i="1" a="1"/>
  <c r="G43" i="1" a="1"/>
  <c r="G28" i="1" a="1"/>
  <c r="G40" i="1" a="1"/>
  <c r="G29" i="1" a="1"/>
  <c r="G38" i="1" a="1"/>
  <c r="G55" i="1" a="1"/>
  <c r="G36" i="1" a="1"/>
  <c r="G48" i="1" a="1"/>
  <c r="G33" i="1" a="1"/>
  <c r="G42" i="1" a="1"/>
  <c r="G22" i="1" a="1"/>
  <c r="G44" i="1" a="1"/>
  <c r="G56" i="1" a="1"/>
  <c r="G41" i="1" a="1"/>
  <c r="G46" i="1" a="1"/>
  <c r="G27" i="1" a="1"/>
  <c r="G52" i="1" a="1"/>
  <c r="G25" i="1" a="1"/>
  <c r="G49" i="1" a="1"/>
  <c r="G49" i="1" l="1"/>
  <c r="G25" i="1"/>
  <c r="G52" i="1"/>
  <c r="G27" i="1"/>
  <c r="G46" i="1"/>
  <c r="G41" i="1"/>
  <c r="G56" i="1"/>
  <c r="G44" i="1"/>
  <c r="G22" i="1"/>
  <c r="G42" i="1"/>
  <c r="G33" i="1"/>
  <c r="G48" i="1"/>
  <c r="G36" i="1"/>
  <c r="G55" i="1"/>
  <c r="G38" i="1"/>
  <c r="G29" i="1"/>
  <c r="G40" i="1"/>
  <c r="G28" i="1"/>
  <c r="G43" i="1"/>
  <c r="G34" i="1"/>
  <c r="G21" i="1"/>
  <c r="G32" i="1"/>
  <c r="G20" i="1"/>
  <c r="G35" i="1"/>
  <c r="G30" i="1"/>
  <c r="G57" i="1"/>
  <c r="G24" i="1"/>
  <c r="G51" i="1"/>
  <c r="G23" i="1"/>
  <c r="G50" i="1"/>
  <c r="G39" i="1"/>
  <c r="G26" i="1"/>
  <c r="G37" i="1"/>
  <c r="G53" i="1"/>
  <c r="M6" i="1"/>
  <c r="C5" i="1" s="1"/>
  <c r="G54" i="1"/>
  <c r="G47" i="1"/>
  <c r="G31" i="1"/>
  <c r="G45" i="1"/>
  <c r="I19" i="1"/>
  <c r="AA34" i="1"/>
  <c r="AC42" i="1"/>
  <c r="AA47" i="1"/>
  <c r="AB21" i="1"/>
  <c r="AC29" i="1"/>
  <c r="AB48" i="1"/>
  <c r="AC23" i="1"/>
  <c r="AC25" i="1"/>
  <c r="AC41" i="1"/>
  <c r="AC21" i="1"/>
  <c r="AA42" i="1"/>
  <c r="AA24" i="1"/>
  <c r="AC44" i="1"/>
  <c r="AB57" i="1"/>
  <c r="AA35" i="1"/>
  <c r="AA44" i="1"/>
  <c r="AC33" i="1"/>
  <c r="AA54" i="1"/>
  <c r="AB46" i="1"/>
  <c r="AB32" i="1"/>
  <c r="AA26" i="1"/>
  <c r="AB40" i="1"/>
  <c r="AC38" i="1"/>
  <c r="AB31" i="1"/>
  <c r="AC52" i="1"/>
  <c r="AA20" i="1"/>
  <c r="AB28" i="1"/>
  <c r="AB43" i="1"/>
  <c r="AB34" i="1"/>
  <c r="AC28" i="1"/>
  <c r="AB26" i="1"/>
  <c r="AA49" i="1"/>
  <c r="AC19" i="1"/>
  <c r="AB36" i="1"/>
  <c r="AC31" i="1"/>
  <c r="AB56" i="1"/>
  <c r="AB37" i="1"/>
  <c r="AB20" i="1"/>
  <c r="AC36" i="1"/>
  <c r="AC22" i="1"/>
  <c r="AC35" i="1"/>
  <c r="AA22" i="1"/>
  <c r="AC53" i="1"/>
  <c r="AB52" i="1"/>
  <c r="AA56" i="1"/>
  <c r="AA48" i="1"/>
  <c r="AA32" i="1"/>
  <c r="AA53" i="1"/>
  <c r="AA45" i="1"/>
  <c r="AB45" i="1"/>
  <c r="AB47" i="1"/>
  <c r="AC45" i="1"/>
  <c r="AA41" i="1"/>
  <c r="AA57" i="1"/>
  <c r="AC32" i="1"/>
  <c r="AA33" i="1"/>
  <c r="AB39" i="1"/>
  <c r="AC34" i="1"/>
  <c r="AB30" i="1"/>
  <c r="AA27" i="1"/>
  <c r="AA52" i="1"/>
  <c r="AC24" i="1"/>
  <c r="AC51" i="1"/>
  <c r="AB38" i="1"/>
  <c r="AB29" i="1"/>
  <c r="AC46" i="1"/>
  <c r="AA23" i="1"/>
  <c r="AB51" i="1"/>
  <c r="AA25" i="1"/>
  <c r="AB53" i="1"/>
  <c r="AC20" i="1"/>
  <c r="AB41" i="1"/>
  <c r="AB44" i="1"/>
  <c r="AC37" i="1"/>
  <c r="AB27" i="1"/>
  <c r="AC47" i="1"/>
  <c r="AA36" i="1"/>
  <c r="AC26" i="1"/>
  <c r="AB23" i="1"/>
  <c r="AC40" i="1"/>
  <c r="AC48" i="1"/>
  <c r="AA40" i="1"/>
  <c r="AC30" i="1"/>
  <c r="AC39" i="1"/>
  <c r="AB49" i="1"/>
  <c r="AA51" i="1"/>
  <c r="AA37" i="1"/>
  <c r="AB55" i="1"/>
  <c r="AC50" i="1"/>
  <c r="AA38" i="1"/>
  <c r="AC56" i="1"/>
  <c r="AB42" i="1"/>
  <c r="AA50" i="1"/>
  <c r="E19" i="1"/>
  <c r="AA19" i="1" s="1"/>
  <c r="AA31" i="1"/>
  <c r="AB33" i="1"/>
  <c r="AC27" i="1"/>
  <c r="AA39" i="1"/>
  <c r="AA55" i="1"/>
  <c r="AC43" i="1"/>
  <c r="AA21" i="1"/>
  <c r="AB50" i="1"/>
  <c r="AB24" i="1"/>
  <c r="AC57" i="1"/>
  <c r="AA46" i="1"/>
  <c r="AB25" i="1"/>
  <c r="AB22" i="1"/>
  <c r="AB35" i="1"/>
  <c r="AA28" i="1"/>
  <c r="AB54" i="1"/>
  <c r="AC54" i="1"/>
  <c r="AC49" i="1"/>
  <c r="AC55" i="1"/>
  <c r="AA29" i="1"/>
  <c r="AA30" i="1"/>
  <c r="AA43" i="1"/>
  <c r="G19" i="1" a="1"/>
  <c r="I20" i="1" a="1"/>
  <c r="I28" i="1" a="1"/>
  <c r="I28" i="1" l="1"/>
  <c r="AJ22" i="1"/>
  <c r="AE22" i="1"/>
  <c r="AF22" i="1"/>
  <c r="AG23" i="1"/>
  <c r="AG20" i="1"/>
  <c r="AG25" i="1"/>
  <c r="AG26" i="1"/>
  <c r="AH21" i="1"/>
  <c r="AJ23" i="1"/>
  <c r="AF26" i="1"/>
  <c r="AF24" i="1"/>
  <c r="AG22" i="1"/>
  <c r="AE23" i="1"/>
  <c r="AJ24" i="1"/>
  <c r="AH24" i="1"/>
  <c r="AJ26" i="1"/>
  <c r="AH22" i="1"/>
  <c r="AJ20" i="1"/>
  <c r="AF25" i="1"/>
  <c r="AE24" i="1"/>
  <c r="I20" i="1"/>
  <c r="AE20" i="1" s="1"/>
  <c r="AF20" i="1"/>
  <c r="AI20" i="1"/>
  <c r="AE25" i="1"/>
  <c r="AH25" i="1"/>
  <c r="AI21" i="1"/>
  <c r="AH26" i="1"/>
  <c r="AJ21" i="1"/>
  <c r="AI25" i="1"/>
  <c r="AI24" i="1"/>
  <c r="AG24" i="1"/>
  <c r="AI22" i="1"/>
  <c r="AF21" i="1"/>
  <c r="AH23" i="1"/>
  <c r="AF23" i="1"/>
  <c r="AI26" i="1"/>
  <c r="AG21" i="1"/>
  <c r="AE21" i="1"/>
  <c r="AH20" i="1"/>
  <c r="AI23" i="1"/>
  <c r="AE26" i="1"/>
  <c r="AJ25" i="1"/>
  <c r="G19" i="1"/>
  <c r="AB19" i="1"/>
  <c r="C4" i="1"/>
  <c r="C3" i="1"/>
  <c r="I29" i="1" a="1"/>
  <c r="AI29" i="1" l="1"/>
  <c r="AI30" i="1"/>
  <c r="AG30" i="1"/>
  <c r="AJ30" i="1"/>
  <c r="AF30" i="1"/>
  <c r="AE30" i="1"/>
  <c r="AG29" i="1"/>
  <c r="AJ29" i="1"/>
  <c r="AH29" i="1"/>
  <c r="AF29" i="1"/>
  <c r="AH30" i="1"/>
  <c r="I29" i="1"/>
  <c r="AE29" i="1" s="1"/>
  <c r="C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<sst xmlns="http://schemas.openxmlformats.org/spreadsheetml/2006/main" count="127" uniqueCount="87">
  <si>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</si>
  <si>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</si>
  <si>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</si>
  <si>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</si>
  <si>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</si>
  <si>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</si>
  <si>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</si>
  <si>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</si>
  <si>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</si>
  <si>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</si>
  <si>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</si>
  <si>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</si>
  <si>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</si>
  <si>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</si>
  <si>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</si>
  <si>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</si>
  <si>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</si>
  <si>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</si>
  <si>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</si>
  <si>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</si>
  <si>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</si>
  <si>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</si>
  <si>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</si>
  <si>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</si>
  <si>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</si>
  <si>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</si>
  <si>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</si>
  <si>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</si>
  <si>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</si>
  <si>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</si>
  <si>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</si>
  <si>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</si>
  <si>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</si>
  <si>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</si>
  <si>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</si>
  <si>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</si>
  <si>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</si>
  <si>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</si>
  <si>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</si>
  <si>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</si>
  <si>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</si>
  <si>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</si>
  <si>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</si>
  <si>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</si>
  <si>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</si>
  <si>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</si>
  <si>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</si>
  <si>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</si>
  <si>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</si>
  <si>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</si>
  <si>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</si>
  <si>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</si>
  <si>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</si>
  <si>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</si>
  <si>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</si>
  <si>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</si>
  <si>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</si>
  <si>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</si>
  <si>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</si>
  <si>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</si>
  <si>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</si>
  <si>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</si>
  <si>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</si>
  <si>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</si>
  <si>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</si>
  <si>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</si>
  <si>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</si>
  <si>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</si>
  <si>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</si>
  <si>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</si>
  <si>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</si>
  <si>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</si>
  <si>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</si>
  <si>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</si>
  <si>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</si>
  <si>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{"trade_code":"money_00001","couter_party":"CP00001","fixed_leg":{"pay_or_recieve":"Receive","cashflows":[{"payment _date":44631,"start_date":44451,"end_date":44631,"day_count_type":"ACT/360","amout":10000000,"fixed_rate":0.001},{"payment _date":44811,"start_date":44631,"end_date":44811,"day_count_type":"ACT/360","amout":11000000,"fixed_rate":0.001},{"payment _date":44991,"start_date":44811,"end_date":44991,"day_count_type":"ACT/360","amout":12000000,"fixed_rate":0.001},{"payment _date":45171,"start_date":44991,"end_date":45171,"day_count_type":"ACT/360","amout":13000000,"fixed_rate":0.001},{"payment _date":45351,"start_date":45171,"end_date":45351,"day_count_type":"ACT/360","amout":14000000,"fixed_rate":0.001},{"payment _date":45531,"start_date":45351,"end_date":45531,"day_count_type":"ACT/360","amout":15000000,"fixed_rate":0.001}]}}</t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</si>
  <si>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</si>
  <si>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</si>
  <si>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</si>
  <si>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</si>
  <si>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</si>
  <si>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</si>
  <si>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</si>
  <si>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</si>
  <si>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ExcelEmpty</t>
  </si>
  <si>
    <t>excel_value.string_empty_to_excel</t>
  </si>
  <si>
    <t>configuration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</si>
</sst>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a32d3080b5fc4ffe99bc6d5c5f467d40">
      <tp>
        <v>1</v>
        <stp/>
        <stp>9e2d5abe-e3b9-4478-8ddd-04a7d34809ec</stp>
        <tr r="G23" s="1"/>
      </tp>
      <tp>
        <v>1</v>
        <stp/>
        <stp>3d4611db-bcba-4609-a27a-692abb7bdae7</stp>
        <tr r="G22" s="1"/>
      </tp>
      <tp>
        <v>1</v>
        <stp/>
        <stp>69193cad-95d7-4a8b-b176-54ce0ed71e9d</stp>
        <tr r="G36" s="1"/>
      </tp>
      <tp>
        <v>1</v>
        <stp/>
        <stp>12a79de5-3079-4080-bf66-b00c77f87fec</stp>
        <tr r="G31" s="1"/>
      </tp>
      <tp>
        <v>1</v>
        <stp/>
        <stp>10eb5751-c0cf-40c0-b3ce-dd0e9067cbe1</stp>
        <tr r="G19" s="1"/>
      </tp>
    </main>
    <main first="rtdsrv.a32d3080b5fc4ffe99bc6d5c5f467d40">
      <tp>
        <v>1</v>
        <stp/>
        <stp>22a852b1-44d1-4a1b-bdb9-0ac8d25a2f1a</stp>
        <tr r="G46" s="1"/>
      </tp>
      <tp>
        <v>1</v>
        <stp/>
        <stp>34730e21-cd4e-402e-92c5-f3c42b1dad7f</stp>
        <tr r="G44" s="1"/>
      </tp>
    </main>
    <main first="rtdsrv.a32d3080b5fc4ffe99bc6d5c5f467d40">
      <tp>
        <v>1</v>
        <stp/>
        <stp>53ae5501-e8a9-4816-8dfd-107e20b1a3e0</stp>
        <tr r="G51" s="1"/>
      </tp>
      <tp>
        <v>1</v>
        <stp/>
        <stp>748a0635-9ddf-44ba-96f3-f2d2d8976195</stp>
        <tr r="G42" s="1"/>
      </tp>
    </main>
    <main first="rtdsrv.a32d3080b5fc4ffe99bc6d5c5f467d40">
      <tp>
        <v>1</v>
        <stp/>
        <stp>1b7eebc9-770c-41f6-b2c7-e06675991baa</stp>
        <tr r="G49" s="1"/>
      </tp>
      <tp>
        <v>1</v>
        <stp/>
        <stp>7bd2f969-a98b-461f-9ee9-1203f8371712</stp>
        <tr r="G45" s="1"/>
      </tp>
      <tp>
        <v>1</v>
        <stp/>
        <stp>65b8e91e-931e-4605-b3bd-343ec7d23e96</stp>
        <tr r="G27" s="1"/>
      </tp>
    </main>
    <main first="rtdsrv.a32d3080b5fc4ffe99bc6d5c5f467d40">
      <tp>
        <v>1</v>
        <stp/>
        <stp>a0b790b0-d970-4b8d-b5f2-b9edebaeb780</stp>
        <tr r="G24" s="1"/>
      </tp>
    </main>
    <main first="rtdsrv.a32d3080b5fc4ffe99bc6d5c5f467d40">
      <tp>
        <v>1</v>
        <stp/>
        <stp>038cb7cf-98c6-4749-aa82-9ed58f79b6ef</stp>
        <tr r="F6" s="1"/>
      </tp>
    </main>
    <main first="rtdsrv.a32d3080b5fc4ffe99bc6d5c5f467d40">
      <tp>
        <v>1</v>
        <stp/>
        <stp>a9cc3f16-a3ac-4943-8977-ccf0c2118cb4</stp>
        <tr r="F1" s="1"/>
      </tp>
    </main>
    <main first="rtdsrv.a32d3080b5fc4ffe99bc6d5c5f467d40">
      <tp>
        <v>1</v>
        <stp/>
        <stp>496bc021-f61e-4090-a86f-ee869458306a</stp>
        <tr r="G41" s="1"/>
      </tp>
    </main>
    <main first="rtdsrv.a32d3080b5fc4ffe99bc6d5c5f467d40">
      <tp>
        <v>1</v>
        <stp/>
        <stp>c0b55865-db99-436f-8745-a0feb71b6787</stp>
        <tr r="G57" s="1"/>
      </tp>
      <tp>
        <v>1</v>
        <stp/>
        <stp>8072269e-1090-4918-8d79-7b614afe767d</stp>
        <tr r="G39" s="1"/>
      </tp>
      <tp>
        <v>1</v>
        <stp/>
        <stp>cb574dce-b447-4292-a323-924b78488c12</stp>
        <tr r="G21" s="1"/>
      </tp>
      <tp>
        <v>1</v>
        <stp/>
        <stp>fa4191d7-0e0d-4392-aaa5-9dffcb5578f4</stp>
        <tr r="G37" s="1"/>
      </tp>
      <tp>
        <v>1</v>
        <stp/>
        <stp>11d2ec3e-6e2f-453f-843f-9d875aaf1910</stp>
        <tr r="I19" s="1"/>
      </tp>
    </main>
    <main first="rtdsrv.a32d3080b5fc4ffe99bc6d5c5f467d40">
      <tp>
        <v>1</v>
        <stp/>
        <stp>844470d1-5006-4637-8766-169b96fd7cf6</stp>
        <tr r="G29" s="1"/>
      </tp>
    </main>
    <main first="rtdsrv.a32d3080b5fc4ffe99bc6d5c5f467d40">
      <tp>
        <v>1</v>
        <stp/>
        <stp>1156f62a-161c-43a4-81d5-0f40c2f15aa0</stp>
        <tr r="I28" s="1"/>
      </tp>
    </main>
    <main first="rtdsrv.a32d3080b5fc4ffe99bc6d5c5f467d40">
      <tp>
        <v>1</v>
        <stp/>
        <stp>d150d7f6-6951-4d74-86d1-74a3edc3dfa8</stp>
        <tr r="G34" s="1"/>
      </tp>
      <tp>
        <v>1</v>
        <stp/>
        <stp>ddc05469-7bb9-4bd2-8616-aabc8b59c24f</stp>
        <tr r="G30" s="1"/>
      </tp>
      <tp>
        <v>1</v>
        <stp/>
        <stp>d876e550-a290-43ec-aa10-aa0df842729d</stp>
        <tr r="G54" s="1"/>
      </tp>
    </main>
    <main first="rtdsrv.a32d3080b5fc4ffe99bc6d5c5f467d40">
      <tp>
        <v>1</v>
        <stp/>
        <stp>64d941c8-cff6-45e8-955e-99fc7436a2d8</stp>
        <tr r="G56" s="1"/>
      </tp>
    </main>
    <main first="rtdsrv.a32d3080b5fc4ffe99bc6d5c5f467d40">
      <tp>
        <v>1</v>
        <stp/>
        <stp>b0f98245-5851-4f57-b44d-a178b0c3ead3</stp>
        <tr r="G55" s="1"/>
      </tp>
      <tp>
        <v>1</v>
        <stp/>
        <stp>e1f9bbff-90ed-4286-88df-66b64b8fe7b3</stp>
        <tr r="G32" s="1"/>
      </tp>
      <tp>
        <v>1</v>
        <stp/>
        <stp>71c284d7-fc39-486f-9f8f-b33a5d1fd17e</stp>
        <tr r="C2" s="2"/>
      </tp>
    </main>
    <main first="rtdsrv.a32d3080b5fc4ffe99bc6d5c5f467d40">
      <tp>
        <v>1</v>
        <stp/>
        <stp>ee1a2b30-baae-4288-9b42-88a9a289f989</stp>
        <tr r="G33" s="1"/>
      </tp>
    </main>
    <main first="rtdsrv.a32d3080b5fc4ffe99bc6d5c5f467d40">
      <tp>
        <v>1</v>
        <stp/>
        <stp>3c093c10-73bb-4c6d-9ee0-b4df5bb4a909</stp>
        <tr r="G35" s="1"/>
      </tp>
      <tp>
        <v>1</v>
        <stp/>
        <stp>5cc0ed72-b3f6-448a-9352-c8b26d44c445</stp>
        <tr r="G25" s="1"/>
      </tp>
    </main>
    <main first="rtdsrv.a32d3080b5fc4ffe99bc6d5c5f467d40">
      <tp>
        <v>1</v>
        <stp/>
        <stp>ef9ca943-7283-49e3-bc1d-7aee95763fd9</stp>
        <tr r="G50" s="1"/>
      </tp>
      <tp>
        <v>1</v>
        <stp/>
        <stp>2dc2c94a-b324-41a8-934a-7ae7a9875336</stp>
        <tr r="G20" s="1"/>
      </tp>
    </main>
    <main first="rtdsrv.a32d3080b5fc4ffe99bc6d5c5f467d40">
      <tp>
        <v>1</v>
        <stp/>
        <stp>445ce2d9-e2a5-4611-939c-a97414a4e95a</stp>
        <tr r="G52" s="1"/>
      </tp>
      <tp>
        <v>1</v>
        <stp/>
        <stp>5ea75f66-282e-457e-a591-0ec18277bedb</stp>
        <tr r="G28" s="1"/>
      </tp>
    </main>
    <main first="rtdsrv.a32d3080b5fc4ffe99bc6d5c5f467d40">
      <tp>
        <v>1</v>
        <stp/>
        <stp>1d8ad9ec-116d-45b7-8fe1-5196048b9df1</stp>
        <tr r="G40" s="1"/>
      </tp>
      <tp>
        <v>1</v>
        <stp/>
        <stp>b0d97571-6bdf-4659-ad33-ed9e2b985ae7</stp>
        <tr r="G43" s="1"/>
      </tp>
      <tp>
        <v>1</v>
        <stp/>
        <stp>b1ce4ee5-ca0d-49a1-862f-607d1b94d82f</stp>
        <tr r="G38" s="1"/>
      </tp>
    </main>
    <main first="rtdsrv.a32d3080b5fc4ffe99bc6d5c5f467d40">
      <tp>
        <v>1</v>
        <stp/>
        <stp>829e095f-f7c8-4021-8f8b-325209f762f0</stp>
        <tr r="G47" s="1"/>
      </tp>
      <tp>
        <v>1</v>
        <stp/>
        <stp>0e653ed5-3128-45d5-8ff4-5065c47f89af</stp>
        <tr r="G48" s="1"/>
      </tp>
      <tp>
        <v>1</v>
        <stp/>
        <stp>1bbaff12-3c91-42c4-ac51-612d185b0c04</stp>
        <tr r="G26" s="1"/>
      </tp>
      <tp>
        <v>1</v>
        <stp/>
        <stp>78f7fc3b-c475-4b1c-8f10-91aecb692e1f</stp>
        <tr r="G5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J57"/>
  <sheetViews>
    <sheetView zoomScaleNormal="100" workbookViewId="0"/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0.25" bestFit="1" customWidth="1"/>
    <col min="8" max="8" width="15.5" bestFit="1" customWidth="1"/>
    <col min="9" max="9" width="11.125" bestFit="1" customWidth="1"/>
    <col min="10" max="10" width="9.875" bestFit="1" customWidth="1"/>
    <col min="11" max="11" width="15.5" bestFit="1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JsonObject:A1E62956-E809-4C6B-86CC-F894F8CE6C98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76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JsonObject:05019BDF-82DF-4B14-9C49-9BFDF9CA426E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_date":44631,"start_date":44451,"end_date":44631,"day_count_type":"ACT/360","amout":10000000,"fixed_rate":0.001},{"payment _date":44811,"start_date":44631,"end_date":44811,"day_count_type":"ACT/360","amout":11000000,"fixed_rate":0.001},{"payment _date":44991,"start_date":44811,"end_date":44991,"day_count_type":"ACT/360","amout":12000000,"fixed_rate":0.001},{"payment _date":45171,"start_date":44991,"end_date":45171,"day_count_type":"ACT/360","amout":13000000,"fixed_rate":0.001},{"payment _date":45351,"start_date":45171,"end_date":45351,"day_count_type":"ACT/360","amout":14000000,"fixed_rate":0.001},{"payment _date":45531,"start_date":45351,"end_date":45531,"day_count_type":"ACT/360","amout":15000000,"fixed_rate":0.001}]}}</v>
      </c>
    </row>
    <row r="7" spans="2:25" x14ac:dyDescent="0.4">
      <c r="L7" t="s">
        <v>74</v>
      </c>
      <c r="M7" t="s">
        <v>75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44631</v>
      </c>
      <c r="F9" s="1">
        <v>44451</v>
      </c>
      <c r="G9" s="1">
        <f>F9+180</f>
        <v>44631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44811</v>
      </c>
      <c r="F10" s="1">
        <f>G9</f>
        <v>44631</v>
      </c>
      <c r="G10" s="1">
        <f>F10+180</f>
        <v>44811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44991</v>
      </c>
      <c r="F11" s="1">
        <f t="shared" ref="F11:F14" si="1">G10</f>
        <v>44811</v>
      </c>
      <c r="G11" s="1">
        <f t="shared" ref="G11:G14" si="2">F11+180</f>
        <v>44991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45171</v>
      </c>
      <c r="F12" s="1">
        <f t="shared" si="1"/>
        <v>44991</v>
      </c>
      <c r="G12" s="1">
        <f t="shared" si="2"/>
        <v>45171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45351</v>
      </c>
      <c r="F13" s="1">
        <f t="shared" si="1"/>
        <v>45171</v>
      </c>
      <c r="G13" s="1">
        <f t="shared" si="2"/>
        <v>45351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45531</v>
      </c>
      <c r="F14" s="1">
        <f t="shared" si="1"/>
        <v>45351</v>
      </c>
      <c r="G14" s="1">
        <f t="shared" si="2"/>
        <v>45531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JsonObject:077BCFC5-9E1A-48C6-A255-EE3D3527CDAF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B57" si="5">E19=P19</f>
        <v>1</v>
      </c>
      <c r="AC19" t="b">
        <f t="shared" ref="AC19:AC57" si="6">F19=Q19</f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>
        <v>44631</v>
      </c>
      <c r="J21">
        <v>44451</v>
      </c>
      <c r="K21">
        <v>44631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>
        <v>44631</v>
      </c>
      <c r="U21">
        <v>44451</v>
      </c>
      <c r="V21">
        <v>44631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>
        <v>44631</v>
      </c>
      <c r="G22" cm="1">
        <f t="array" ref="G22">_xll.ExLibris.Json.GetJsonValue($F$1,E22, EXLIBRIS_CONFIGURATION)</f>
        <v>44631</v>
      </c>
      <c r="I22">
        <v>44811</v>
      </c>
      <c r="J22">
        <v>44631</v>
      </c>
      <c r="K22">
        <v>44811</v>
      </c>
      <c r="L22" t="str">
        <v>ACT/360</v>
      </c>
      <c r="M22">
        <v>11000000</v>
      </c>
      <c r="N22">
        <v>1E-3</v>
      </c>
      <c r="P22" t="s">
        <v>32</v>
      </c>
      <c r="Q22">
        <v>44631</v>
      </c>
      <c r="R22">
        <v>44631</v>
      </c>
      <c r="T22">
        <v>44811</v>
      </c>
      <c r="U22">
        <v>44631</v>
      </c>
      <c r="V22">
        <v>44811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>
        <v>44451</v>
      </c>
      <c r="G23" cm="1">
        <f t="array" ref="G23">_xll.ExLibris.Json.GetJsonValue($F$1,E23, EXLIBRIS_CONFIGURATION)</f>
        <v>44451</v>
      </c>
      <c r="I23">
        <v>44991</v>
      </c>
      <c r="J23">
        <v>44811</v>
      </c>
      <c r="K23">
        <v>44991</v>
      </c>
      <c r="L23" t="str">
        <v>ACT/360</v>
      </c>
      <c r="M23">
        <v>12000000</v>
      </c>
      <c r="N23">
        <v>1E-3</v>
      </c>
      <c r="P23" t="s">
        <v>33</v>
      </c>
      <c r="Q23">
        <v>44451</v>
      </c>
      <c r="R23">
        <v>44451</v>
      </c>
      <c r="T23">
        <v>44991</v>
      </c>
      <c r="U23">
        <v>44811</v>
      </c>
      <c r="V23">
        <v>44991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>
        <v>44631</v>
      </c>
      <c r="G24" cm="1">
        <f t="array" ref="G24">_xll.ExLibris.Json.GetJsonValue($F$1,E24, EXLIBRIS_CONFIGURATION)</f>
        <v>44631</v>
      </c>
      <c r="I24">
        <v>45171</v>
      </c>
      <c r="J24">
        <v>44991</v>
      </c>
      <c r="K24">
        <v>45171</v>
      </c>
      <c r="L24" t="str">
        <v>ACT/360</v>
      </c>
      <c r="M24">
        <v>13000000</v>
      </c>
      <c r="N24">
        <v>1E-3</v>
      </c>
      <c r="P24" t="s">
        <v>34</v>
      </c>
      <c r="Q24">
        <v>44631</v>
      </c>
      <c r="R24">
        <v>44631</v>
      </c>
      <c r="T24">
        <v>45171</v>
      </c>
      <c r="U24">
        <v>44991</v>
      </c>
      <c r="V24">
        <v>45171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>
        <v>45351</v>
      </c>
      <c r="J25">
        <v>45171</v>
      </c>
      <c r="K25">
        <v>45351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>
        <v>45351</v>
      </c>
      <c r="U25">
        <v>45171</v>
      </c>
      <c r="V25">
        <v>45351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>
        <v>45531</v>
      </c>
      <c r="J26">
        <v>45351</v>
      </c>
      <c r="K26">
        <v>45531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>
        <v>45531</v>
      </c>
      <c r="U26">
        <v>45351</v>
      </c>
      <c r="V26">
        <v>45531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>
        <v>44811</v>
      </c>
      <c r="G28" cm="1">
        <f t="array" ref="G28">_xll.ExLibris.Json.GetJsonValue($F$1,E28, EXLIBRIS_CONFIGURATION)</f>
        <v>44811</v>
      </c>
      <c r="I28" t="str" cm="1">
        <f t="array" ref="I28">_xll.ExLibris.Json.GetJsonValue(I19,"[2]", EXLIBRIS_CONFIGURATION)</f>
        <v>JsonObject:4FFC022D-F37F-4CC2-966E-B3D6CF75C5B0</v>
      </c>
      <c r="P28" t="s">
        <v>38</v>
      </c>
      <c r="Q28">
        <v>44811</v>
      </c>
      <c r="R28">
        <v>44811</v>
      </c>
      <c r="AA28" t="b">
        <f t="shared" si="4"/>
        <v>1</v>
      </c>
      <c r="AB28" t="b">
        <f t="shared" si="5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>
        <v>44631</v>
      </c>
      <c r="G29" cm="1">
        <f t="array" ref="G29">_xll.ExLibris.Json.GetJsonValue($F$1,E29, EXLIBRIS_CONFIGURATION)</f>
        <v>44631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>
        <v>44631</v>
      </c>
      <c r="R29">
        <v>44631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>
        <v>44811</v>
      </c>
      <c r="G30" cm="1">
        <f t="array" ref="G30">_xll.ExLibris.Json.GetJsonValue($F$1,E30, EXLIBRIS_CONFIGURATION)</f>
        <v>44811</v>
      </c>
      <c r="I30">
        <v>44991</v>
      </c>
      <c r="J30">
        <v>44811</v>
      </c>
      <c r="K30">
        <v>44991</v>
      </c>
      <c r="L30" t="str">
        <v>ACT/360</v>
      </c>
      <c r="M30">
        <v>12000000</v>
      </c>
      <c r="N30">
        <v>1E-3</v>
      </c>
      <c r="P30" t="s">
        <v>40</v>
      </c>
      <c r="Q30">
        <v>44811</v>
      </c>
      <c r="R30">
        <v>44811</v>
      </c>
      <c r="T30">
        <v>44991</v>
      </c>
      <c r="U30">
        <v>44811</v>
      </c>
      <c r="V30">
        <v>44991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_xll.ExLibris.Json.GetJsonValue($F$1,E32, EXLIBRIS_CONFIGURATION)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6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_xll.ExLibris.Json.GetJsonValue($F$1,E33, EXLIBRIS_CONFIGURATION)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6"/>
        <v>1</v>
      </c>
    </row>
    <row r="34" spans="5:29" x14ac:dyDescent="0.4">
      <c r="E34" t="str">
        <v>fixed_leg.cashflows.[2].payment _date</v>
      </c>
      <c r="F34">
        <v>44991</v>
      </c>
      <c r="G34" cm="1">
        <f t="array" ref="G34">_xll.ExLibris.Json.GetJsonValue($F$1,E34, EXLIBRIS_CONFIGURATION)</f>
        <v>44991</v>
      </c>
      <c r="P34" t="s">
        <v>44</v>
      </c>
      <c r="Q34">
        <v>44991</v>
      </c>
      <c r="R34">
        <v>44991</v>
      </c>
      <c r="AA34" t="b">
        <f t="shared" si="4"/>
        <v>1</v>
      </c>
      <c r="AB34" t="b">
        <f t="shared" si="5"/>
        <v>1</v>
      </c>
      <c r="AC34" t="b">
        <f t="shared" si="6"/>
        <v>1</v>
      </c>
    </row>
    <row r="35" spans="5:29" x14ac:dyDescent="0.4">
      <c r="E35" t="str">
        <v>fixed_leg.cashflows.[2].start_date</v>
      </c>
      <c r="F35">
        <v>44811</v>
      </c>
      <c r="G35" cm="1">
        <f t="array" ref="G35">_xll.ExLibris.Json.GetJsonValue($F$1,E35, EXLIBRIS_CONFIGURATION)</f>
        <v>44811</v>
      </c>
      <c r="P35" t="s">
        <v>45</v>
      </c>
      <c r="Q35">
        <v>44811</v>
      </c>
      <c r="R35">
        <v>44811</v>
      </c>
      <c r="AA35" t="b">
        <f t="shared" si="4"/>
        <v>1</v>
      </c>
      <c r="AB35" t="b">
        <f t="shared" si="5"/>
        <v>1</v>
      </c>
      <c r="AC35" t="b">
        <f t="shared" si="6"/>
        <v>1</v>
      </c>
    </row>
    <row r="36" spans="5:29" x14ac:dyDescent="0.4">
      <c r="E36" t="str">
        <v>fixed_leg.cashflows.[2].end_date</v>
      </c>
      <c r="F36">
        <v>44991</v>
      </c>
      <c r="G36" cm="1">
        <f t="array" ref="G36">_xll.ExLibris.Json.GetJsonValue($F$1,E36, EXLIBRIS_CONFIGURATION)</f>
        <v>44991</v>
      </c>
      <c r="P36" t="s">
        <v>46</v>
      </c>
      <c r="Q36">
        <v>44991</v>
      </c>
      <c r="R36">
        <v>44991</v>
      </c>
      <c r="AA36" t="b">
        <f t="shared" si="4"/>
        <v>1</v>
      </c>
      <c r="AB36" t="b">
        <f t="shared" si="5"/>
        <v>1</v>
      </c>
      <c r="AC36" t="b">
        <f t="shared" si="6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6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_xll.ExLibris.Json.GetJsonValue($F$1,E38, EXLIBRIS_CONFIGURATION)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6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_xll.ExLibris.Json.GetJsonValue($F$1,E39, EXLIBRIS_CONFIGURATION)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6"/>
        <v>1</v>
      </c>
    </row>
    <row r="40" spans="5:29" x14ac:dyDescent="0.4">
      <c r="E40" t="str">
        <v>fixed_leg.cashflows.[3].payment _date</v>
      </c>
      <c r="F40">
        <v>45171</v>
      </c>
      <c r="G40" cm="1">
        <f t="array" ref="G40">_xll.ExLibris.Json.GetJsonValue($F$1,E40, EXLIBRIS_CONFIGURATION)</f>
        <v>45171</v>
      </c>
      <c r="P40" t="s">
        <v>50</v>
      </c>
      <c r="Q40">
        <v>45171</v>
      </c>
      <c r="R40">
        <v>45171</v>
      </c>
      <c r="AA40" t="b">
        <f t="shared" si="4"/>
        <v>1</v>
      </c>
      <c r="AB40" t="b">
        <f t="shared" si="5"/>
        <v>1</v>
      </c>
      <c r="AC40" t="b">
        <f t="shared" si="6"/>
        <v>1</v>
      </c>
    </row>
    <row r="41" spans="5:29" x14ac:dyDescent="0.4">
      <c r="E41" t="str">
        <v>fixed_leg.cashflows.[3].start_date</v>
      </c>
      <c r="F41">
        <v>44991</v>
      </c>
      <c r="G41" cm="1">
        <f t="array" ref="G41">_xll.ExLibris.Json.GetJsonValue($F$1,E41, EXLIBRIS_CONFIGURATION)</f>
        <v>44991</v>
      </c>
      <c r="P41" t="s">
        <v>51</v>
      </c>
      <c r="Q41">
        <v>44991</v>
      </c>
      <c r="R41">
        <v>44991</v>
      </c>
      <c r="AA41" t="b">
        <f t="shared" si="4"/>
        <v>1</v>
      </c>
      <c r="AB41" t="b">
        <f t="shared" si="5"/>
        <v>1</v>
      </c>
      <c r="AC41" t="b">
        <f t="shared" si="6"/>
        <v>1</v>
      </c>
    </row>
    <row r="42" spans="5:29" x14ac:dyDescent="0.4">
      <c r="E42" t="str">
        <v>fixed_leg.cashflows.[3].end_date</v>
      </c>
      <c r="F42">
        <v>45171</v>
      </c>
      <c r="G42" cm="1">
        <f t="array" ref="G42">_xll.ExLibris.Json.GetJsonValue($F$1,E42, EXLIBRIS_CONFIGURATION)</f>
        <v>45171</v>
      </c>
      <c r="P42" t="s">
        <v>52</v>
      </c>
      <c r="Q42">
        <v>45171</v>
      </c>
      <c r="R42">
        <v>45171</v>
      </c>
      <c r="AA42" t="b">
        <f t="shared" si="4"/>
        <v>1</v>
      </c>
      <c r="AB42" t="b">
        <f t="shared" si="5"/>
        <v>1</v>
      </c>
      <c r="AC42" t="b">
        <f t="shared" si="6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6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_xll.ExLibris.Json.GetJsonValue($F$1,E44, EXLIBRIS_CONFIGURATION)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6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_xll.ExLibris.Json.GetJsonValue($F$1,E45, EXLIBRIS_CONFIGURATION)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6"/>
        <v>1</v>
      </c>
    </row>
    <row r="46" spans="5:29" x14ac:dyDescent="0.4">
      <c r="E46" t="str">
        <v>fixed_leg.cashflows.[4].payment _date</v>
      </c>
      <c r="F46">
        <v>45351</v>
      </c>
      <c r="G46" cm="1">
        <f t="array" ref="G46">_xll.ExLibris.Json.GetJsonValue($F$1,E46, EXLIBRIS_CONFIGURATION)</f>
        <v>45351</v>
      </c>
      <c r="P46" t="s">
        <v>56</v>
      </c>
      <c r="Q46">
        <v>45351</v>
      </c>
      <c r="R46">
        <v>45351</v>
      </c>
      <c r="AA46" t="b">
        <f t="shared" si="4"/>
        <v>1</v>
      </c>
      <c r="AB46" t="b">
        <f t="shared" si="5"/>
        <v>1</v>
      </c>
      <c r="AC46" t="b">
        <f t="shared" si="6"/>
        <v>1</v>
      </c>
    </row>
    <row r="47" spans="5:29" x14ac:dyDescent="0.4">
      <c r="E47" t="str">
        <v>fixed_leg.cashflows.[4].start_date</v>
      </c>
      <c r="F47">
        <v>45171</v>
      </c>
      <c r="G47" cm="1">
        <f t="array" ref="G47">_xll.ExLibris.Json.GetJsonValue($F$1,E47, EXLIBRIS_CONFIGURATION)</f>
        <v>45171</v>
      </c>
      <c r="P47" t="s">
        <v>57</v>
      </c>
      <c r="Q47">
        <v>45171</v>
      </c>
      <c r="R47">
        <v>45171</v>
      </c>
      <c r="AA47" t="b">
        <f t="shared" si="4"/>
        <v>1</v>
      </c>
      <c r="AB47" t="b">
        <f t="shared" si="5"/>
        <v>1</v>
      </c>
      <c r="AC47" t="b">
        <f t="shared" si="6"/>
        <v>1</v>
      </c>
    </row>
    <row r="48" spans="5:29" x14ac:dyDescent="0.4">
      <c r="E48" t="str">
        <v>fixed_leg.cashflows.[4].end_date</v>
      </c>
      <c r="F48">
        <v>45351</v>
      </c>
      <c r="G48" cm="1">
        <f t="array" ref="G48">_xll.ExLibris.Json.GetJsonValue($F$1,E48, EXLIBRIS_CONFIGURATION)</f>
        <v>45351</v>
      </c>
      <c r="P48" t="s">
        <v>58</v>
      </c>
      <c r="Q48">
        <v>45351</v>
      </c>
      <c r="R48">
        <v>45351</v>
      </c>
      <c r="AA48" t="b">
        <f t="shared" si="4"/>
        <v>1</v>
      </c>
      <c r="AB48" t="b">
        <f t="shared" si="5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_xll.ExLibris.Json.GetJsonValue($F$1,E50, EXLIBRIS_CONFIGURATION)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_xll.ExLibris.Json.GetJsonValue($F$1,E51, EXLIBRIS_CONFIGURATION)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>
        <v>45531</v>
      </c>
      <c r="G52" cm="1">
        <f t="array" ref="G52">_xll.ExLibris.Json.GetJsonValue($F$1,E52, EXLIBRIS_CONFIGURATION)</f>
        <v>45531</v>
      </c>
      <c r="P52" t="s">
        <v>62</v>
      </c>
      <c r="Q52">
        <v>45531</v>
      </c>
      <c r="R52">
        <v>45531</v>
      </c>
      <c r="AA52" t="b">
        <f t="shared" si="4"/>
        <v>1</v>
      </c>
      <c r="AB52" t="b">
        <f t="shared" si="5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>
        <v>45351</v>
      </c>
      <c r="G53" cm="1">
        <f t="array" ref="G53">_xll.ExLibris.Json.GetJsonValue($F$1,E53, EXLIBRIS_CONFIGURATION)</f>
        <v>45351</v>
      </c>
      <c r="P53" t="s">
        <v>63</v>
      </c>
      <c r="Q53">
        <v>45351</v>
      </c>
      <c r="R53">
        <v>45351</v>
      </c>
      <c r="AA53" t="b">
        <f t="shared" si="4"/>
        <v>1</v>
      </c>
      <c r="AB53" t="b">
        <f t="shared" si="5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>
        <v>45531</v>
      </c>
      <c r="G54" cm="1">
        <f t="array" ref="G54">_xll.ExLibris.Json.GetJsonValue($F$1,E54, EXLIBRIS_CONFIGURATION)</f>
        <v>45531</v>
      </c>
      <c r="P54" t="s">
        <v>64</v>
      </c>
      <c r="Q54">
        <v>45531</v>
      </c>
      <c r="R54">
        <v>45531</v>
      </c>
      <c r="AA54" t="b">
        <f t="shared" si="4"/>
        <v>1</v>
      </c>
      <c r="AB54" t="b">
        <f t="shared" si="5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_xll.ExLibris.Json.GetJsonValue($F$1,E56, EXLIBRIS_CONFIGURATION)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_xll.ExLibris.Json.GetJsonValue($F$1,E57, EXLIBRIS_CONFIGURATION)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C9"/>
  <sheetViews>
    <sheetView tabSelected="1" workbookViewId="0"/>
  </sheetViews>
  <sheetFormatPr defaultRowHeight="18.75" x14ac:dyDescent="0.4"/>
  <cols>
    <col min="1" max="1" width="3.5" customWidth="1"/>
    <col min="2" max="2" width="33.25" bestFit="1" customWidth="1"/>
  </cols>
  <sheetData>
    <row r="2" spans="2:3" x14ac:dyDescent="0.4">
      <c r="B2" t="s">
        <v>86</v>
      </c>
      <c r="C2" t="str" cm="1">
        <f t="array" ref="C2">_xll.ExLibris.LoadConfiguration(B4:C9)</f>
        <v>ExLibris.Core.ExLibrisConfiguration:3D98B1B2-849B-4EC5-901F-2A8643878C82</v>
      </c>
    </row>
    <row r="4" spans="2:3" x14ac:dyDescent="0.4">
      <c r="B4" t="s">
        <v>77</v>
      </c>
      <c r="C4" t="s">
        <v>78</v>
      </c>
    </row>
    <row r="5" spans="2:3" x14ac:dyDescent="0.4">
      <c r="B5" t="s">
        <v>79</v>
      </c>
      <c r="C5" t="s">
        <v>80</v>
      </c>
    </row>
    <row r="6" spans="2:3" x14ac:dyDescent="0.4">
      <c r="B6" t="s">
        <v>81</v>
      </c>
      <c r="C6" t="s">
        <v>80</v>
      </c>
    </row>
    <row r="7" spans="2:3" x14ac:dyDescent="0.4">
      <c r="B7" t="s">
        <v>82</v>
      </c>
      <c r="C7" t="s">
        <v>80</v>
      </c>
    </row>
    <row r="8" spans="2:3" x14ac:dyDescent="0.4">
      <c r="B8" t="s">
        <v>83</v>
      </c>
      <c r="C8" t="s">
        <v>84</v>
      </c>
    </row>
    <row r="9" spans="2:3" x14ac:dyDescent="0.4">
      <c r="B9" t="s">
        <v>85</v>
      </c>
      <c r="C9" t="s">
        <v>84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json_test</vt:lpstr>
      <vt:lpstr>configuration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2021-09-12T13:48:23Z</dcterms:modified>
</cp:coreProperties>
</file>