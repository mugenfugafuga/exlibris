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BC78540B-8D62-4125-989F-DFA06D02F6F5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5" l="1"/>
  <c r="N48" i="5"/>
  <c r="N34" i="5"/>
  <c r="N23" i="5"/>
  <c r="D35" i="5"/>
  <c r="D24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39" i="5" a="1"/>
  <c r="D28" i="5" a="1"/>
  <c r="D18" i="5" a="1"/>
  <c r="D10" i="5" a="1"/>
  <c r="N33" i="5" a="1"/>
  <c r="C2" i="2" a="1"/>
  <c r="C23" i="5" a="1"/>
  <c r="N47" i="5" a="1"/>
  <c r="E17" i="3" a="1"/>
  <c r="H6" i="2" a="1"/>
  <c r="C48" i="5" a="1"/>
  <c r="C34" i="5" a="1"/>
  <c r="C13" i="5" a="1"/>
  <c r="C5" i="5" a="1"/>
  <c r="E4" i="3" a="1"/>
  <c r="D39" i="5" l="1"/>
  <c r="D28" i="5"/>
  <c r="D18" i="5"/>
  <c r="D10" i="5"/>
  <c r="C48" i="5"/>
  <c r="N47" i="5"/>
  <c r="N33" i="5"/>
  <c r="C34" i="5"/>
  <c r="C23" i="5"/>
  <c r="C13" i="5"/>
  <c r="C5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E7" i="3" a="1"/>
  <c r="D15" i="5" a="1"/>
  <c r="D25" i="5" a="1"/>
  <c r="D7" i="5" a="1"/>
  <c r="E20" i="3" a="1"/>
  <c r="E19" i="3" a="1"/>
  <c r="E6" i="2" a="1"/>
  <c r="D50" i="5" a="1"/>
  <c r="D36" i="5" a="1"/>
  <c r="E6" i="3" a="1"/>
  <c r="D50" i="5" l="1"/>
  <c r="D15" i="5"/>
  <c r="D25" i="5"/>
  <c r="D36" i="5"/>
  <c r="D7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52" i="5" a="1"/>
  <c r="D17" i="5" a="1"/>
  <c r="D27" i="5" a="1"/>
  <c r="D16" i="5" a="1"/>
  <c r="D9" i="5" a="1"/>
  <c r="D38" i="5" a="1"/>
  <c r="D37" i="5" a="1"/>
  <c r="E22" i="3" a="1"/>
  <c r="D51" i="5" a="1"/>
  <c r="E9" i="3" a="1"/>
  <c r="D26" i="5" a="1"/>
  <c r="D8" i="5" a="1"/>
  <c r="D9" i="5" l="1"/>
  <c r="D52" i="5"/>
  <c r="D38" i="5"/>
  <c r="D27" i="5"/>
  <c r="D17" i="5"/>
  <c r="D51" i="5"/>
  <c r="D37" i="5"/>
  <c r="D26" i="5"/>
  <c r="D16" i="5"/>
  <c r="D8" i="5"/>
  <c r="E22" i="3"/>
  <c r="E11" i="4"/>
  <c r="F12" i="4"/>
  <c r="G12" i="4" s="1"/>
  <c r="E9" i="3"/>
  <c r="E13" i="1"/>
  <c r="F6" i="1" a="1"/>
  <c r="E10" i="3" a="1"/>
  <c r="E23" i="3" a="1"/>
  <c r="F6" i="1" l="1"/>
  <c r="E23" i="3"/>
  <c r="F13" i="4"/>
  <c r="G13" i="4" s="1"/>
  <c r="E12" i="4"/>
  <c r="E10" i="3"/>
  <c r="E11" i="3" a="1"/>
  <c r="F1" i="1" a="1"/>
  <c r="E24" i="3" a="1"/>
  <c r="F1" i="1" l="1"/>
  <c r="E24" i="3"/>
  <c r="E13" i="4"/>
  <c r="F14" i="4"/>
  <c r="G14" i="4" s="1"/>
  <c r="E14" i="4" s="1"/>
  <c r="E11" i="3"/>
  <c r="F6" i="4" a="1"/>
  <c r="I19" i="1" a="1"/>
  <c r="E19" i="1" a="1"/>
  <c r="G53" i="1" a="1"/>
  <c r="G31" i="1" a="1"/>
  <c r="G32" i="1" a="1"/>
  <c r="G40" i="1" a="1"/>
  <c r="G35" i="1" a="1"/>
  <c r="G24" i="1" a="1"/>
  <c r="G20" i="1" a="1"/>
  <c r="G39" i="1" a="1"/>
  <c r="G23" i="1" a="1"/>
  <c r="G30" i="1" a="1"/>
  <c r="G52" i="1" a="1"/>
  <c r="P19" i="1" a="1"/>
  <c r="G56" i="1" a="1"/>
  <c r="G54" i="1" a="1"/>
  <c r="G43" i="1" a="1"/>
  <c r="G28" i="1" a="1"/>
  <c r="G55" i="1" a="1"/>
  <c r="G29" i="1" a="1"/>
  <c r="E25" i="3" a="1"/>
  <c r="G22" i="1" a="1"/>
  <c r="G37" i="1" a="1"/>
  <c r="G27" i="1" a="1"/>
  <c r="G26" i="1" a="1"/>
  <c r="G45" i="1" a="1"/>
  <c r="G41" i="1" a="1"/>
  <c r="G48" i="1" a="1"/>
  <c r="G33" i="1" a="1"/>
  <c r="E12" i="3" a="1"/>
  <c r="G47" i="1" a="1"/>
  <c r="G57" i="1" a="1"/>
  <c r="G25" i="1" a="1"/>
  <c r="G38" i="1" a="1"/>
  <c r="G51" i="1" a="1"/>
  <c r="M6" i="1" a="1"/>
  <c r="G44" i="1" a="1"/>
  <c r="G46" i="1" a="1"/>
  <c r="G36" i="1" a="1"/>
  <c r="G42" i="1" a="1"/>
  <c r="G21" i="1" a="1"/>
  <c r="G50" i="1" a="1"/>
  <c r="G34" i="1" a="1"/>
  <c r="G49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G19" i="1" a="1"/>
  <c r="I28" i="1" a="1"/>
  <c r="E26" i="3" a="1"/>
  <c r="I20" i="1" a="1"/>
  <c r="E13" i="3" a="1"/>
  <c r="P29" i="1" a="1"/>
  <c r="F1" i="4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32" i="4" a="1"/>
  <c r="M6" i="4" a="1"/>
  <c r="P30" i="1" a="1"/>
  <c r="I19" i="4" a="1"/>
  <c r="E27" i="3" a="1"/>
  <c r="E19" i="4" a="1"/>
  <c r="G52" i="4" a="1"/>
  <c r="G43" i="4" a="1"/>
  <c r="G28" i="4" a="1"/>
  <c r="G54" i="4" a="1"/>
  <c r="I29" i="1" a="1"/>
  <c r="G30" i="4" a="1"/>
  <c r="G44" i="4" a="1"/>
  <c r="G46" i="4" a="1"/>
  <c r="G53" i="4" a="1"/>
  <c r="G48" i="4" a="1"/>
  <c r="E14" i="3" a="1"/>
  <c r="G41" i="4" a="1"/>
  <c r="G23" i="4" a="1"/>
  <c r="G20" i="4" a="1"/>
  <c r="G35" i="4" a="1"/>
  <c r="G49" i="4" a="1"/>
  <c r="G31" i="4" a="1"/>
  <c r="G55" i="4" a="1"/>
  <c r="G29" i="4" a="1"/>
  <c r="G50" i="4" a="1"/>
  <c r="G36" i="4" a="1"/>
  <c r="G42" i="4" a="1"/>
  <c r="G25" i="4" a="1"/>
  <c r="G32" i="4" a="1"/>
  <c r="G57" i="4" a="1"/>
  <c r="G45" i="4" a="1"/>
  <c r="G39" i="4" a="1"/>
  <c r="G27" i="4" a="1"/>
  <c r="G33" i="4" a="1"/>
  <c r="G51" i="4" a="1"/>
  <c r="G38" i="4" a="1"/>
  <c r="G34" i="4" a="1"/>
  <c r="G24" i="4" a="1"/>
  <c r="G40" i="4" a="1"/>
  <c r="G22" i="4" a="1"/>
  <c r="G37" i="4" a="1"/>
  <c r="G26" i="4" a="1"/>
  <c r="G56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I28" i="4" a="1"/>
  <c r="G19" i="4" a="1"/>
  <c r="I33" i="4" a="1"/>
  <c r="G21" i="4" a="1"/>
  <c r="E28" i="3" a="1"/>
  <c r="G47" i="4" a="1"/>
  <c r="I42" i="4" a="1"/>
  <c r="E15" i="3" a="1"/>
  <c r="I20" i="4" a="1"/>
  <c r="I38" i="4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34" i="4" a="1"/>
  <c r="I43" i="4" a="1"/>
  <c r="I29" i="4" a="1"/>
  <c r="I39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<sst xmlns="http://schemas.openxmlformats.org/spreadsheetml/2006/main" count="460" uniqueCount="139">
  <si>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</si>
  <si>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</si>
  <si>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</si>
  <si>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</si>
  <si>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</si>
  <si>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</si>
  <si>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</si>
  <si>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</si>
  <si>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</si>
  <si>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</si>
  <si>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</si>
  <si>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</si>
  <si>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</si>
  <si>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</si>
  <si>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</si>
  <si>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</si>
  <si>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</si>
  <si>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</si>
  <si>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</si>
  <si>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</si>
  <si>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</si>
  <si>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</si>
  <si>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</si>
  <si>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</si>
  <si>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</si>
  <si>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</si>
  <si>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</si>
  <si>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</si>
  <si>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</si>
  <si>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</si>
  <si>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</si>
  <si>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</si>
  <si>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</si>
  <si>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</si>
  <si>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</si>
  <si>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</si>
  <si>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</si>
  <si>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</si>
  <si>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</si>
  <si>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</si>
  <si>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</si>
  <si>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</si>
  <si>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</si>
  <si>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</si>
  <si>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</si>
  <si>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</si>
  <si>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</si>
  <si>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</si>
  <si>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</si>
  <si>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</si>
  <si>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</si>
  <si>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</si>
  <si>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</si>
  <si>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</si>
  <si>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</si>
  <si>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</si>
  <si>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</si>
  <si>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</si>
  <si>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</si>
  <si>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</si>
  <si>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</si>
  <si>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</si>
  <si>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</si>
  <si>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</si>
  <si>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</si>
  <si>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</si>
  <si>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</si>
  <si>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</si>
  <si>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</si>
  <si>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</si>
  <si>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</si>
  <si>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</si>
  <si>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</si>
  <si>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</si>
  <si>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</si>
  <si>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</si>
  <si>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</si>
  <si>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</si>
  <si>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</si>
  <si>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</si>
  <si>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</si>
  <si>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</si>
  <si>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</si>
  <si>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</si>
  <si>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</si>
  <si>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</si>
  <si>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</si>
  <si>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</si>
  <si>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</si>
  <si>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</si>
  <si>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</si>
  <si>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</si>
  <si>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</si>
  <si>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</si>
  <si>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</si>
  <si>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</si>
  <si>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</si>
  <si>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</si>
  <si>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</si>
  <si>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</si>
  <si>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</si>
  <si>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</si>
  <si>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</si>
  <si>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</si>
  <si>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</si>
  <si>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</si>
  <si>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</si>
  <si>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</si>
  <si>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</si>
  <si>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</si>
  <si>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</si>
  <si>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</si>
  <si>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</si>
  <si>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</si>
  <si>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</si>
  <si>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</si>
  <si>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</si>
  <si>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</si>
  <si>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</si>
  <si>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</si>
  <si>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</si>
  <si>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get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</si>
  <si>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</si>
  <si>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</si>
  <si>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</si>
  <si>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</si>
  <si>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</si>
  <si>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</si>
  <si>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WebAPI1</t>
    <phoneticPr fontId="1"/>
  </si>
  <si>
    <t>WebAPI0</t>
    <phoneticPr fontId="1"/>
  </si>
  <si>
    <t>WebAPI2</t>
    <phoneticPr fontId="1"/>
  </si>
  <si>
    <t>key0</t>
    <phoneticPr fontId="1"/>
  </si>
  <si>
    <t>key1.int</t>
    <phoneticPr fontId="1"/>
  </si>
  <si>
    <t>key1.string</t>
    <phoneticPr fontId="1"/>
  </si>
  <si>
    <t>value1</t>
    <phoneticPr fontId="1"/>
  </si>
  <si>
    <t>parameters</t>
    <phoneticPr fontId="1"/>
  </si>
  <si>
    <t>WebAPI3</t>
    <phoneticPr fontId="1"/>
  </si>
  <si>
    <t>WebAPI4</t>
    <phoneticPr fontId="1"/>
  </si>
  <si>
    <t>header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</si>
</sst>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1787fac4db647738cc71ff32b237324">
      <tp>
        <v>1</v>
        <stp/>
        <stp>caa7bd7e-f827-44b0-a781-5b3c066c55ff</stp>
        <tr r="G29" s="4"/>
      </tp>
    </main>
    <main first="rtdsrv.d1787fac4db647738cc71ff32b237324">
      <tp>
        <v>1</v>
        <stp/>
        <stp>bacdec7f-c0e6-420a-884a-e9e1ac473ecd</stp>
        <tr r="I28" s="4"/>
      </tp>
      <tp>
        <v>2</v>
        <stp/>
        <stp>b8b471e6-5f6b-4e06-90a8-f773bcab5453</stp>
        <tr r="E6" s="3"/>
      </tp>
      <tp>
        <v>1</v>
        <stp/>
        <stp>4e2c944d-3621-488b-a882-cb108cc0a239</stp>
        <tr r="G32" s="4"/>
      </tp>
      <tp>
        <v>1</v>
        <stp/>
        <stp>0178fa67-8dbf-4a7b-8a1e-891d583f51cf</stp>
        <tr r="G34" s="4"/>
      </tp>
      <tp>
        <v>1</v>
        <stp/>
        <stp>2f6c2586-7143-424c-af0a-fad44924bdd9</stp>
        <tr r="G41" s="4"/>
      </tp>
    </main>
    <main first="rtdsrv.d1787fac4db647738cc71ff32b237324">
      <tp>
        <v>1</v>
        <stp/>
        <stp>a09a100c-b691-4212-b36c-f88c43e60e55</stp>
        <tr r="G53" s="4"/>
      </tp>
    </main>
    <main first="rtdsrv.d1787fac4db647738cc71ff32b237324">
      <tp>
        <v>1</v>
        <stp/>
        <stp>39315191-2204-4ab1-97d5-95e93b830096</stp>
        <tr r="G38" s="1"/>
      </tp>
      <tp>
        <v>1</v>
        <stp/>
        <stp>49ae780b-df4a-46f9-bffa-a03aaaf10b1d</stp>
        <tr r="G35" s="1"/>
      </tp>
    </main>
    <main first="rtdsrv.d1787fac4db647738cc71ff32b237324">
      <tp>
        <v>1</v>
        <stp/>
        <stp>bc984b94-eee1-4519-a96e-25eff55a2bcf</stp>
        <tr r="G37" s="4"/>
      </tp>
    </main>
    <main first="rtdsrv.d1787fac4db647738cc71ff32b237324">
      <tp>
        <v>1</v>
        <stp/>
        <stp>f0c4cc0b-0c22-420a-af1b-480dd2c7f09b</stp>
        <tr r="G46" s="4"/>
      </tp>
    </main>
    <main first="rtdsrv.d1787fac4db647738cc71ff32b237324">
      <tp>
        <v>1</v>
        <stp/>
        <stp>2f438f7d-8958-4729-8797-243153f6a692</stp>
        <tr r="G51" s="4"/>
      </tp>
      <tp>
        <v>1</v>
        <stp/>
        <stp>074b24bf-4522-4af6-8fdf-8764cc0e68fb</stp>
        <tr r="G44" s="1"/>
      </tp>
      <tp>
        <v>1</v>
        <stp/>
        <stp>248bb63e-82d2-4f23-9de6-916d3d6280f3</stp>
        <tr r="G19" s="1"/>
      </tp>
      <tp>
        <v>1</v>
        <stp/>
        <stp>b7450be8-e5c3-4a5a-81cb-1d880960bff9</stp>
        <tr r="D15" s="5"/>
      </tp>
      <tp>
        <v>1</v>
        <stp/>
        <stp>88cc5982-f9e0-4a89-844f-8d7eec22ec29</stp>
        <tr r="G21" s="1"/>
      </tp>
      <tp>
        <v>1</v>
        <stp/>
        <stp>a194e105-62ee-4109-9d63-fc1751cd9eee</stp>
        <tr r="G49" s="1"/>
      </tp>
    </main>
    <main first="rtdsrv.d1787fac4db647738cc71ff32b237324">
      <tp>
        <v>1</v>
        <stp/>
        <stp>24d669c0-9031-4849-8a0a-2f9eba732439</stp>
        <tr r="G48" s="1"/>
      </tp>
    </main>
    <main first="rtdsrv.d1787fac4db647738cc71ff32b237324">
      <tp>
        <v>1</v>
        <stp/>
        <stp>afc1f8fe-31ef-47ea-93ce-a6b717c87af7</stp>
        <tr r="I19" s="4"/>
        <tr r="I32" s="4"/>
      </tp>
      <tp>
        <v>2</v>
        <stp/>
        <stp>598e351b-0511-4553-b2d3-13f2f41cfcfc</stp>
        <tr r="H6" s="2"/>
      </tp>
    </main>
    <main first="rtdsrv.d1787fac4db647738cc71ff32b237324">
      <tp>
        <v>1</v>
        <stp/>
        <stp>0c97422d-6cfd-41c1-bd55-68fb862f3bf3</stp>
        <tr r="P19" s="1"/>
      </tp>
    </main>
    <main first="rtdsrv.d1787fac4db647738cc71ff32b237324">
      <tp>
        <v>1</v>
        <stp/>
        <stp>4ef1d119-33d1-4f0b-bbdd-4980f2044f06</stp>
        <tr r="G42" s="1"/>
      </tp>
    </main>
    <main first="rtdsrv.d1787fac4db647738cc71ff32b237324">
      <tp>
        <v>1</v>
        <stp/>
        <stp>3011bca9-87db-4964-b79c-6c34d98550c4</stp>
        <tr r="G29" s="1"/>
      </tp>
      <tp>
        <v>1</v>
        <stp/>
        <stp>7ca5075b-7583-4be1-8207-cfd9c8bda1a0</stp>
        <tr r="G33" s="4"/>
      </tp>
      <tp>
        <v>1</v>
        <stp/>
        <stp>ede3a8a3-2cb5-407e-b7d4-b95b18dfdc31</stp>
        <tr r="G42" s="4"/>
      </tp>
    </main>
    <main first="rtdsrv.d1787fac4db647738cc71ff32b237324">
      <tp>
        <v>1</v>
        <stp/>
        <stp>6d90f83c-0186-47ea-bc60-4dd6670a2eff</stp>
        <tr r="C48" s="5"/>
      </tp>
      <tp>
        <v>1</v>
        <stp/>
        <stp>a299abb1-9eb6-4331-b3ca-dd363be48071</stp>
        <tr r="G55" s="1"/>
      </tp>
    </main>
    <main first="rtdsrv.d1787fac4db647738cc71ff32b237324">
      <tp>
        <v>1</v>
        <stp/>
        <stp>bb8858a9-dce4-4547-90de-f48c72f45fb1</stp>
        <tr r="G53" s="1"/>
      </tp>
    </main>
    <main first="rtdsrv.d1787fac4db647738cc71ff32b237324">
      <tp>
        <v>1</v>
        <stp/>
        <stp>18ffae04-c5f1-43b0-8cf7-8f8761c262d7</stp>
        <tr r="P29" s="1"/>
      </tp>
      <tp>
        <v>1</v>
        <stp/>
        <stp>97cf1f5a-9e31-4726-a191-d8b168a7ae02</stp>
        <tr r="E20" s="3"/>
      </tp>
    </main>
    <main first="rtdsrv.d1787fac4db647738cc71ff32b237324">
      <tp>
        <v>1</v>
        <stp/>
        <stp>1b55c51c-1d63-44b2-91f5-8ccd226f5af2</stp>
        <tr r="G40" s="1"/>
      </tp>
    </main>
    <main first="rtdsrv.d1787fac4db647738cc71ff32b237324">
      <tp>
        <v>1</v>
        <stp/>
        <stp>aca3f687-a8bf-4ba2-9160-62944838086a</stp>
        <tr r="G39" s="4"/>
      </tp>
      <tp>
        <v>1</v>
        <stp/>
        <stp>59364c00-63d4-4c89-beaf-4df71cf180f5</stp>
        <tr r="G26" s="4"/>
      </tp>
    </main>
    <main first="rtdsrv.d1787fac4db647738cc71ff32b237324">
      <tp>
        <v>1</v>
        <stp/>
        <stp>f0ae5515-cea0-4915-9609-7d25210a450d</stp>
        <tr r="G37" s="1"/>
      </tp>
      <tp>
        <v>1</v>
        <stp/>
        <stp>4a3d8d02-28db-412f-a106-2c54cea44de2</stp>
        <tr r="G49" s="4"/>
      </tp>
    </main>
    <main first="rtdsrv.d1787fac4db647738cc71ff32b237324">
      <tp>
        <v>1</v>
        <stp/>
        <stp>6ec9afa5-d160-40b0-88b2-0f9d16861fc5</stp>
        <tr r="G23" s="4"/>
      </tp>
    </main>
    <main first="rtdsrv.d1787fac4db647738cc71ff32b237324">
      <tp>
        <v>1</v>
        <stp/>
        <stp>f193db98-ef88-495e-bb62-735c507e2e34</stp>
        <tr r="G52" s="4"/>
      </tp>
      <tp>
        <v>1</v>
        <stp/>
        <stp>8fa4f63c-ba99-4232-a48e-cca0ab55397f</stp>
        <tr r="G25" s="4"/>
      </tp>
    </main>
    <main first="rtdsrv.d1787fac4db647738cc71ff32b237324">
      <tp>
        <v>1</v>
        <stp/>
        <stp>81102e16-3a3b-4e8a-b4c7-c09cdc44e6ce</stp>
        <tr r="G56" s="1"/>
      </tp>
    </main>
    <main first="rtdsrv.d1787fac4db647738cc71ff32b237324">
      <tp>
        <v>1</v>
        <stp/>
        <stp>e1904003-b047-4eac-8bff-66f7faa401a6</stp>
        <tr r="G41" s="1"/>
      </tp>
      <tp>
        <v>1</v>
        <stp/>
        <stp>fa213f58-161b-48fe-8fc9-d4c274ae3073</stp>
        <tr r="C5" s="5"/>
      </tp>
      <tp>
        <v>1</v>
        <stp/>
        <stp>2d8da6e6-9894-4d88-8f40-41495eb6b3aa</stp>
        <tr r="G57" s="1"/>
      </tp>
    </main>
    <main first="rtdsrv.d1787fac4db647738cc71ff32b237324">
      <tp>
        <v>1</v>
        <stp/>
        <stp>fc72a9bc-0a8f-4112-ae75-59a68cc135ba</stp>
        <tr r="G39" s="1"/>
      </tp>
    </main>
    <main first="rtdsrv.d1787fac4db647738cc71ff32b237324">
      <tp>
        <v>1</v>
        <stp/>
        <stp>c0dc28dd-bb47-4642-82ae-ddcbc81b5e87</stp>
        <tr r="G36" s="4"/>
      </tp>
      <tp>
        <v>1</v>
        <stp/>
        <stp>d9cbe40e-0c58-4bb2-b873-60cbd1abd829</stp>
        <tr r="C23" s="5"/>
      </tp>
      <tp>
        <v>1</v>
        <stp/>
        <stp>b3e287d8-7454-4b2c-bc3a-3c0eec3e6bfc</stp>
        <tr r="E7" s="3"/>
      </tp>
      <tp>
        <v>1</v>
        <stp/>
        <stp>4e20341a-1c7e-403b-994d-96a7d12230a1</stp>
        <tr r="G50" s="1"/>
      </tp>
    </main>
    <main first="rtdsrv.d1787fac4db647738cc71ff32b237324">
      <tp>
        <v>1</v>
        <stp/>
        <stp>932fd7c3-4b0a-4153-9261-82e0d80699d0</stp>
        <tr r="G45" s="1"/>
      </tp>
      <tp>
        <v>1</v>
        <stp/>
        <stp>ecd1a62e-93e3-4350-bcc6-04a6b4734963</stp>
        <tr r="G20" s="1"/>
      </tp>
      <tp>
        <v>1</v>
        <stp/>
        <stp>34896d5a-4988-4d2b-a8ac-d2c8cf0d3531</stp>
        <tr r="G31" s="4"/>
      </tp>
      <tp>
        <v>1</v>
        <stp/>
        <stp>5a0dcc88-65ff-4bee-963c-079d1b4fa1fb</stp>
        <tr r="G24" s="4"/>
      </tp>
      <tp>
        <v>1</v>
        <stp/>
        <stp>4171b93b-b652-482e-b41a-c60b681a3646</stp>
        <tr r="G22" s="1"/>
      </tp>
    </main>
    <main first="rtdsrv.d1787fac4db647738cc71ff32b237324">
      <tp>
        <v>1</v>
        <stp/>
        <stp>bc8948d6-8083-4210-b085-59453d4a402b</stp>
        <tr r="G22" s="4"/>
      </tp>
    </main>
    <main first="rtdsrv.d1787fac4db647738cc71ff32b237324">
      <tp>
        <v>1</v>
        <stp/>
        <stp>fe5a5bb5-4781-4fae-8f0e-9d21ba75dd33</stp>
        <tr r="D36" s="5"/>
      </tp>
    </main>
    <main first="rtdsrv.d1787fac4db647738cc71ff32b237324">
      <tp>
        <v>1</v>
        <stp/>
        <stp>ceab6afd-eb63-4ec5-b168-3bd684cd13be</stp>
        <tr r="G21" s="4"/>
      </tp>
    </main>
    <main first="rtdsrv.d1787fac4db647738cc71ff32b237324">
      <tp>
        <v>1</v>
        <stp/>
        <stp>37d19242-febf-48c6-b819-24fc2bdc3523</stp>
        <tr r="G19" s="4"/>
      </tp>
      <tp>
        <v>1</v>
        <stp/>
        <stp>fbc9db33-f764-4c2d-a12f-de883bacd0dd</stp>
        <tr r="G27" s="4"/>
      </tp>
      <tp>
        <v>1</v>
        <stp/>
        <stp>bdebd685-5eea-43b0-8b15-610c5434dde4</stp>
        <tr r="F1" s="1"/>
      </tp>
      <tp>
        <v>1</v>
        <stp/>
        <stp>36971736-cf58-448e-9ba4-5aa2965c06e7</stp>
        <tr r="G57" s="4"/>
      </tp>
    </main>
    <main first="rtdsrv.d1787fac4db647738cc71ff32b237324">
      <tp>
        <v>1</v>
        <stp/>
        <stp>7e707116-7f40-48a1-ad0b-bea805dd9636</stp>
        <tr r="G44" s="4"/>
      </tp>
    </main>
    <main first="rtdsrv.d1787fac4db647738cc71ff32b237324">
      <tp>
        <v>1</v>
        <stp/>
        <stp>105f7372-f40e-4116-a971-2ae30d3dce0b</stp>
        <tr r="G27" s="1"/>
      </tp>
      <tp>
        <v>1</v>
        <stp/>
        <stp>9d6da1f8-5e8e-4b7c-83c7-4b704dbb0b8f</stp>
        <tr r="G30" s="4"/>
      </tp>
      <tp>
        <v>1</v>
        <stp/>
        <stp>85ba3259-11b9-4f1e-be47-3bd7d867f80f</stp>
        <tr r="G20" s="4"/>
      </tp>
    </main>
    <main first="rtdsrv.d1787fac4db647738cc71ff32b237324">
      <tp>
        <v>1</v>
        <stp/>
        <stp>52aa4d2f-a92b-4441-a763-068a64d527fb</stp>
        <tr r="F6" s="1"/>
      </tp>
    </main>
    <main first="rtdsrv.d1787fac4db647738cc71ff32b237324">
      <tp>
        <v>1</v>
        <stp/>
        <stp>bbfd060e-a779-4150-ad5d-aaaeaded90f3</stp>
        <tr r="G23" s="1"/>
      </tp>
    </main>
    <main first="rtdsrv.d1787fac4db647738cc71ff32b237324">
      <tp>
        <v>1</v>
        <stp/>
        <stp>a4f31b3f-b425-41f8-bbc0-0f3e691ab589</stp>
        <tr r="G28" s="4"/>
      </tp>
    </main>
    <main first="rtdsrv.d1787fac4db647738cc71ff32b237324">
      <tp>
        <v>1</v>
        <stp/>
        <stp>bdb5bbc5-4ff6-4065-be9d-341f21ec9ac6</stp>
        <tr r="G47" s="4"/>
      </tp>
      <tp>
        <v>1</v>
        <stp/>
        <stp>3cb26f99-e2cd-4188-aed4-33001ff02373</stp>
        <tr r="D7" s="5"/>
      </tp>
    </main>
    <main first="rtdsrv.d1787fac4db647738cc71ff32b237324">
      <tp>
        <v>1</v>
        <stp/>
        <stp>0268655a-1b26-495a-8607-589e7404c06d</stp>
        <tr r="C2" s="2"/>
      </tp>
    </main>
    <main first="rtdsrv.d1787fac4db647738cc71ff32b237324">
      <tp>
        <v>1</v>
        <stp/>
        <stp>6c9a97ee-7646-4edb-b18d-fb65f6cdc5ff</stp>
        <tr r="N47" s="5"/>
      </tp>
    </main>
    <main first="rtdsrv.d1787fac4db647738cc71ff32b237324">
      <tp>
        <v>1</v>
        <stp/>
        <stp>37ffc880-f745-4166-bf76-5023c97ff917</stp>
        <tr r="G36" s="1"/>
      </tp>
      <tp>
        <v>1</v>
        <stp/>
        <stp>cab723cc-ffcd-4895-8fa0-818a28a281a9</stp>
        <tr r="I42" s="4"/>
      </tp>
    </main>
    <main first="rtdsrv.d1787fac4db647738cc71ff32b237324">
      <tp>
        <v>1</v>
        <stp/>
        <stp>c8b1fead-72de-4389-9c00-b21a09bc96a6</stp>
        <tr r="G54" s="4"/>
      </tp>
      <tp>
        <v>1</v>
        <stp/>
        <stp>417c8a1a-acc6-49ad-b11e-f80e4d90cf89</stp>
        <tr r="G48" s="4"/>
      </tp>
    </main>
    <main first="rtdsrv.d1787fac4db647738cc71ff32b237324">
      <tp>
        <v>1</v>
        <stp/>
        <stp>405f1312-aa43-41d1-beda-dba8138c58ae</stp>
        <tr r="G54" s="1"/>
      </tp>
    </main>
    <main first="rtdsrv.d1787fac4db647738cc71ff32b237324">
      <tp>
        <v>1</v>
        <stp/>
        <stp>c03b1621-588e-4f3f-8db4-c22a6ce3387e</stp>
        <tr r="G55" s="4"/>
      </tp>
    </main>
    <main first="rtdsrv.d1787fac4db647738cc71ff32b237324">
      <tp>
        <v>1</v>
        <stp/>
        <stp>c5ceb666-ef12-4dbc-9606-dd1fc91cc792</stp>
        <tr r="G38" s="4"/>
      </tp>
    </main>
    <main first="rtdsrv.d1787fac4db647738cc71ff32b237324">
      <tp>
        <v>1</v>
        <stp/>
        <stp>8e8fb2dc-6821-4c6c-998f-1ebebae84b21</stp>
        <tr r="G45" s="4"/>
      </tp>
    </main>
    <main first="rtdsrv.d1787fac4db647738cc71ff32b237324">
      <tp>
        <v>1</v>
        <stp/>
        <stp>3925f836-cadf-4ff8-bd54-84ae5d035c86</stp>
        <tr r="G35" s="4"/>
      </tp>
    </main>
    <main first="rtdsrv.d1787fac4db647738cc71ff32b237324">
      <tp>
        <v>1</v>
        <stp/>
        <stp>c7eef671-ab7d-4c5f-abea-7cbe893a7d24</stp>
        <tr r="G52" s="1"/>
      </tp>
      <tp>
        <v>1</v>
        <stp/>
        <stp>20e4e851-e435-46e3-babc-55d3bb1c76a2</stp>
        <tr r="C34" s="5"/>
      </tp>
    </main>
    <main first="rtdsrv.d1787fac4db647738cc71ff32b237324">
      <tp>
        <v>1</v>
        <stp/>
        <stp>72544104-8729-4c43-afc8-8d6f2ae313c1</stp>
        <tr r="I19" s="1"/>
      </tp>
      <tp>
        <v>1</v>
        <stp/>
        <stp>c9303e59-adc8-4ce4-9a69-f280345a3d2c</stp>
        <tr r="F1" s="4"/>
      </tp>
    </main>
    <main first="rtdsrv.d1787fac4db647738cc71ff32b237324">
      <tp>
        <v>1</v>
        <stp/>
        <stp>fcc016aa-c2cc-4936-9151-cf599159d085</stp>
        <tr r="G24" s="1"/>
      </tp>
    </main>
    <main first="rtdsrv.d1787fac4db647738cc71ff32b237324">
      <tp>
        <v>1</v>
        <stp/>
        <stp>a77f35d2-b944-4c9a-9263-0a2fd1c0a5c1</stp>
        <tr r="G30" s="1"/>
      </tp>
      <tp>
        <v>1</v>
        <stp/>
        <stp>8e66f66c-153b-4c57-84c9-5538976c9fab</stp>
        <tr r="G32" s="1"/>
      </tp>
    </main>
    <main first="rtdsrv.d1787fac4db647738cc71ff32b237324">
      <tp>
        <v>1</v>
        <stp/>
        <stp>19f1ee8e-7484-4c66-adee-ef3954852929</stp>
        <tr r="E17" s="3"/>
      </tp>
    </main>
    <main first="rtdsrv.d1787fac4db647738cc71ff32b237324">
      <tp>
        <v>1</v>
        <stp/>
        <stp>8f4f3d0a-4d63-4d9d-a42a-b5712c582e99</stp>
        <tr r="G34" s="1"/>
      </tp>
    </main>
    <main first="rtdsrv.d1787fac4db647738cc71ff32b237324">
      <tp>
        <v>1</v>
        <stp/>
        <stp>71a7a642-ae38-45e3-b328-4d2b04475d64</stp>
        <tr r="D25" s="5"/>
      </tp>
    </main>
    <main first="rtdsrv.d1787fac4db647738cc71ff32b237324">
      <tp>
        <v>1</v>
        <stp/>
        <stp>b66efb31-3ca7-4fcf-8e44-6558b1a9da41</stp>
        <tr r="G31" s="1"/>
      </tp>
    </main>
    <main first="rtdsrv.d1787fac4db647738cc71ff32b237324">
      <tp>
        <v>1</v>
        <stp/>
        <stp>3a4de821-b3d3-427e-9add-5b9fb97171aa</stp>
        <tr r="G46" s="1"/>
      </tp>
    </main>
    <main first="rtdsrv.d1787fac4db647738cc71ff32b237324">
      <tp>
        <v>1</v>
        <stp/>
        <stp>f28b4a67-da7b-42c7-aa97-7df9758298e0</stp>
        <tr r="I28" s="1"/>
      </tp>
    </main>
    <main first="rtdsrv.d1787fac4db647738cc71ff32b237324">
      <tp>
        <v>1</v>
        <stp/>
        <stp>602d787a-b016-49de-aaa6-5c5a3d79182f</stp>
        <tr r="G26" s="1"/>
      </tp>
      <tp>
        <v>1</v>
        <stp/>
        <stp>30a31a4e-6790-4656-a95e-4f8dbb811171</stp>
        <tr r="G33" s="1"/>
      </tp>
      <tp>
        <v>3</v>
        <stp/>
        <stp>7cc161e9-59ac-4aec-9cc0-d2831451c029</stp>
        <tr r="E19" s="3"/>
      </tp>
    </main>
    <main first="rtdsrv.d1787fac4db647738cc71ff32b237324">
      <tp>
        <v>1</v>
        <stp/>
        <stp>70d129b8-4b00-4370-83c4-3b7168b3ce04</stp>
        <tr r="N33" s="5"/>
      </tp>
    </main>
    <main first="rtdsrv.d1787fac4db647738cc71ff32b237324">
      <tp>
        <v>1</v>
        <stp/>
        <stp>9d2c464a-e2a8-4982-905d-bc58755f6722</stp>
        <tr r="G50" s="4"/>
      </tp>
    </main>
    <main first="rtdsrv.d1787fac4db647738cc71ff32b237324">
      <tp>
        <v>1</v>
        <stp/>
        <stp>a34c74a5-6e01-4553-be1c-97f3bd2591ab</stp>
        <tr r="G43" s="1"/>
      </tp>
    </main>
    <main first="rtdsrv.d1787fac4db647738cc71ff32b237324">
      <tp>
        <v>1</v>
        <stp/>
        <stp>1af37226-3c80-4cb3-9815-855187700657</stp>
        <tr r="G51" s="1"/>
      </tp>
    </main>
    <main first="rtdsrv.d1787fac4db647738cc71ff32b237324">
      <tp>
        <v>1</v>
        <stp/>
        <stp>25beeffa-2e2c-49a3-ac7a-c7f0050be0dd</stp>
        <tr r="G25" s="1"/>
      </tp>
      <tp>
        <v>1</v>
        <stp/>
        <stp>8589e631-5f79-45a9-a521-e92dad0bb788</stp>
        <tr r="G47" s="1"/>
      </tp>
      <tp>
        <v>1</v>
        <stp/>
        <stp>f9dd498b-d00c-457f-a008-1256a4749c14</stp>
        <tr r="C13" s="5"/>
      </tp>
    </main>
    <main first="rtdsrv.d1787fac4db647738cc71ff32b237324">
      <tp>
        <v>1</v>
        <stp/>
        <stp>ee58db56-6b7b-40e2-9909-eaddc12c44ba</stp>
        <tr r="F6" s="4"/>
      </tp>
      <tp>
        <v>1</v>
        <stp/>
        <stp>ed97f581-3276-414a-8587-012009c04d80</stp>
        <tr r="G40" s="4"/>
      </tp>
      <tp>
        <v>1</v>
        <stp/>
        <stp>aa9527dd-9290-408b-8ea9-d9ad66620722</stp>
        <tr r="E4" s="3"/>
      </tp>
    </main>
    <main first="rtdsrv.d1787fac4db647738cc71ff32b237324">
      <tp>
        <v>1</v>
        <stp/>
        <stp>2c3cdeaf-7d41-4be2-9fc4-840be121e1eb</stp>
        <tr r="D50" s="5"/>
      </tp>
      <tp>
        <v>1</v>
        <stp/>
        <stp>c7907278-6fec-4d69-80e1-0cdb59116ae4</stp>
        <tr r="I38" s="4"/>
      </tp>
      <tp>
        <v>1</v>
        <stp/>
        <stp>dd0af438-5e43-4ce0-8428-842cad0a4c20</stp>
        <tr r="G43" s="4"/>
      </tp>
    </main>
    <main first="rtdsrv.d1787fac4db647738cc71ff32b237324">
      <tp>
        <v>1</v>
        <stp/>
        <stp>05eca21a-ec78-4780-a9bc-f21df0942f05</stp>
        <tr r="I33" s="4"/>
      </tp>
      <tp>
        <v>1</v>
        <stp/>
        <stp>bbc5cd80-bdfa-4290-9ddc-6f99ee6f4fdc</stp>
        <tr r="G56" s="4"/>
      </tp>
    </main>
    <main first="rtdsrv.d1787fac4db647738cc71ff32b237324">
      <tp>
        <v>1</v>
        <stp/>
        <stp>af26cd98-701c-473b-a893-af4038df8ed0</stp>
        <tr r="G2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JsonObject:FEAF55B6-F256-4256-9161-1D1B64DEE139</v>
      </c>
      <c r="K1" t="str">
        <f>EXLIBRIS_CONFIGURATION</f>
        <v>ExLibris.Core.ExLibrisConfiguration:24ADB25B-B7A4-4556-8E21-DF7CFC2AF75C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JsonObject:0FB264D1-4D53-4D49-AAA9-52061311CDDC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JsonObject:87C48750-5BE7-49D9-9F62-C2D7B06B7A24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JsonObject:DE5EACA0-1A4E-463B-89BA-0EFE2C25DD86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JsonObject:57B6C87F-0B66-4F3A-8868-045D0C2F18C7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JsonObject:5D27BF30-066D-4852-A63E-C2080A7BCCCB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JsonObject:D81B8AE9-7ED3-4E79-AF7E-74CA81157E43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JsonObject:D3798F61-C738-4505-9FA5-B176C37C2C4E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JsonObject:1835D640-7BAD-4911-9240-482839F49999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JsonObject:CD15D726-92C0-4486-9C36-EEF6F80FE91F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JsonObject:F856625E-56F8-4FD8-9FBF-EC1651BD6EFE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JsonObject:01C35595-5E97-44D0-AF9B-401ED84F14E7</v>
      </c>
      <c r="K1" t="str">
        <f>EXLIBRIS_CONFIGURATION</f>
        <v>ExLibris.Core.ExLibrisConfiguration:24ADB25B-B7A4-4556-8E21-DF7CFC2AF75C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JsonObject:531CBB1A-AAB5-46C7-8765-D2CF539D73C0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JsonObject:327669E4-FD13-41AA-BD7F-9D7BD82647D3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JsonObject:E0ACD3ED-F103-4688-9674-8F620C7B4846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JsonObject:327669E4-FD13-41AA-BD7F-9D7BD82647D3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JsonObject:30472878-CE6C-4467-AE39-6ABB050A7208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JsonObject:5469C72A-CE31-47BF-ADD4-DA535D9A5668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JsonObject:0E63F8CA-CBEB-4495-8244-C5DCCA769678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ExLibris.Core.ExLibrisConfiguration:24ADB25B-B7A4-4556-8E21-DF7CFC2AF75C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10">_xll.ExLibris.ObserveRegisteredObjects()</f>
        <v>ExLibris.Core.WebSockets.WebsocketClient:775383A7-EAAC-425F-BBF2-5B1060DBD59B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JsonObject:13CCC74E-74C5-4157-A96C-DFA57E671E4C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JsonObject:D560D4B9-72BB-4BFE-826E-E16F2B223BFE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ExLibris.Core.ExLibrisConfiguration:24ADB25B-B7A4-4556-8E21-DF7CFC2AF75C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  <c r="H10" t="str">
        <v>ExLibris.Core.WebAPIs.WebAPI:FCC762F8-ED4C-4FF8-95E7-CC84EAA249C2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ExLibris.Core.WebSockets.WebsocketClient:022610D8-7DA7-4027-B75A-69F26CB9C36C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ExLibris.Core.WebSockets.WebsocketClient:775383A7-EAAC-425F-BBF2-5B1060DBD59B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N52"/>
  <sheetViews>
    <sheetView tabSelected="1" workbookViewId="0"/>
  </sheetViews>
  <sheetFormatPr defaultRowHeight="18.75" x14ac:dyDescent="0.4"/>
  <sheetData>
    <row r="2" spans="2:4" x14ac:dyDescent="0.4">
      <c r="B2" t="s">
        <v>120</v>
      </c>
      <c r="C2" s="7" t="s">
        <v>127</v>
      </c>
    </row>
    <row r="3" spans="2:4" x14ac:dyDescent="0.4">
      <c r="C3" t="s">
        <v>126</v>
      </c>
    </row>
    <row r="5" spans="2:4" x14ac:dyDescent="0.4">
      <c r="B5" t="s">
        <v>129</v>
      </c>
      <c r="C5" t="str" cm="1">
        <f t="array" ref="C5">_xll.ExLibris.WebAPIs.OpenWebSocket($C$2,B5)</f>
        <v>ExLibris.Core.WebAPIs.WebAPI:3A2163D7-BDD0-4F94-B890-D0345078D963</v>
      </c>
    </row>
    <row r="6" spans="2:4" x14ac:dyDescent="0.4">
      <c r="B6" t="s">
        <v>125</v>
      </c>
      <c r="C6" t="s">
        <v>124</v>
      </c>
      <c r="D6" t="s">
        <v>121</v>
      </c>
    </row>
    <row r="7" spans="2:4" x14ac:dyDescent="0.4">
      <c r="C7" t="s">
        <v>122</v>
      </c>
      <c r="D7" t="str" cm="1">
        <f t="array" ref="D7">_xll.ExLibris.WebAPIs.WebAPIGet(C5,D6)</f>
        <v>ExLibris.Core.WebAPIs.Response:3211004F-4F9A-4CBA-9B3D-795D9363CFC7</v>
      </c>
    </row>
    <row r="8" spans="2:4" x14ac:dyDescent="0.4">
      <c r="C8" t="s">
        <v>123</v>
      </c>
      <c r="D8" t="str" cm="1">
        <f t="array" ref="D8">_xll.ExLibris.WebAPIs.WebAPIRequestContent(D7)</f>
        <v xml:space="preserve">{
  "args": {}, 
  "headers": {
    "Host": "localhost"
  }, 
  "origin": "172.17.0.1", 
  "url": "http://localhost/get"
}
</v>
      </c>
    </row>
    <row r="9" spans="2:4" x14ac:dyDescent="0.4">
      <c r="C9" t="s">
        <v>101</v>
      </c>
      <c r="D9" t="str" cm="1">
        <f t="array" ref="D9">_xll.ExLibris.WebAPIs.WebAPIResponseStatus(D7)</f>
        <v>OK(200)</v>
      </c>
    </row>
    <row r="10" spans="2:4" x14ac:dyDescent="0.4">
      <c r="C10" t="s">
        <v>138</v>
      </c>
      <c r="D10" t="str" cm="1">
        <f t="array" ref="D10">_xll.ExLibris.WebAPIs.WebAPIResponseHeader(D7)</f>
        <v xml:space="preserve">Connection: keep-alive_x000D_
Access-Control-Allow-Origin: *_x000D_
Access-Control-Allow-Credentials: true_x000D_
Date: Thu, 23 Sep 2021 11:55:16 GMT_x000D_
Server: gunicorn/19.9.0_x000D_
</v>
      </c>
    </row>
    <row r="13" spans="2:4" x14ac:dyDescent="0.4">
      <c r="B13" t="s">
        <v>128</v>
      </c>
      <c r="C13" t="str" cm="1">
        <f t="array" ref="C13">_xll.ExLibris.WebAPIs.OpenWebSocket(,B13)</f>
        <v>ExLibris.Core.WebAPIs.WebAPI:4FB1F122-7BD2-4DFC-89EF-2AE6C87CBE6E</v>
      </c>
    </row>
    <row r="14" spans="2:4" x14ac:dyDescent="0.4">
      <c r="B14" t="s">
        <v>125</v>
      </c>
      <c r="C14" t="s">
        <v>124</v>
      </c>
      <c r="D14" t="str">
        <f>$C$2&amp;"get"</f>
        <v>http://localhost:80/get</v>
      </c>
    </row>
    <row r="15" spans="2:4" x14ac:dyDescent="0.4">
      <c r="C15" t="s">
        <v>122</v>
      </c>
      <c r="D15" t="str" cm="1">
        <f t="array" ref="D15">_xll.ExLibris.WebAPIs.WebAPIGet(C13,D14,,C13)</f>
        <v>ExLibris.Core.WebAPIs.Response:A0D930E7-8868-4534-B857-D12DAE3EA0A9</v>
      </c>
    </row>
    <row r="16" spans="2:4" x14ac:dyDescent="0.4">
      <c r="C16" t="s">
        <v>123</v>
      </c>
      <c r="D16" t="str" cm="1">
        <f t="array" ref="D16">_xll.ExLibris.WebAPIs.WebAPIRequestContent(D15)</f>
        <v xml:space="preserve">{
  "args": {}, 
  "headers": {
    "Connection": "Keep-Alive", 
    "Host": "localhost"
  }, 
  "origin": "172.17.0.1", 
  "url": "http://localhost/get"
}
</v>
      </c>
    </row>
    <row r="17" spans="2:14" x14ac:dyDescent="0.4">
      <c r="C17" t="s">
        <v>101</v>
      </c>
      <c r="D17" t="str" cm="1">
        <f t="array" ref="D17">_xll.ExLibris.WebAPIs.WebAPIResponseStatus(D15)</f>
        <v>OK(200)</v>
      </c>
    </row>
    <row r="18" spans="2:14" x14ac:dyDescent="0.4">
      <c r="C18" t="s">
        <v>138</v>
      </c>
      <c r="D18" t="str" cm="1">
        <f t="array" ref="D18">_xll.ExLibris.WebAPIs.WebAPIResponseHeader(D15)</f>
        <v xml:space="preserve">Connection: keep-alive_x000D_
Access-Control-Allow-Origin: *_x000D_
Access-Control-Allow-Credentials: true_x000D_
Date: Thu, 23 Sep 2021 11:55:16 GMT_x000D_
Server: gunicorn/19.9.0_x000D_
</v>
      </c>
    </row>
    <row r="22" spans="2:14" x14ac:dyDescent="0.4">
      <c r="M22" t="s">
        <v>135</v>
      </c>
    </row>
    <row r="23" spans="2:14" x14ac:dyDescent="0.4">
      <c r="B23" t="s">
        <v>130</v>
      </c>
      <c r="C23" t="str" cm="1">
        <f t="array" ref="C23">_xll.ExLibris.WebAPIs.OpenWebSocket(,B23)</f>
        <v>ExLibris.Core.WebAPIs.WebAPI:FCC762F8-ED4C-4FF8-95E7-CC84EAA249C2</v>
      </c>
      <c r="M23" t="s">
        <v>131</v>
      </c>
      <c r="N23" t="str">
        <f>B23</f>
        <v>WebAPI2</v>
      </c>
    </row>
    <row r="24" spans="2:14" x14ac:dyDescent="0.4">
      <c r="B24" t="s">
        <v>125</v>
      </c>
      <c r="C24" t="s">
        <v>124</v>
      </c>
      <c r="D24" t="str">
        <f>$C$2&amp;"get"</f>
        <v>http://localhost:80/get</v>
      </c>
      <c r="M24" t="s">
        <v>132</v>
      </c>
      <c r="N24">
        <v>1</v>
      </c>
    </row>
    <row r="25" spans="2:14" x14ac:dyDescent="0.4">
      <c r="C25" t="s">
        <v>122</v>
      </c>
      <c r="D25" t="str" cm="1">
        <f t="array" ref="D25">_xll.ExLibris.WebAPIs.WebAPIGet(C23,D24,M23:N25,C23)</f>
        <v>ExLibris.Core.WebAPIs.Response:500713E6-4D22-42AD-A816-74BBB81DC4F2</v>
      </c>
      <c r="M25" t="s">
        <v>133</v>
      </c>
      <c r="N25" t="s">
        <v>134</v>
      </c>
    </row>
    <row r="26" spans="2:14" x14ac:dyDescent="0.4">
      <c r="C26" t="s">
        <v>123</v>
      </c>
      <c r="D26" t="str" cm="1">
        <f t="array" ref="D26">_xll.ExLibris.WebAPIs.WebAPIRequestContent(D25)</f>
        <v xml:space="preserve">{
  "args": {
    "key0": "WebAPI2", 
    "key1.int": "1", 
    "key1.string": "value1"
  }, 
  "headers": {
    "Host": "localhost"
  }, 
  "origin": "172.17.0.1", 
  "url": "http://localhost/get?key0=WebAPI2&amp;key1.int=1&amp;key1.string=value1"
}
</v>
      </c>
    </row>
    <row r="27" spans="2:14" x14ac:dyDescent="0.4">
      <c r="C27" t="s">
        <v>101</v>
      </c>
      <c r="D27" t="str" cm="1">
        <f t="array" ref="D27">_xll.ExLibris.WebAPIs.WebAPIResponseStatus(D25)</f>
        <v>OK(200)</v>
      </c>
    </row>
    <row r="28" spans="2:14" x14ac:dyDescent="0.4">
      <c r="C28" t="s">
        <v>138</v>
      </c>
      <c r="D28" t="str" cm="1">
        <f t="array" ref="D28">_xll.ExLibris.WebAPIs.WebAPIResponseHeader(D25)</f>
        <v xml:space="preserve">Connection: keep-alive_x000D_
Access-Control-Allow-Origin: *_x000D_
Access-Control-Allow-Credentials: true_x000D_
Date: Thu, 23 Sep 2021 11:55:16 GMT_x000D_
Server: gunicorn/19.9.0_x000D_
</v>
      </c>
    </row>
    <row r="33" spans="2:14" x14ac:dyDescent="0.4">
      <c r="M33" t="s">
        <v>135</v>
      </c>
      <c r="N33" t="str" cm="1">
        <f t="array" ref="N33">_xll.ExLibris.Json.CreateJsonObject(M34:N36)</f>
        <v>JsonObject:13CCC74E-74C5-4157-A96C-DFA57E671E4C</v>
      </c>
    </row>
    <row r="34" spans="2:14" x14ac:dyDescent="0.4">
      <c r="B34" t="s">
        <v>136</v>
      </c>
      <c r="C34" t="str" cm="1">
        <f t="array" ref="C34">_xll.ExLibris.WebAPIs.OpenWebSocket(,B34)</f>
        <v>ExLibris.Core.WebAPIs.WebAPI:17739D45-05ED-4F05-A16C-4AD8D03E4741</v>
      </c>
      <c r="M34" t="s">
        <v>131</v>
      </c>
      <c r="N34" t="str">
        <f>B34</f>
        <v>WebAPI3</v>
      </c>
    </row>
    <row r="35" spans="2:14" x14ac:dyDescent="0.4">
      <c r="B35" t="s">
        <v>125</v>
      </c>
      <c r="C35" t="s">
        <v>124</v>
      </c>
      <c r="D35" t="str">
        <f>$C$2&amp;"get"</f>
        <v>http://localhost:80/get</v>
      </c>
      <c r="M35" t="s">
        <v>132</v>
      </c>
      <c r="N35">
        <v>1</v>
      </c>
    </row>
    <row r="36" spans="2:14" x14ac:dyDescent="0.4">
      <c r="C36" t="s">
        <v>122</v>
      </c>
      <c r="D36" t="str" cm="1">
        <f t="array" ref="D36">_xll.ExLibris.WebAPIs.WebAPIGet(C34,D35,N33,C34)</f>
        <v>ExLibris.Core.WebAPIs.Response:F145C1E6-F6D5-4239-83E0-3C1B0B662900</v>
      </c>
      <c r="M36" t="s">
        <v>133</v>
      </c>
      <c r="N36" t="s">
        <v>134</v>
      </c>
    </row>
    <row r="37" spans="2:14" x14ac:dyDescent="0.4">
      <c r="C37" t="s">
        <v>123</v>
      </c>
      <c r="D37" t="str" cm="1">
        <f t="array" ref="D37">_xll.ExLibris.WebAPIs.WebAPIRequestContent(D36)</f>
        <v xml:space="preserve">{
  "args": {
    "key0": "WebAPI3", 
    "key1.int": "1", 
    "key1.string": "value1"
  }, 
  "headers": {
    "Host": "localhost"
  }, 
  "origin": "172.17.0.1", 
  "url": "http://localhost/get?key0=WebAPI3&amp;key1.int=1&amp;key1.string=value1"
}
</v>
      </c>
    </row>
    <row r="38" spans="2:14" x14ac:dyDescent="0.4">
      <c r="C38" t="s">
        <v>101</v>
      </c>
      <c r="D38" t="str" cm="1">
        <f t="array" ref="D38">_xll.ExLibris.WebAPIs.WebAPIResponseStatus(D36)</f>
        <v>OK(200)</v>
      </c>
    </row>
    <row r="39" spans="2:14" x14ac:dyDescent="0.4">
      <c r="C39" t="s">
        <v>138</v>
      </c>
      <c r="D39" t="str" cm="1">
        <f t="array" ref="D39">_xll.ExLibris.WebAPIs.WebAPIResponseHeader(D36)</f>
        <v xml:space="preserve">Connection: keep-alive_x000D_
Access-Control-Allow-Origin: *_x000D_
Access-Control-Allow-Credentials: true_x000D_
Date: Thu, 23 Sep 2021 11:55:16 GMT_x000D_
Server: gunicorn/19.9.0_x000D_
</v>
      </c>
    </row>
    <row r="47" spans="2:14" x14ac:dyDescent="0.4">
      <c r="M47" t="s">
        <v>135</v>
      </c>
      <c r="N47" t="str" cm="1">
        <f t="array" ref="N47">_xll.ExLibris.Json.CreateJsonObject(M48:N50)</f>
        <v>JsonObject:D560D4B9-72BB-4BFE-826E-E16F2B223BFE</v>
      </c>
    </row>
    <row r="48" spans="2:14" x14ac:dyDescent="0.4">
      <c r="B48" t="s">
        <v>137</v>
      </c>
      <c r="C48" t="str" cm="1">
        <f t="array" ref="C48">_xll.ExLibris.WebAPIs.OpenWebSocket(D49,B48)</f>
        <v>ExLibris.Core.WebAPIs.WebAPI:6D1287A6-84BB-4684-B03F-030C69FB9A82</v>
      </c>
      <c r="M48" t="s">
        <v>131</v>
      </c>
      <c r="N48" t="str">
        <f>B48</f>
        <v>WebAPI4</v>
      </c>
    </row>
    <row r="49" spans="2:14" x14ac:dyDescent="0.4">
      <c r="B49" t="s">
        <v>125</v>
      </c>
      <c r="C49" t="s">
        <v>124</v>
      </c>
      <c r="D49" t="str">
        <f>$C$2&amp;"get"</f>
        <v>http://localhost:80/get</v>
      </c>
      <c r="M49" t="s">
        <v>132</v>
      </c>
      <c r="N49">
        <v>1</v>
      </c>
    </row>
    <row r="50" spans="2:14" x14ac:dyDescent="0.4">
      <c r="C50" t="s">
        <v>122</v>
      </c>
      <c r="D50" t="str" cm="1">
        <f t="array" ref="D50">_xll.ExLibris.WebAPIs.WebAPIGet(C48,,N47,C48)</f>
        <v>ExLibris.Core.WebAPIs.Response:05290E9E-A98E-473E-AD23-5B88BC02A0CF</v>
      </c>
      <c r="M50" t="s">
        <v>133</v>
      </c>
      <c r="N50" t="s">
        <v>134</v>
      </c>
    </row>
    <row r="51" spans="2:14" x14ac:dyDescent="0.4">
      <c r="C51" t="s">
        <v>123</v>
      </c>
      <c r="D51" t="str" cm="1">
        <f t="array" ref="D51">_xll.ExLibris.WebAPIs.WebAPIRequestContent(D50)</f>
        <v xml:space="preserve">{
  "args": {
    "key0": "WebAPI4", 
    "key1.int": "1", 
    "key1.string": "value1"
  }, 
  "headers": {
    "Host": "localhost"
  }, 
  "origin": "172.17.0.1", 
  "url": "http://localhost/get?key0=WebAPI4&amp;key1.int=1&amp;key1.string=value1"
}
</v>
      </c>
    </row>
    <row r="52" spans="2:14" x14ac:dyDescent="0.4">
      <c r="C52" t="s">
        <v>101</v>
      </c>
      <c r="D52" t="str" cm="1">
        <f t="array" ref="D52">_xll.ExLibris.WebAPIs.WebAPIResponseStatus(D50)</f>
        <v>OK(200)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json_test</vt:lpstr>
      <vt:lpstr>json_w_conf_test</vt:lpstr>
      <vt:lpstr>configuration</vt:lpstr>
      <vt:lpstr>websocket</vt:lpstr>
      <vt:lpstr>webapi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2021-09-23T11:56:12Z</dcterms:modified>
</cp:coreProperties>
</file>