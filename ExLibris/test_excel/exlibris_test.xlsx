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603EA8C9-4698-49CC-8057-E5414ACDF9B1}" xr6:coauthVersionLast="47" xr6:coauthVersionMax="47" xr10:uidLastSave="{00000000-0000-0000-0000-000000000000}"/>
  <bookViews>
    <workbookView xWindow="-120" yWindow="-120" windowWidth="29040" windowHeight="15840" activeTab="3" xr2:uid="{705CD0B7-27A9-4291-85BD-6034C0FEE3E4}"/>
  </bookViews>
  <sheets>
    <sheet name="json_test" sheetId="1" r:id="rId1"/>
    <sheet name="json_w_conf_test" sheetId="4" r:id="rId2"/>
    <sheet name="configuration" sheetId="2" r:id="rId3"/>
    <sheet name="websocket" sheetId="3" r:id="rId4"/>
    <sheet name="webapi" sheetId="5" r:id="rId5"/>
    <sheet name="webapi github" sheetId="6" r:id="rId6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8" i="5" l="1"/>
  <c r="D5" i="3" a="1"/>
  <c r="D8" i="3" a="1"/>
  <c r="D6" i="3" a="1"/>
  <c r="D7" i="3" a="1"/>
  <c r="B2" i="6" a="1"/>
  <c r="D4" i="3" a="1"/>
  <c r="B5" i="5" a="1"/>
  <c r="C2" i="2" a="1"/>
  <c r="F6" i="1" a="1"/>
  <c r="D49" i="5" a="1"/>
  <c r="H5" i="5" a="1"/>
  <c r="D7" i="3" l="1"/>
  <c r="D6" i="3"/>
  <c r="D8" i="3"/>
  <c r="D5" i="3"/>
  <c r="B2" i="6"/>
  <c r="D4" i="3"/>
  <c r="H5" i="5"/>
  <c r="B5" i="5"/>
  <c r="C2" i="2"/>
  <c r="F6" i="1"/>
  <c r="D49" i="5"/>
  <c r="F7" i="3" a="1"/>
  <c r="G7" i="3" a="1"/>
  <c r="G6" i="3" a="1"/>
  <c r="F6" i="3" a="1"/>
  <c r="G8" i="3" a="1"/>
  <c r="F8" i="3" a="1"/>
  <c r="G5" i="3" a="1"/>
  <c r="F5" i="3" a="1"/>
  <c r="D50" i="5" a="1"/>
  <c r="E6" i="2" a="1"/>
  <c r="F6" i="4" a="1"/>
  <c r="D51" i="5" a="1"/>
  <c r="F5" i="3" l="1"/>
  <c r="G5" i="3"/>
  <c r="F8" i="3"/>
  <c r="G8" i="3"/>
  <c r="F6" i="3"/>
  <c r="G6" i="3"/>
  <c r="G7" i="3"/>
  <c r="F7" i="3"/>
  <c r="D51" i="5"/>
  <c r="F6" i="4"/>
  <c r="E6" i="2"/>
  <c r="D50" i="5"/>
  <c r="C5" i="6"/>
  <c r="D33" i="5"/>
  <c r="D28" i="5"/>
  <c r="D23" i="5"/>
  <c r="D18" i="5"/>
  <c r="D13" i="5"/>
  <c r="D38" i="5" a="1"/>
  <c r="D43" i="5" a="1"/>
  <c r="H7" i="3" a="1"/>
  <c r="H5" i="3" a="1"/>
  <c r="H8" i="3" a="1"/>
  <c r="H6" i="3" a="1"/>
  <c r="D19" i="5" a="1"/>
  <c r="D14" i="5" a="1"/>
  <c r="H6" i="3" l="1"/>
  <c r="H8" i="3"/>
  <c r="H5" i="3"/>
  <c r="H7" i="3"/>
  <c r="D38" i="5"/>
  <c r="D43" i="5"/>
  <c r="D19" i="5"/>
  <c r="D14" i="5"/>
  <c r="J11" i="4"/>
  <c r="J12" i="4" s="1"/>
  <c r="J13" i="4" s="1"/>
  <c r="J14" i="4" s="1"/>
  <c r="J10" i="4"/>
  <c r="I14" i="4"/>
  <c r="I12" i="4"/>
  <c r="I10" i="4"/>
  <c r="I11" i="4"/>
  <c r="I13" i="4" s="1"/>
  <c r="G9" i="4"/>
  <c r="E9" i="4" s="1"/>
  <c r="I10" i="1"/>
  <c r="I11" i="1" s="1"/>
  <c r="I12" i="1" s="1"/>
  <c r="I13" i="1" s="1"/>
  <c r="I14" i="1" s="1"/>
  <c r="G9" i="1"/>
  <c r="E9" i="1" s="1"/>
  <c r="I6" i="3" a="1"/>
  <c r="I8" i="3" a="1"/>
  <c r="I5" i="3" a="1"/>
  <c r="I7" i="3" a="1"/>
  <c r="D44" i="5" a="1"/>
  <c r="C6" i="6" a="1"/>
  <c r="D21" i="5" a="1"/>
  <c r="D16" i="5" a="1"/>
  <c r="D15" i="5" a="1"/>
  <c r="D20" i="5" a="1"/>
  <c r="I7" i="3" l="1"/>
  <c r="I5" i="3"/>
  <c r="I8" i="3"/>
  <c r="I6" i="3"/>
  <c r="D16" i="5"/>
  <c r="D21" i="5"/>
  <c r="C6" i="6"/>
  <c r="D44" i="5"/>
  <c r="D20" i="5"/>
  <c r="D15" i="5"/>
  <c r="F10" i="4"/>
  <c r="G10" i="4" s="1"/>
  <c r="F10" i="1"/>
  <c r="G10" i="1" s="1"/>
  <c r="F11" i="1" s="1"/>
  <c r="G11" i="1" s="1"/>
  <c r="F12" i="1" s="1"/>
  <c r="G12" i="1" s="1"/>
  <c r="E12" i="1" s="1"/>
  <c r="D24" i="5" a="1"/>
  <c r="D39" i="5" a="1"/>
  <c r="D45" i="5" a="1"/>
  <c r="F4" i="3" a="1"/>
  <c r="C8" i="6" a="1"/>
  <c r="D34" i="5" a="1"/>
  <c r="D46" i="5" a="1"/>
  <c r="G4" i="3" a="1"/>
  <c r="D29" i="5" a="1"/>
  <c r="C7" i="6" a="1"/>
  <c r="D46" i="5" l="1"/>
  <c r="C8" i="6"/>
  <c r="D24" i="5"/>
  <c r="C7" i="6"/>
  <c r="D45" i="5"/>
  <c r="D39" i="5"/>
  <c r="D29" i="5"/>
  <c r="D34" i="5"/>
  <c r="K1" i="1"/>
  <c r="K1" i="4"/>
  <c r="F11" i="4"/>
  <c r="G11" i="4" s="1"/>
  <c r="E10" i="4"/>
  <c r="G4" i="3"/>
  <c r="F4" i="3"/>
  <c r="F13" i="1"/>
  <c r="G13" i="1" s="1"/>
  <c r="F14" i="1" s="1"/>
  <c r="G14" i="1" s="1"/>
  <c r="E14" i="1" s="1"/>
  <c r="E10" i="1"/>
  <c r="E11" i="1"/>
  <c r="H4" i="3" a="1"/>
  <c r="D25" i="5" a="1"/>
  <c r="C10" i="6" a="1"/>
  <c r="D31" i="5" a="1"/>
  <c r="D30" i="5" a="1"/>
  <c r="D26" i="5" a="1"/>
  <c r="D41" i="5" a="1"/>
  <c r="D40" i="5" a="1"/>
  <c r="D36" i="5" a="1"/>
  <c r="D35" i="5" a="1"/>
  <c r="H4" i="3" l="1"/>
  <c r="D36" i="5"/>
  <c r="D41" i="5"/>
  <c r="D26" i="5"/>
  <c r="D31" i="5"/>
  <c r="C10" i="6"/>
  <c r="D35" i="5"/>
  <c r="D30" i="5"/>
  <c r="D40" i="5"/>
  <c r="D25" i="5"/>
  <c r="E11" i="4"/>
  <c r="F12" i="4"/>
  <c r="G12" i="4" s="1"/>
  <c r="E13" i="1"/>
  <c r="I4" i="3" a="1"/>
  <c r="C11" i="6" a="1"/>
  <c r="I4" i="3" l="1"/>
  <c r="C11" i="6"/>
  <c r="F13" i="4"/>
  <c r="G13" i="4" s="1"/>
  <c r="E12" i="4"/>
  <c r="F1" i="1" a="1"/>
  <c r="F1" i="1" l="1"/>
  <c r="E13" i="4"/>
  <c r="F14" i="4"/>
  <c r="G14" i="4" s="1"/>
  <c r="E14" i="4" s="1"/>
  <c r="E19" i="1" a="1"/>
  <c r="G45" i="1" a="1"/>
  <c r="G31" i="1" a="1"/>
  <c r="G28" i="1" a="1"/>
  <c r="I19" i="1" a="1"/>
  <c r="G49" i="1" a="1"/>
  <c r="G35" i="1" a="1"/>
  <c r="G53" i="1" a="1"/>
  <c r="G43" i="1" a="1"/>
  <c r="G37" i="1" a="1"/>
  <c r="G30" i="1" a="1"/>
  <c r="G23" i="1" a="1"/>
  <c r="G20" i="1" a="1"/>
  <c r="G52" i="1" a="1"/>
  <c r="G41" i="1" a="1"/>
  <c r="G34" i="1" a="1"/>
  <c r="G27" i="1" a="1"/>
  <c r="G24" i="1" a="1"/>
  <c r="G56" i="1" a="1"/>
  <c r="G38" i="1" a="1"/>
  <c r="G42" i="1" a="1"/>
  <c r="G32" i="1" a="1"/>
  <c r="G21" i="1" a="1"/>
  <c r="G46" i="1" a="1"/>
  <c r="G36" i="1" a="1"/>
  <c r="G25" i="1" a="1"/>
  <c r="G57" i="1" a="1"/>
  <c r="G50" i="1" a="1"/>
  <c r="G47" i="1" a="1"/>
  <c r="G40" i="1" a="1"/>
  <c r="G29" i="1" a="1"/>
  <c r="G22" i="1" a="1"/>
  <c r="G54" i="1" a="1"/>
  <c r="G51" i="1" a="1"/>
  <c r="G44" i="1" a="1"/>
  <c r="P19" i="1" a="1"/>
  <c r="G33" i="1" a="1"/>
  <c r="G26" i="1" a="1"/>
  <c r="G39" i="1" a="1"/>
  <c r="G55" i="1" a="1"/>
  <c r="G48" i="1" a="1"/>
  <c r="M6" i="1" a="1"/>
  <c r="P29" i="1" a="1"/>
  <c r="P29" i="1" l="1"/>
  <c r="G48" i="1"/>
  <c r="G55" i="1"/>
  <c r="G39" i="1"/>
  <c r="G26" i="1"/>
  <c r="G33" i="1"/>
  <c r="P19" i="1"/>
  <c r="AR19" i="1" s="1"/>
  <c r="G44" i="1"/>
  <c r="G51" i="1"/>
  <c r="G54" i="1"/>
  <c r="G22" i="1"/>
  <c r="G29" i="1"/>
  <c r="G40" i="1"/>
  <c r="G47" i="1"/>
  <c r="G50" i="1"/>
  <c r="G57" i="1"/>
  <c r="G25" i="1"/>
  <c r="G36" i="1"/>
  <c r="G46" i="1"/>
  <c r="G21" i="1"/>
  <c r="G32" i="1"/>
  <c r="G42" i="1"/>
  <c r="G38" i="1"/>
  <c r="G56" i="1"/>
  <c r="G24" i="1"/>
  <c r="G27" i="1"/>
  <c r="G34" i="1"/>
  <c r="G41" i="1"/>
  <c r="G52" i="1"/>
  <c r="G20" i="1"/>
  <c r="G23" i="1"/>
  <c r="G30" i="1"/>
  <c r="G37" i="1"/>
  <c r="G43" i="1"/>
  <c r="G53" i="1"/>
  <c r="G35" i="1"/>
  <c r="G49" i="1"/>
  <c r="I19" i="1"/>
  <c r="G28" i="1"/>
  <c r="G31" i="1"/>
  <c r="G45" i="1"/>
  <c r="E19" i="1"/>
  <c r="AS21" i="1"/>
  <c r="AR21" i="1"/>
  <c r="AS19" i="1"/>
  <c r="AS20" i="1"/>
  <c r="AR20" i="1"/>
  <c r="AG27" i="1"/>
  <c r="AH42" i="1"/>
  <c r="AH46" i="1"/>
  <c r="AI55" i="1"/>
  <c r="AH51" i="1"/>
  <c r="AH22" i="1"/>
  <c r="AH28" i="1"/>
  <c r="AG39" i="1"/>
  <c r="AG24" i="1"/>
  <c r="AH57" i="1"/>
  <c r="AH45" i="1"/>
  <c r="AI28" i="1"/>
  <c r="AH26" i="1"/>
  <c r="AG44" i="1"/>
  <c r="AI21" i="1"/>
  <c r="AH55" i="1"/>
  <c r="AG53" i="1"/>
  <c r="AG51" i="1"/>
  <c r="AG29" i="1"/>
  <c r="AG46" i="1"/>
  <c r="AH48" i="1"/>
  <c r="AI26" i="1"/>
  <c r="AI45" i="1"/>
  <c r="AG41" i="1"/>
  <c r="AH30" i="1"/>
  <c r="AH35" i="1"/>
  <c r="AG36" i="1"/>
  <c r="AG56" i="1"/>
  <c r="AI22" i="1"/>
  <c r="AG21" i="1"/>
  <c r="AH43" i="1"/>
  <c r="AH20" i="1"/>
  <c r="AG28" i="1"/>
  <c r="AI40" i="1"/>
  <c r="AG32" i="1"/>
  <c r="AI57" i="1"/>
  <c r="AI52" i="1"/>
  <c r="AG43" i="1"/>
  <c r="AI49" i="1"/>
  <c r="AI36" i="1"/>
  <c r="AI43" i="1"/>
  <c r="AH32" i="1"/>
  <c r="AH33" i="1"/>
  <c r="AH27" i="1"/>
  <c r="AG34" i="1"/>
  <c r="AG48" i="1"/>
  <c r="AI32" i="1"/>
  <c r="AI42" i="1"/>
  <c r="AG50" i="1"/>
  <c r="AI41" i="1"/>
  <c r="AI20" i="1"/>
  <c r="AI30" i="1"/>
  <c r="AI19" i="1"/>
  <c r="AH34" i="1"/>
  <c r="AH53" i="1"/>
  <c r="AG23" i="1"/>
  <c r="AG55" i="1"/>
  <c r="AI37" i="1"/>
  <c r="AH23" i="1"/>
  <c r="AG54" i="1"/>
  <c r="AG42" i="1"/>
  <c r="AI48" i="1"/>
  <c r="AG45" i="1"/>
  <c r="AH31" i="1"/>
  <c r="AI46" i="1"/>
  <c r="AH50" i="1"/>
  <c r="AI47" i="1"/>
  <c r="AG37" i="1"/>
  <c r="AH47" i="1"/>
  <c r="AG49" i="1"/>
  <c r="AH41" i="1"/>
  <c r="AG25" i="1"/>
  <c r="AI51" i="1"/>
  <c r="AH52" i="1"/>
  <c r="AH25" i="1"/>
  <c r="AH56" i="1"/>
  <c r="AG26" i="1"/>
  <c r="AH37" i="1"/>
  <c r="AI29" i="1"/>
  <c r="AI38" i="1"/>
  <c r="AG35" i="1"/>
  <c r="AG57" i="1"/>
  <c r="AH38" i="1"/>
  <c r="AI34" i="1"/>
  <c r="AH54" i="1"/>
  <c r="AH21" i="1"/>
  <c r="AI44" i="1"/>
  <c r="AI31" i="1"/>
  <c r="AI39" i="1"/>
  <c r="AI54" i="1"/>
  <c r="AH29" i="1"/>
  <c r="AH39" i="1"/>
  <c r="AI27" i="1"/>
  <c r="AG40" i="1"/>
  <c r="AH40" i="1"/>
  <c r="AG33" i="1"/>
  <c r="AI35" i="1"/>
  <c r="AI33" i="1"/>
  <c r="AG30" i="1"/>
  <c r="AH36" i="1"/>
  <c r="AH49" i="1"/>
  <c r="AG47" i="1"/>
  <c r="AI53" i="1"/>
  <c r="AI23" i="1"/>
  <c r="AG31" i="1"/>
  <c r="AI56" i="1"/>
  <c r="AI25" i="1"/>
  <c r="AG38" i="1"/>
  <c r="AI24" i="1"/>
  <c r="AG22" i="1"/>
  <c r="AH44" i="1"/>
  <c r="AH24" i="1"/>
  <c r="AG52" i="1"/>
  <c r="AG20" i="1"/>
  <c r="AI50" i="1"/>
  <c r="M6" i="1"/>
  <c r="C5" i="1" s="1"/>
  <c r="G19" i="1" a="1"/>
  <c r="P30" i="1" a="1"/>
  <c r="I20" i="1" a="1"/>
  <c r="I28" i="1" a="1"/>
  <c r="F1" i="4" a="1"/>
  <c r="G19" i="1" l="1"/>
  <c r="I28" i="1"/>
  <c r="I20" i="1"/>
  <c r="P30" i="1"/>
  <c r="F1" i="4"/>
  <c r="C7" i="1"/>
  <c r="AK20" i="1"/>
  <c r="AP22" i="1"/>
  <c r="AO23" i="1"/>
  <c r="AM24" i="1"/>
  <c r="AP26" i="1"/>
  <c r="AP24" i="1"/>
  <c r="AN26" i="1"/>
  <c r="AL24" i="1"/>
  <c r="AL26" i="1"/>
  <c r="AK21" i="1"/>
  <c r="AL23" i="1"/>
  <c r="AO24" i="1"/>
  <c r="AP20" i="1"/>
  <c r="AM26" i="1"/>
  <c r="AO22" i="1"/>
  <c r="AP25" i="1"/>
  <c r="AN21" i="1"/>
  <c r="AP21" i="1"/>
  <c r="AK26" i="1"/>
  <c r="AM23" i="1"/>
  <c r="AK24" i="1"/>
  <c r="AN23" i="1"/>
  <c r="AN24" i="1"/>
  <c r="AL21" i="1"/>
  <c r="AL22" i="1"/>
  <c r="AL20" i="1"/>
  <c r="AK23" i="1"/>
  <c r="AO20" i="1"/>
  <c r="AN25" i="1"/>
  <c r="AO26" i="1"/>
  <c r="AN20" i="1"/>
  <c r="AN22" i="1"/>
  <c r="AK22" i="1"/>
  <c r="AP23" i="1"/>
  <c r="AO25" i="1"/>
  <c r="AO21" i="1"/>
  <c r="AM20" i="1"/>
  <c r="AM22" i="1"/>
  <c r="AL25" i="1"/>
  <c r="AM21" i="1"/>
  <c r="AM25" i="1"/>
  <c r="AK25" i="1"/>
  <c r="AH19" i="1"/>
  <c r="AG19" i="1"/>
  <c r="I29" i="1" a="1"/>
  <c r="M6" i="4" a="1"/>
  <c r="G38" i="4" a="1"/>
  <c r="G25" i="4" a="1"/>
  <c r="G47" i="4" a="1"/>
  <c r="G29" i="4" a="1"/>
  <c r="G30" i="4" a="1"/>
  <c r="G35" i="4" a="1"/>
  <c r="G28" i="4" a="1"/>
  <c r="G44" i="4" a="1"/>
  <c r="G49" i="4" a="1"/>
  <c r="I32" i="4" a="1"/>
  <c r="G34" i="4" a="1"/>
  <c r="G39" i="4" a="1"/>
  <c r="G32" i="4" a="1"/>
  <c r="G52" i="4" a="1"/>
  <c r="G53" i="4" a="1"/>
  <c r="G57" i="4" a="1"/>
  <c r="G43" i="4" a="1"/>
  <c r="G40" i="4" a="1"/>
  <c r="G42" i="4" a="1"/>
  <c r="G48" i="4" a="1"/>
  <c r="G21" i="4" a="1"/>
  <c r="E19" i="4" a="1"/>
  <c r="G46" i="4" a="1"/>
  <c r="G51" i="4" a="1"/>
  <c r="G56" i="4" a="1"/>
  <c r="G33" i="4" a="1"/>
  <c r="I19" i="4" a="1"/>
  <c r="G50" i="4" a="1"/>
  <c r="G55" i="4" a="1"/>
  <c r="G27" i="4" a="1"/>
  <c r="G37" i="4" a="1"/>
  <c r="G22" i="4" a="1"/>
  <c r="G54" i="4" a="1"/>
  <c r="G23" i="4" a="1"/>
  <c r="G24" i="4" a="1"/>
  <c r="G41" i="4" a="1"/>
  <c r="G26" i="4" a="1"/>
  <c r="G31" i="4" a="1"/>
  <c r="G20" i="4" a="1"/>
  <c r="G36" i="4" a="1"/>
  <c r="G45" i="4" a="1"/>
  <c r="G45" i="4" l="1"/>
  <c r="G36" i="4"/>
  <c r="G20" i="4"/>
  <c r="G31" i="4"/>
  <c r="G26" i="4"/>
  <c r="G41" i="4"/>
  <c r="G24" i="4"/>
  <c r="G23" i="4"/>
  <c r="G54" i="4"/>
  <c r="G22" i="4"/>
  <c r="G37" i="4"/>
  <c r="G27" i="4"/>
  <c r="G55" i="4"/>
  <c r="G50" i="4"/>
  <c r="I19" i="4"/>
  <c r="G33" i="4"/>
  <c r="G56" i="4"/>
  <c r="G51" i="4"/>
  <c r="G46" i="4"/>
  <c r="E19" i="4"/>
  <c r="G21" i="4"/>
  <c r="G48" i="4"/>
  <c r="G42" i="4"/>
  <c r="G40" i="4"/>
  <c r="G43" i="4"/>
  <c r="G57" i="4"/>
  <c r="G53" i="4"/>
  <c r="G52" i="4"/>
  <c r="G32" i="4"/>
  <c r="G39" i="4"/>
  <c r="G34" i="4"/>
  <c r="I32" i="4"/>
  <c r="G49" i="4"/>
  <c r="G44" i="4"/>
  <c r="G28" i="4"/>
  <c r="G35" i="4"/>
  <c r="G30" i="4"/>
  <c r="G29" i="4"/>
  <c r="G47" i="4"/>
  <c r="G25" i="4"/>
  <c r="G38" i="4"/>
  <c r="I29" i="1"/>
  <c r="AK29" i="1" s="1"/>
  <c r="AR47" i="1"/>
  <c r="AS50" i="1"/>
  <c r="AR54" i="1"/>
  <c r="AS53" i="1"/>
  <c r="AR53" i="1"/>
  <c r="AS56" i="1"/>
  <c r="AR60" i="1"/>
  <c r="AS59" i="1"/>
  <c r="AR30" i="1"/>
  <c r="AS62" i="1"/>
  <c r="AS33" i="1"/>
  <c r="AR40" i="1"/>
  <c r="AR55" i="1"/>
  <c r="AR62" i="1"/>
  <c r="AS32" i="1"/>
  <c r="AR36" i="1"/>
  <c r="AS65" i="1"/>
  <c r="AR43" i="1"/>
  <c r="AS46" i="1"/>
  <c r="AR50" i="1"/>
  <c r="AS49" i="1"/>
  <c r="AR49" i="1"/>
  <c r="AS52" i="1"/>
  <c r="AR56" i="1"/>
  <c r="AS55" i="1"/>
  <c r="AS30" i="1"/>
  <c r="AR33" i="1"/>
  <c r="AS39" i="1"/>
  <c r="AS64" i="1"/>
  <c r="AR65" i="1"/>
  <c r="AR39" i="1"/>
  <c r="AS42" i="1"/>
  <c r="AR46" i="1"/>
  <c r="AS45" i="1"/>
  <c r="AR45" i="1"/>
  <c r="AS48" i="1"/>
  <c r="AR52" i="1"/>
  <c r="AS51" i="1"/>
  <c r="AR34" i="1"/>
  <c r="AR61" i="1"/>
  <c r="AS63" i="1"/>
  <c r="AR35" i="1"/>
  <c r="AS38" i="1"/>
  <c r="AR42" i="1"/>
  <c r="AS41" i="1"/>
  <c r="AR41" i="1"/>
  <c r="AS44" i="1"/>
  <c r="AR48" i="1"/>
  <c r="AS47" i="1"/>
  <c r="AS61" i="1"/>
  <c r="AR63" i="1"/>
  <c r="AR31" i="1"/>
  <c r="AS34" i="1"/>
  <c r="AR38" i="1"/>
  <c r="AS37" i="1"/>
  <c r="AR37" i="1"/>
  <c r="AS40" i="1"/>
  <c r="AR44" i="1"/>
  <c r="AS43" i="1"/>
  <c r="AR59" i="1"/>
  <c r="AS36" i="1"/>
  <c r="AS58" i="1"/>
  <c r="AS35" i="1"/>
  <c r="AR51" i="1"/>
  <c r="AS54" i="1"/>
  <c r="AR58" i="1"/>
  <c r="AS57" i="1"/>
  <c r="AR57" i="1"/>
  <c r="AS60" i="1"/>
  <c r="AR64" i="1"/>
  <c r="AR32" i="1"/>
  <c r="AS31" i="1"/>
  <c r="C3" i="1"/>
  <c r="C4" i="1"/>
  <c r="AC57" i="4"/>
  <c r="AB54" i="4"/>
  <c r="AA51" i="4"/>
  <c r="AC49" i="4"/>
  <c r="AB46" i="4"/>
  <c r="AA43" i="4"/>
  <c r="AC41" i="4"/>
  <c r="AB38" i="4"/>
  <c r="AA35" i="4"/>
  <c r="AC33" i="4"/>
  <c r="AC29" i="4"/>
  <c r="AB28" i="4"/>
  <c r="AA27" i="4"/>
  <c r="AB24" i="4"/>
  <c r="AC21" i="4"/>
  <c r="AC24" i="4"/>
  <c r="AB57" i="4"/>
  <c r="AA54" i="4"/>
  <c r="AC52" i="4"/>
  <c r="AB49" i="4"/>
  <c r="AA46" i="4"/>
  <c r="AC44" i="4"/>
  <c r="AB41" i="4"/>
  <c r="AA38" i="4"/>
  <c r="AC36" i="4"/>
  <c r="AB33" i="4"/>
  <c r="AB29" i="4"/>
  <c r="AA28" i="4"/>
  <c r="AC26" i="4"/>
  <c r="AA24" i="4"/>
  <c r="AB21" i="4"/>
  <c r="AC28" i="4"/>
  <c r="AA22" i="4"/>
  <c r="AA57" i="4"/>
  <c r="AC55" i="4"/>
  <c r="AB52" i="4"/>
  <c r="AA49" i="4"/>
  <c r="AC47" i="4"/>
  <c r="AB44" i="4"/>
  <c r="AA41" i="4"/>
  <c r="AC39" i="4"/>
  <c r="AB36" i="4"/>
  <c r="AA33" i="4"/>
  <c r="AC31" i="4"/>
  <c r="AA29" i="4"/>
  <c r="AB26" i="4"/>
  <c r="AC23" i="4"/>
  <c r="AA21" i="4"/>
  <c r="AC19" i="4"/>
  <c r="AC54" i="4"/>
  <c r="AB43" i="4"/>
  <c r="AA30" i="4"/>
  <c r="AB55" i="4"/>
  <c r="AA52" i="4"/>
  <c r="AC50" i="4"/>
  <c r="AB47" i="4"/>
  <c r="AA44" i="4"/>
  <c r="AC42" i="4"/>
  <c r="AB39" i="4"/>
  <c r="AA36" i="4"/>
  <c r="AC34" i="4"/>
  <c r="AB31" i="4"/>
  <c r="AA26" i="4"/>
  <c r="AB23" i="4"/>
  <c r="AC20" i="4"/>
  <c r="AC46" i="4"/>
  <c r="AA32" i="4"/>
  <c r="AB27" i="4"/>
  <c r="AA55" i="4"/>
  <c r="AC53" i="4"/>
  <c r="AB50" i="4"/>
  <c r="AA47" i="4"/>
  <c r="AC45" i="4"/>
  <c r="AB42" i="4"/>
  <c r="AA39" i="4"/>
  <c r="AC37" i="4"/>
  <c r="AB34" i="4"/>
  <c r="AA31" i="4"/>
  <c r="AC25" i="4"/>
  <c r="AA23" i="4"/>
  <c r="AB20" i="4"/>
  <c r="AA48" i="4"/>
  <c r="AC38" i="4"/>
  <c r="AC56" i="4"/>
  <c r="AB53" i="4"/>
  <c r="AA50" i="4"/>
  <c r="AC48" i="4"/>
  <c r="AB45" i="4"/>
  <c r="AA42" i="4"/>
  <c r="AC40" i="4"/>
  <c r="AB37" i="4"/>
  <c r="AA34" i="4"/>
  <c r="AC32" i="4"/>
  <c r="AC30" i="4"/>
  <c r="AB25" i="4"/>
  <c r="AC22" i="4"/>
  <c r="AA20" i="4"/>
  <c r="AB56" i="4"/>
  <c r="AA53" i="4"/>
  <c r="AC51" i="4"/>
  <c r="AB48" i="4"/>
  <c r="AA45" i="4"/>
  <c r="AC43" i="4"/>
  <c r="AB40" i="4"/>
  <c r="AA37" i="4"/>
  <c r="AC35" i="4"/>
  <c r="AB32" i="4"/>
  <c r="AB30" i="4"/>
  <c r="AC27" i="4"/>
  <c r="AA25" i="4"/>
  <c r="AB22" i="4"/>
  <c r="AA56" i="4"/>
  <c r="AB51" i="4"/>
  <c r="AA40" i="4"/>
  <c r="AB35" i="4"/>
  <c r="M6" i="4"/>
  <c r="C5" i="4" s="1"/>
  <c r="AL29" i="1"/>
  <c r="AM30" i="1"/>
  <c r="AP30" i="1"/>
  <c r="AM29" i="1"/>
  <c r="AN29" i="1"/>
  <c r="AO30" i="1"/>
  <c r="AP29" i="1"/>
  <c r="AN30" i="1"/>
  <c r="AL30" i="1"/>
  <c r="AO29" i="1"/>
  <c r="AK30" i="1"/>
  <c r="G19" i="4" a="1"/>
  <c r="I33" i="4" a="1"/>
  <c r="I38" i="4" a="1"/>
  <c r="I42" i="4" a="1"/>
  <c r="I20" i="4" a="1"/>
  <c r="I28" i="4" a="1"/>
  <c r="G19" i="4" l="1"/>
  <c r="I28" i="4"/>
  <c r="I20" i="4"/>
  <c r="AE20" i="4" s="1"/>
  <c r="I42" i="4"/>
  <c r="I38" i="4"/>
  <c r="I33" i="4"/>
  <c r="C8" i="1"/>
  <c r="AE26" i="4"/>
  <c r="AH25" i="4"/>
  <c r="AF23" i="4"/>
  <c r="AI22" i="4"/>
  <c r="AG20" i="4"/>
  <c r="AG25" i="4"/>
  <c r="AJ24" i="4"/>
  <c r="AE23" i="4"/>
  <c r="AH22" i="4"/>
  <c r="AF20" i="4"/>
  <c r="AF25" i="4"/>
  <c r="AI24" i="4"/>
  <c r="AG22" i="4"/>
  <c r="AJ21" i="4"/>
  <c r="AI25" i="4"/>
  <c r="AE21" i="4"/>
  <c r="AJ26" i="4"/>
  <c r="AE25" i="4"/>
  <c r="AH24" i="4"/>
  <c r="AF22" i="4"/>
  <c r="AI21" i="4"/>
  <c r="AG23" i="4"/>
  <c r="AI26" i="4"/>
  <c r="AG24" i="4"/>
  <c r="AJ23" i="4"/>
  <c r="AE22" i="4"/>
  <c r="AH21" i="4"/>
  <c r="AH20" i="4"/>
  <c r="AH26" i="4"/>
  <c r="AF24" i="4"/>
  <c r="AI23" i="4"/>
  <c r="AG21" i="4"/>
  <c r="AJ20" i="4"/>
  <c r="AG26" i="4"/>
  <c r="AJ25" i="4"/>
  <c r="AE24" i="4"/>
  <c r="AH23" i="4"/>
  <c r="AF21" i="4"/>
  <c r="AI20" i="4"/>
  <c r="AF26" i="4"/>
  <c r="AJ22" i="4"/>
  <c r="AB19" i="4"/>
  <c r="AA19" i="4"/>
  <c r="C6" i="1"/>
  <c r="I29" i="4" a="1"/>
  <c r="I34" i="4" a="1"/>
  <c r="I43" i="4" a="1"/>
  <c r="I39" i="4" a="1"/>
  <c r="I39" i="4" l="1"/>
  <c r="AE39" i="4" s="1"/>
  <c r="I43" i="4"/>
  <c r="AE43" i="4" s="1"/>
  <c r="C9" i="4" s="1"/>
  <c r="I34" i="4"/>
  <c r="AE34" i="4" s="1"/>
  <c r="I29" i="4"/>
  <c r="AE29" i="4" s="1"/>
  <c r="AI40" i="4"/>
  <c r="AG39" i="4"/>
  <c r="AF40" i="4"/>
  <c r="AI39" i="4"/>
  <c r="AJ40" i="4"/>
  <c r="AH39" i="4"/>
  <c r="AH40" i="4"/>
  <c r="AF39" i="4"/>
  <c r="AG40" i="4"/>
  <c r="AE40" i="4"/>
  <c r="AJ39" i="4"/>
  <c r="AE36" i="4"/>
  <c r="AI34" i="4"/>
  <c r="AJ36" i="4"/>
  <c r="AH35" i="4"/>
  <c r="AF34" i="4"/>
  <c r="AF36" i="4"/>
  <c r="AJ34" i="4"/>
  <c r="AJ35" i="4"/>
  <c r="AH34" i="4"/>
  <c r="AI35" i="4"/>
  <c r="AG34" i="4"/>
  <c r="AI36" i="4"/>
  <c r="AG35" i="4"/>
  <c r="AH36" i="4"/>
  <c r="AF35" i="4"/>
  <c r="AG36" i="4"/>
  <c r="AE35" i="4"/>
  <c r="C3" i="4"/>
  <c r="AI30" i="4"/>
  <c r="AH30" i="4"/>
  <c r="AG30" i="4"/>
  <c r="AJ29" i="4"/>
  <c r="AF30" i="4"/>
  <c r="AI29" i="4"/>
  <c r="AE30" i="4"/>
  <c r="AH29" i="4"/>
  <c r="AG29" i="4"/>
  <c r="AF29" i="4"/>
  <c r="AJ30" i="4"/>
  <c r="C4" i="4"/>
  <c r="C8" i="4" l="1"/>
  <c r="C7" i="4"/>
  <c r="C6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<sst xmlns="http://schemas.openxmlformats.org/spreadsheetml/2006/main" count="468" uniqueCount="156">
  <si>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</si>
  <si>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</si>
  <si>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</si>
  <si>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</si>
  <si>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</si>
  <si>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</si>
  <si>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</si>
  <si>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</si>
  <si>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</si>
  <si>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</si>
  <si>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</si>
  <si>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</si>
  <si>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</si>
  <si>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</si>
  <si>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</si>
  <si>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</si>
  <si>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</si>
  <si>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</si>
  <si>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</si>
  <si>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</si>
  <si>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</si>
  <si>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</si>
  <si>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</si>
  <si>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</si>
  <si>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</si>
  <si>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</si>
  <si>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</si>
  <si>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</si>
  <si>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</si>
  <si>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</si>
  <si>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</si>
  <si>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</si>
  <si>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</si>
  <si>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</si>
  <si>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</si>
  <si>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</si>
  <si>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</si>
  <si>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</si>
  <si>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</si>
  <si>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</si>
  <si>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</si>
  <si>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</si>
  <si>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</si>
  <si>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</si>
  <si>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</si>
  <si>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</si>
  <si>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</si>
  <si>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</si>
  <si>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</si>
  <si>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</si>
  <si>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</si>
  <si>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</si>
  <si>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</si>
  <si>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</si>
  <si>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</si>
  <si>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</si>
  <si>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</si>
  <si>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</si>
  <si>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</si>
  <si>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</si>
  <si>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</si>
  <si>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</si>
  <si>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</si>
  <si>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</si>
  <si>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</si>
  <si>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</si>
  <si>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</si>
  <si>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</si>
  <si>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</si>
  <si>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</si>
  <si>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</si>
  <si>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</si>
  <si>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</si>
  <si>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</si>
  <si>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</si>
  <si>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</si>
  <si>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</si>
  <si>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</si>
  <si>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</si>
  <si>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</si>
  <si>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</si>
  <si>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</si>
  <si>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</si>
  <si>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</si>
  <si>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</si>
  <si>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dump</t>
    <phoneticPr fontId="1"/>
  </si>
  <si>
    <t>source</t>
    <phoneticPr fontId="1"/>
  </si>
  <si>
    <t>StringEmpty</t>
  </si>
  <si>
    <t>json.double_to_date_text.[0].date_format</t>
  </si>
  <si>
    <t>yyyy-MM-dd</t>
  </si>
  <si>
    <t>json.double_to_date_text.[0].keys.[0]</t>
  </si>
  <si>
    <t>json.double_to_date_text.[0].keys.[1]</t>
    <phoneticPr fontId="1"/>
  </si>
  <si>
    <t>json.double_to_date_text.[0].keys.[2]</t>
    <phoneticPr fontId="1"/>
  </si>
  <si>
    <t>2022-03-12</t>
  </si>
  <si>
    <t>2021-09-13</t>
  </si>
  <si>
    <t>2022-09-08</t>
  </si>
  <si>
    <t>2023-03-07</t>
  </si>
  <si>
    <t>2023-09-03</t>
  </si>
  <si>
    <t>2024-03-01</t>
  </si>
  <si>
    <t>2024-08-28</t>
  </si>
  <si>
    <t>client</t>
    <phoneticPr fontId="1"/>
  </si>
  <si>
    <t>status</t>
    <phoneticPr fontId="1"/>
  </si>
  <si>
    <t>client0</t>
    <phoneticPr fontId="1"/>
  </si>
  <si>
    <t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t>
  </si>
  <si>
    <t>keyvalues1</t>
    <phoneticPr fontId="1"/>
  </si>
  <si>
    <t>table3</t>
    <phoneticPr fontId="1"/>
  </si>
  <si>
    <t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t>
  </si>
  <si>
    <t/>
  </si>
  <si>
    <t>search</t>
    <phoneticPr fontId="1"/>
  </si>
  <si>
    <t>search1</t>
    <phoneticPr fontId="1"/>
  </si>
  <si>
    <t>search2</t>
    <phoneticPr fontId="1"/>
  </si>
  <si>
    <t>base uri</t>
    <phoneticPr fontId="1"/>
  </si>
  <si>
    <t>response</t>
    <phoneticPr fontId="1"/>
  </si>
  <si>
    <t>content</t>
    <phoneticPr fontId="1"/>
  </si>
  <si>
    <t>uri</t>
    <phoneticPr fontId="1"/>
  </si>
  <si>
    <t>GET</t>
    <phoneticPr fontId="1"/>
  </si>
  <si>
    <t>https://httpbin.org/</t>
  </si>
  <si>
    <t>http://localhost:80/</t>
    <phoneticPr fontId="1"/>
  </si>
  <si>
    <t>POST</t>
    <phoneticPr fontId="1"/>
  </si>
  <si>
    <t>docker run -p 80:80 kennethreitz/httpbin</t>
    <phoneticPr fontId="1"/>
  </si>
  <si>
    <t>user_agent</t>
  </si>
  <si>
    <t>user</t>
  </si>
  <si>
    <t>authorization.scheme</t>
  </si>
  <si>
    <t>authorization.parameter</t>
  </si>
  <si>
    <t>custom_headers.[0].name</t>
  </si>
  <si>
    <t>cname0</t>
  </si>
  <si>
    <t>custom_headers.[0].value</t>
  </si>
  <si>
    <t>value0</t>
  </si>
  <si>
    <t>Bearer</t>
    <phoneticPr fontId="1"/>
  </si>
  <si>
    <t>XXX11111222223333444444</t>
    <phoneticPr fontId="1"/>
  </si>
  <si>
    <t>authorization</t>
    <phoneticPr fontId="1"/>
  </si>
  <si>
    <t>strike</t>
    <phoneticPr fontId="1"/>
  </si>
  <si>
    <t>call_or_put</t>
    <phoneticPr fontId="1"/>
  </si>
  <si>
    <t>CALL</t>
    <phoneticPr fontId="1"/>
  </si>
  <si>
    <t>buy_or_sell</t>
    <phoneticPr fontId="1"/>
  </si>
  <si>
    <t>SELL</t>
    <phoneticPr fontId="1"/>
  </si>
  <si>
    <t>date</t>
    <phoneticPr fontId="1"/>
  </si>
  <si>
    <t>POST with JSON Text</t>
    <phoneticPr fontId="1"/>
  </si>
  <si>
    <t>POST with form value</t>
    <phoneticPr fontId="1"/>
  </si>
  <si>
    <t>POST with form value matrix</t>
    <phoneticPr fontId="1"/>
  </si>
  <si>
    <t>currency_pair.left</t>
    <phoneticPr fontId="1"/>
  </si>
  <si>
    <t>currency_pair.right</t>
    <phoneticPr fontId="1"/>
  </si>
  <si>
    <t>USD</t>
    <phoneticPr fontId="1"/>
  </si>
  <si>
    <t>JPY</t>
    <phoneticPr fontId="1"/>
  </si>
  <si>
    <t>GET with paramters</t>
    <phoneticPr fontId="1"/>
  </si>
  <si>
    <t>defunkt</t>
  </si>
  <si>
    <t>DELAY 10</t>
    <phoneticPr fontId="1"/>
  </si>
  <si>
    <t>id</t>
    <phoneticPr fontId="1"/>
  </si>
  <si>
    <t>socket</t>
    <phoneticPr fontId="1"/>
  </si>
  <si>
    <t>receive</t>
    <phoneticPr fontId="1"/>
  </si>
  <si>
    <t>send 0</t>
    <phoneticPr fontId="1"/>
  </si>
  <si>
    <t>send 1</t>
    <phoneticPr fontId="1"/>
  </si>
  <si>
    <t>client1</t>
  </si>
  <si>
    <t>client2</t>
  </si>
  <si>
    <t>client3</t>
  </si>
  <si>
    <t>client4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</si>
</sst>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  <xf numFmtId="0" fontId="3" fillId="0" borderId="0" xfId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ac31784c2ff24f76a18d50e9eb768484">
      <tp>
        <v>2</v>
        <stp/>
        <stp>475092c2-9886-496f-90a3-16bfbd32c726</stp>
        <tr r="G43" s="1"/>
      </tp>
      <tp>
        <v>2</v>
        <stp/>
        <stp>04ef838c-33a7-47ee-b425-d84493c66638</stp>
        <tr r="G32" s="1"/>
      </tp>
    </main>
    <main first="rtdsrv.ac31784c2ff24f76a18d50e9eb768484">
      <tp>
        <v>2</v>
        <stp/>
        <stp>539d9901-ac33-46dd-94c9-0e90c20e1e92</stp>
        <tr r="G22" s="1"/>
      </tp>
    </main>
    <main first="rtdsrv.ac31784c2ff24f76a18d50e9eb768484">
      <tp>
        <v>1</v>
        <stp/>
        <stp>620a8a03-9ed5-4731-9c36-7c6c075d7b98</stp>
        <tr r="F8" s="3"/>
      </tp>
      <tp>
        <v>2</v>
        <stp/>
        <stp>16040b28-77b7-4522-bf3f-d48e981de011</stp>
        <tr r="F1" s="4"/>
      </tp>
      <tp>
        <v>2</v>
        <stp/>
        <stp>4fa92bfc-026b-40f8-84d2-c785a821b839</stp>
        <tr r="G28" s="1"/>
      </tp>
    </main>
    <main first="rtdsrv.ac31784c2ff24f76a18d50e9eb768484">
      <tp>
        <v>2</v>
        <stp/>
        <stp>d15567fb-421b-4259-bd1f-8a02a7ede346</stp>
        <tr r="G26" s="1"/>
      </tp>
      <tp>
        <v>2</v>
        <stp/>
        <stp>ed5b092a-6013-42aa-9352-01723e95b4e0</stp>
        <tr r="G39" s="1"/>
      </tp>
      <tp>
        <v>2</v>
        <stp/>
        <stp>d904bd71-c884-4230-b9b2-57d4d1e305d0</stp>
        <tr r="D39" s="5"/>
      </tp>
      <tp>
        <v>2</v>
        <stp/>
        <stp>a9f516e1-4e7a-4f4f-b678-52e5d4a0b300</stp>
        <tr r="G46" s="1"/>
      </tp>
      <tp>
        <v>2</v>
        <stp/>
        <stp>d3d268bc-2c82-499f-8438-757067df529e</stp>
        <tr r="G26" s="4"/>
      </tp>
    </main>
    <main first="rtdsrv.ac31784c2ff24f76a18d50e9eb768484">
      <tp>
        <v>2</v>
        <stp/>
        <stp>66337543-489a-4bd8-9cc3-1ea80e8b806a</stp>
        <tr r="D19" s="5"/>
      </tp>
      <tp>
        <v>2</v>
        <stp/>
        <stp>9c55c2e5-3703-44bf-9d5a-a4142a97a8ca</stp>
        <tr r="G50" s="4"/>
      </tp>
    </main>
    <main first="rtdsrv.ac31784c2ff24f76a18d50e9eb768484">
      <tp>
        <v>2</v>
        <stp/>
        <stp>542f6363-3c03-4428-846e-6b0cd56bb003</stp>
        <tr r="G56" s="4"/>
      </tp>
      <tp>
        <v>86</v>
        <stp/>
        <stp>a8a065e0-0ae4-4b71-b31e-bdbd32d23673</stp>
        <tr r="G8" s="3"/>
      </tp>
      <tp>
        <v>2</v>
        <stp/>
        <stp>5006c3b9-9c3e-4582-88a7-0504727d1304</stp>
        <tr r="G27" s="1"/>
      </tp>
    </main>
    <main first="rtdsrv.ac31784c2ff24f76a18d50e9eb768484">
      <tp>
        <v>2</v>
        <stp/>
        <stp>78050e83-f32c-4dc4-9f7d-a679ff4585e9</stp>
        <tr r="D5" s="3"/>
      </tp>
    </main>
    <main first="rtdsrv.ac31784c2ff24f76a18d50e9eb768484">
      <tp>
        <v>2</v>
        <stp/>
        <stp>d07c34a7-982f-4120-a080-2651e8169f7a</stp>
        <tr r="C10" s="6"/>
      </tp>
      <tp>
        <v>2</v>
        <stp/>
        <stp>5092a6aa-8ef0-469b-b2fa-1e5c1a67dc51</stp>
        <tr r="G41" s="4"/>
      </tp>
    </main>
    <main first="rtdsrv.ac31784c2ff24f76a18d50e9eb768484">
      <tp>
        <v>2</v>
        <stp/>
        <stp>1b9438ee-50bc-4c32-9704-759d90b24217</stp>
        <tr r="I19" s="1"/>
      </tp>
    </main>
    <main first="rtdsrv.ac31784c2ff24f76a18d50e9eb768484">
      <tp>
        <v>2</v>
        <stp/>
        <stp>c51cd2f4-9897-4010-a6d3-8210d48f0605</stp>
        <tr r="G42" s="1"/>
      </tp>
      <tp>
        <v>2</v>
        <stp/>
        <stp>2923c35c-f530-49ba-ac4c-3620da1d943b</stp>
        <tr r="G39" s="4"/>
      </tp>
      <tp>
        <v>2</v>
        <stp/>
        <stp>ba8698f9-38ba-47d3-945b-ac9e708cded3</stp>
        <tr r="G57" s="1"/>
      </tp>
    </main>
    <main first="rtdsrv.ac31784c2ff24f76a18d50e9eb768484">
      <tp>
        <v>2</v>
        <stp/>
        <stp>d6542e75-8a2b-44d5-bdb2-12383535cce7</stp>
        <tr r="I28" s="4"/>
      </tp>
    </main>
    <main first="rtdsrv.ac31784c2ff24f76a18d50e9eb768484">
      <tp>
        <v>2</v>
        <stp/>
        <stp>48ccf589-7646-4cb0-8b5f-51340a9fe715</stp>
        <tr r="G45" s="1"/>
      </tp>
      <tp>
        <v>2</v>
        <stp/>
        <stp>9d9de217-fdcb-46ac-a16c-f58540c388e7</stp>
        <tr r="D8" s="3"/>
      </tp>
      <tp>
        <v>158</v>
        <stp/>
        <stp>e32092cb-40ab-4c69-a244-c21ce762ce23</stp>
        <tr r="G4" s="3"/>
      </tp>
      <tp>
        <v>2</v>
        <stp/>
        <stp>24b39411-87cb-4463-8505-b7917e88b134</stp>
        <tr r="G40" s="1"/>
      </tp>
      <tp>
        <v>2</v>
        <stp/>
        <stp>d8844291-f851-4936-a2fb-873ee75d6d07</stp>
        <tr r="G45" s="4"/>
      </tp>
      <tp>
        <v>2</v>
        <stp/>
        <stp>5205e089-cbc1-49e7-a545-d945b06d634f</stp>
        <tr r="G52" s="1"/>
      </tp>
      <tp>
        <v>2</v>
        <stp/>
        <stp>6997c9f1-c57a-4875-a452-e80077a454c0</stp>
        <tr r="G53" s="4"/>
      </tp>
    </main>
    <main first="rtdsrv.ac31784c2ff24f76a18d50e9eb768484">
      <tp>
        <v>2</v>
        <stp/>
        <stp>336d8984-3ff7-4c1b-aad8-83330cf1e6a1</stp>
        <tr r="F6" s="1"/>
      </tp>
    </main>
    <main first="rtdsrv.ac31784c2ff24f76a18d50e9eb768484">
      <tp>
        <v>2</v>
        <stp/>
        <stp>959171e9-928d-4350-a5b9-cde7648e1fef</stp>
        <tr r="G48" s="1"/>
      </tp>
      <tp>
        <v>2</v>
        <stp/>
        <stp>d0d5c7f4-39bf-4ce3-84fc-4aee88141aeb</stp>
        <tr r="G31" s="1"/>
      </tp>
    </main>
    <main first="rtdsrv.ac31784c2ff24f76a18d50e9eb768484">
      <tp>
        <v>86</v>
        <stp/>
        <stp>376b3efa-b66d-422f-8160-70c8a4dcd278</stp>
        <tr r="G5" s="3"/>
      </tp>
      <tp>
        <v>2</v>
        <stp/>
        <stp>3a6fe1cb-d5ba-490b-9757-2a35ecc367fc</stp>
        <tr r="G20" s="1"/>
      </tp>
      <tp>
        <v>2</v>
        <stp/>
        <stp>e63e3d55-aeec-4f4d-bcae-1cd6be9f5f5c</stp>
        <tr r="G30" s="1"/>
      </tp>
    </main>
    <main first="rtdsrv.ac31784c2ff24f76a18d50e9eb768484">
      <tp>
        <v>2</v>
        <stp/>
        <stp>2d6f4ff8-e92a-45a7-a325-103d1ae7ceb0</stp>
        <tr r="G52" s="4"/>
      </tp>
    </main>
    <main first="rtdsrv.ac31784c2ff24f76a18d50e9eb768484">
      <tp>
        <v>2</v>
        <stp/>
        <stp>10914ebc-91ab-4059-8f3b-7cfd4ef83763</stp>
        <tr r="G19" s="4"/>
      </tp>
    </main>
    <main first="rtdsrv.ac31784c2ff24f76a18d50e9eb768484">
      <tp>
        <v>2</v>
        <stp/>
        <stp>abfcd41c-670c-4b7a-bb4b-9e15f7a76058</stp>
        <tr r="G48" s="4"/>
      </tp>
    </main>
    <main first="rtdsrv.ac31784c2ff24f76a18d50e9eb768484">
      <tp>
        <v>2</v>
        <stp/>
        <stp>e717dbc6-661a-4831-b064-0ac7b0d54b81</stp>
        <tr r="I38" s="4"/>
      </tp>
    </main>
    <main first="rtdsrv.ac31784c2ff24f76a18d50e9eb768484">
      <tp>
        <v>2</v>
        <stp/>
        <stp>7a90cd8a-2a43-4b5b-a966-9288d3bcb636</stp>
        <tr r="G51" s="1"/>
      </tp>
      <tp>
        <v>2</v>
        <stp/>
        <stp>78ea2725-884d-4a6d-98c0-db068dafdb6b</stp>
        <tr r="G35" s="4"/>
      </tp>
      <tp>
        <v>2</v>
        <stp/>
        <stp>d163abd4-3b39-464b-b6d7-5d9854ae6bf1</stp>
        <tr r="G46" s="4"/>
      </tp>
      <tp>
        <v>2</v>
        <stp/>
        <stp>b388e9fa-c5a7-4bc0-9997-20ca7b48ef10</stp>
        <tr r="D29" s="5"/>
      </tp>
      <tp>
        <v>2</v>
        <stp/>
        <stp>56444298-a7f0-4943-8ec2-edb803b3263b</stp>
        <tr r="G33" s="4"/>
      </tp>
    </main>
    <main first="rtdsrv.ac31784c2ff24f76a18d50e9eb768484">
      <tp>
        <v>2</v>
        <stp/>
        <stp>f5398f22-b06a-42ac-a105-14dc2a4a0c9d</stp>
        <tr r="G37" s="4"/>
      </tp>
    </main>
    <main first="rtdsrv.ac31784c2ff24f76a18d50e9eb768484">
      <tp>
        <v>1</v>
        <stp/>
        <stp>dfdefd5a-afd5-47c3-8313-152b74a495c4</stp>
        <tr r="F7" s="3"/>
      </tp>
      <tp>
        <v>2</v>
        <stp/>
        <stp>c1e0fe23-bb52-4dc6-a71d-00c62cf517b3</stp>
        <tr r="G55" s="4"/>
      </tp>
    </main>
    <main first="rtdsrv.ac31784c2ff24f76a18d50e9eb768484">
      <tp>
        <v>2</v>
        <stp/>
        <stp>5e94406c-2562-42e5-baab-af0e82c6d551</stp>
        <tr r="G50" s="1"/>
      </tp>
      <tp>
        <v>2</v>
        <stp/>
        <stp>8b49222c-52b0-4f5f-bc2a-f2ba93a84b31</stp>
        <tr r="G27" s="4"/>
      </tp>
      <tp>
        <v>2</v>
        <stp/>
        <stp>71bd85f9-96d5-4c5c-9b95-c5d9185f29b6</stp>
        <tr r="G44" s="1"/>
      </tp>
    </main>
    <main first="rtdsrv.ac31784c2ff24f76a18d50e9eb768484">
      <tp>
        <v>2</v>
        <stp/>
        <stp>edf4acb2-5e5b-4c18-82f0-fe4299a48c86</stp>
        <tr r="G34" s="1"/>
      </tp>
      <tp>
        <v>2</v>
        <stp/>
        <stp>09a42a94-ee78-453b-89fe-79b9f6595e23</stp>
        <tr r="C2" s="2"/>
      </tp>
    </main>
    <main first="rtdsrv.ac31784c2ff24f76a18d50e9eb768484">
      <tp>
        <v>86</v>
        <stp/>
        <stp>f3f3ae31-deb6-4e3e-9824-07d721cae091</stp>
        <tr r="G6" s="3"/>
      </tp>
    </main>
    <main first="rtdsrv.ac31784c2ff24f76a18d50e9eb768484">
      <tp>
        <v>2</v>
        <stp/>
        <stp>2c2a357f-37fe-48a0-949c-01c5d7db2982</stp>
        <tr r="G33" s="1"/>
      </tp>
      <tp>
        <v>2</v>
        <stp/>
        <stp>0ca48c10-dfc0-4616-9120-0e5a713ccd2c</stp>
        <tr r="G55" s="1"/>
      </tp>
      <tp>
        <v>2</v>
        <stp/>
        <stp>8631db58-4a8f-4d57-bb79-2e2f17a3ab08</stp>
        <tr r="G24" s="4"/>
      </tp>
    </main>
    <main first="rtdsrv.ac31784c2ff24f76a18d50e9eb768484">
      <tp>
        <v>2</v>
        <stp/>
        <stp>2510449c-fed8-437c-8cb2-4b54514d1eec</stp>
        <tr r="I28" s="1"/>
      </tp>
    </main>
    <main first="rtdsrv.ac31784c2ff24f76a18d50e9eb768484">
      <tp>
        <v>2</v>
        <stp/>
        <stp>c0c68b26-fbd1-4595-8293-d4ff2858ad15</stp>
        <tr r="H5" s="5"/>
      </tp>
    </main>
    <main first="rtdsrv.ac31784c2ff24f76a18d50e9eb768484">
      <tp>
        <v>2</v>
        <stp/>
        <stp>fc8fa029-41d2-4b0f-9c09-7b119a175c2e</stp>
        <tr r="G20" s="4"/>
      </tp>
    </main>
    <main first="rtdsrv.ac31784c2ff24f76a18d50e9eb768484">
      <tp>
        <v>1</v>
        <stp/>
        <stp>6a3c4d65-fdb2-4623-8a2e-41a2fc2f2a21</stp>
        <tr r="F4" s="3"/>
      </tp>
      <tp>
        <v>86</v>
        <stp/>
        <stp>cd8fa367-b0f8-4e9c-94ce-fd122727c791</stp>
        <tr r="G7" s="3"/>
      </tp>
      <tp>
        <v>2</v>
        <stp/>
        <stp>1337eff0-e67b-4869-9e67-882762852d75</stp>
        <tr r="G44" s="4"/>
      </tp>
    </main>
    <main first="rtdsrv.ac31784c2ff24f76a18d50e9eb768484">
      <tp>
        <v>2</v>
        <stp/>
        <stp>b53e89de-1a54-46fb-a7fb-af0714304ee2</stp>
        <tr r="G53" s="1"/>
      </tp>
    </main>
    <main first="rtdsrv.ac31784c2ff24f76a18d50e9eb768484">
      <tp>
        <v>2</v>
        <stp/>
        <stp>902f758b-cbf6-46fd-ab91-5c072c1645b3</stp>
        <tr r="G28" s="4"/>
      </tp>
    </main>
    <main first="rtdsrv.ac31784c2ff24f76a18d50e9eb768484">
      <tp>
        <v>2</v>
        <stp/>
        <stp>5459cd79-13bd-48a1-b8e7-140c67ce088b</stp>
        <tr r="D14" s="5"/>
      </tp>
    </main>
    <main first="rtdsrv.ac31784c2ff24f76a18d50e9eb768484">
      <tp>
        <v>2</v>
        <stp/>
        <stp>5bb26a2e-a2db-468b-908a-8a060d91b21c</stp>
        <tr r="G41" s="1"/>
      </tp>
      <tp>
        <v>2</v>
        <stp/>
        <stp>c685d5f2-bebb-4e22-81ca-1921677a4162</stp>
        <tr r="G38" s="4"/>
      </tp>
    </main>
    <main first="rtdsrv.ac31784c2ff24f76a18d50e9eb768484">
      <tp>
        <v>-2</v>
        <stp/>
        <stp>c6c932fa-a8dc-4a98-82f3-7da78a1f92d2</stp>
        <tr r="D29" s="5"/>
      </tp>
    </main>
    <main first="rtdsrv.ac31784c2ff24f76a18d50e9eb768484">
      <tp>
        <v>2</v>
        <stp/>
        <stp>845f747a-69c7-4545-bcec-868a6d148806</stp>
        <tr r="G23" s="1"/>
      </tp>
    </main>
    <main first="rtdsrv.ac31784c2ff24f76a18d50e9eb768484">
      <tp>
        <v>2</v>
        <stp/>
        <stp>33a1d2a8-8136-4d33-b6bb-a562a3b51c25</stp>
        <tr r="G54" s="1"/>
      </tp>
    </main>
    <main first="rtdsrv.ac31784c2ff24f76a18d50e9eb768484">
      <tp>
        <v>2</v>
        <stp/>
        <stp>5ace6b8f-9ced-4ab9-8108-955db95d32f4</stp>
        <tr r="D44" s="5"/>
      </tp>
      <tp>
        <v>2</v>
        <stp/>
        <stp>52f2e639-8deb-4cd4-9aba-1359f715ac64</stp>
        <tr r="G30" s="4"/>
      </tp>
    </main>
    <main first="rtdsrv.ac31784c2ff24f76a18d50e9eb768484">
      <tp>
        <v>2</v>
        <stp/>
        <stp>c05d614b-5489-4758-a01f-8a9aaf1f70ef</stp>
        <tr r="G19" s="1"/>
      </tp>
    </main>
    <main first="rtdsrv.ac31784c2ff24f76a18d50e9eb768484">
      <tp>
        <v>2</v>
        <stp/>
        <stp>5ef094e4-366e-4847-87f2-365ab8a8172c</stp>
        <tr r="I42" s="4"/>
      </tp>
      <tp>
        <v>2</v>
        <stp/>
        <stp>62112065-393e-499f-a256-026179d53c8d</stp>
        <tr r="D7" s="3"/>
      </tp>
      <tp>
        <v>2</v>
        <stp/>
        <stp>f83bb02a-d2cb-443c-a1a3-2430df32d6b8</stp>
        <tr r="G37" s="1"/>
      </tp>
    </main>
    <main first="rtdsrv.ac31784c2ff24f76a18d50e9eb768484">
      <tp>
        <v>2</v>
        <stp/>
        <stp>38eb677d-490e-44ad-89d0-9eeb8485ba7e</stp>
        <tr r="G47" s="1"/>
      </tp>
    </main>
    <main first="rtdsrv.ac31784c2ff24f76a18d50e9eb768484">
      <tp>
        <v>2</v>
        <stp/>
        <stp>738afea3-9294-468c-9553-70cce4c766cd</stp>
        <tr r="I33" s="4"/>
      </tp>
    </main>
    <main first="rtdsrv.ac31784c2ff24f76a18d50e9eb768484">
      <tp>
        <v>2</v>
        <stp/>
        <stp>239d6a85-2b26-4414-ab45-49ede2eb2ce5</stp>
        <tr r="G31" s="4"/>
      </tp>
      <tp>
        <v>2</v>
        <stp/>
        <stp>99baaefa-718d-401a-be61-1c825cf9d4a0</stp>
        <tr r="G23" s="4"/>
      </tp>
      <tp>
        <v>2</v>
        <stp/>
        <stp>23bc6d2a-119f-46da-9b64-6d7f8e3f4842</stp>
        <tr r="G25" s="1"/>
      </tp>
      <tp>
        <v>2</v>
        <stp/>
        <stp>3fdc595c-1ff5-4299-8c7d-90d7b9f15a67</stp>
        <tr r="G56" s="1"/>
      </tp>
      <tp>
        <v>2</v>
        <stp/>
        <stp>e449f40e-8d5b-48e8-bb60-1d14e9c8cccf</stp>
        <tr r="G43" s="4"/>
      </tp>
    </main>
    <main first="rtdsrv.ac31784c2ff24f76a18d50e9eb768484">
      <tp>
        <v>2</v>
        <stp/>
        <stp>4063d813-71b4-428a-8b8d-ad4ae8c5a339</stp>
        <tr r="G24" s="1"/>
      </tp>
    </main>
    <main first="rtdsrv.ac31784c2ff24f76a18d50e9eb768484">
      <tp>
        <v>2</v>
        <stp/>
        <stp>b2e8f8ae-e345-48da-a6cb-d06afb72c64a</stp>
        <tr r="F6" s="4"/>
      </tp>
    </main>
    <main first="rtdsrv.ac31784c2ff24f76a18d50e9eb768484">
      <tp>
        <v>2</v>
        <stp/>
        <stp>936e5789-82ac-4135-af0e-ec99862d0e0e</stp>
        <tr r="G40" s="4"/>
      </tp>
    </main>
    <main first="rtdsrv.ac31784c2ff24f76a18d50e9eb768484">
      <tp>
        <v>2</v>
        <stp/>
        <stp>d5f45f59-3bf6-4b54-99c9-853b9f717bb6</stp>
        <tr r="F1" s="1"/>
      </tp>
      <tp>
        <v>2</v>
        <stp/>
        <stp>2f5b79db-ef98-4b18-b339-a57aa326d1be</stp>
        <tr r="D34" s="5"/>
      </tp>
      <tp>
        <v>2</v>
        <stp/>
        <stp>baeda6e1-ea5a-42d4-bdb0-716aa35ecaef</stp>
        <tr r="G25" s="4"/>
      </tp>
      <tp>
        <v>2</v>
        <stp/>
        <stp>f3669603-a126-4d6c-bacc-922db4ad0e7e</stp>
        <tr r="G49" s="1"/>
      </tp>
      <tp>
        <v>2</v>
        <stp/>
        <stp>ab17da5c-5fdc-4f50-92f6-96e623f39be3</stp>
        <tr r="I19" s="4"/>
        <tr r="I32" s="4"/>
      </tp>
    </main>
    <main first="rtdsrv.ac31784c2ff24f76a18d50e9eb768484">
      <tp>
        <v>2</v>
        <stp/>
        <stp>406aaea5-1017-4d40-9aee-fd45ac8d317e</stp>
        <tr r="B5" s="5"/>
      </tp>
      <tp>
        <v>2</v>
        <stp/>
        <stp>1099545d-d3a8-4bf9-9597-77f60bd97217</stp>
        <tr r="G21" s="4"/>
      </tp>
    </main>
    <main first="rtdsrv.ac31784c2ff24f76a18d50e9eb768484">
      <tp>
        <v>2</v>
        <stp/>
        <stp>6f7be518-770c-4bc6-8551-1b7803d4c2f6</stp>
        <tr r="D4" s="3"/>
      </tp>
    </main>
    <main first="rtdsrv.ac31784c2ff24f76a18d50e9eb768484">
      <tp>
        <v>2</v>
        <stp/>
        <stp>108e29dc-5bbf-4bfc-8e9e-675b3146bd39</stp>
        <tr r="G36" s="4"/>
      </tp>
      <tp>
        <v>2</v>
        <stp/>
        <stp>cead2784-58f1-4497-bcb7-2f1a073b0fb5</stp>
        <tr r="G49" s="4"/>
      </tp>
      <tp>
        <v>2</v>
        <stp/>
        <stp>457e5afd-dba0-4dc9-8905-57c5090cf2ea</stp>
        <tr r="G57" s="4"/>
      </tp>
    </main>
    <main first="rtdsrv.ac31784c2ff24f76a18d50e9eb768484">
      <tp>
        <v>2</v>
        <stp/>
        <stp>608b4c56-8616-427a-bf9d-ef49916ffa8e</stp>
        <tr r="D24" s="5"/>
      </tp>
      <tp>
        <v>2</v>
        <stp/>
        <stp>55b91297-74bd-404f-be59-bcde546861a3</stp>
        <tr r="G36" s="1"/>
      </tp>
      <tp>
        <v>2</v>
        <stp/>
        <stp>29b7f00f-a3ed-4a48-87f4-e10a551b8728</stp>
        <tr r="P29" s="1"/>
      </tp>
    </main>
    <main first="rtdsrv.ac31784c2ff24f76a18d50e9eb768484">
      <tp>
        <v>2</v>
        <stp/>
        <stp>cddcbfcf-3a51-4143-a8d3-f9642e9d88bc</stp>
        <tr r="G21" s="1"/>
      </tp>
      <tp>
        <v>2</v>
        <stp/>
        <stp>3f66f334-6f64-4640-948c-31d84affd982</stp>
        <tr r="D49" s="5"/>
      </tp>
      <tp>
        <v>2</v>
        <stp/>
        <stp>fa7c9c9c-df6e-40b7-8e6e-0af80423f0cf</stp>
        <tr r="G38" s="1"/>
      </tp>
    </main>
    <main first="rtdsrv.ac31784c2ff24f76a18d50e9eb768484">
      <tp>
        <v>2</v>
        <stp/>
        <stp>1fa4d161-c33d-44f7-8733-b085413e6313</stp>
        <tr r="G54" s="4"/>
      </tp>
    </main>
    <main first="rtdsrv.ac31784c2ff24f76a18d50e9eb768484">
      <tp>
        <v>2</v>
        <stp/>
        <stp>fb2baf1d-ba92-4bd3-89b1-3e665e5c94dd</stp>
        <tr r="G35" s="1"/>
      </tp>
      <tp>
        <v>2</v>
        <stp/>
        <stp>b854829d-2967-4234-8fbd-9fbaf938c27b</stp>
        <tr r="G29" s="4"/>
      </tp>
      <tp>
        <v>1</v>
        <stp/>
        <stp>a6200a2d-dfa9-47eb-bd42-3e618fc56e3e</stp>
        <tr r="F6" s="3"/>
      </tp>
      <tp>
        <v>1</v>
        <stp/>
        <stp>22ca3ec3-10cf-4970-ac24-b1085a59b726</stp>
        <tr r="F5" s="3"/>
      </tp>
    </main>
    <main first="rtdsrv.ac31784c2ff24f76a18d50e9eb768484">
      <tp>
        <v>2</v>
        <stp/>
        <stp>63f1fd48-04ce-44bf-82c4-37d58fd9b050</stp>
        <tr r="G34" s="4"/>
      </tp>
      <tp>
        <v>2</v>
        <stp/>
        <stp>a106ee15-08b1-4f9d-b01d-05bae5e8827a</stp>
        <tr r="G51" s="4"/>
      </tp>
    </main>
    <main first="rtdsrv.ac31784c2ff24f76a18d50e9eb768484">
      <tp>
        <v>2</v>
        <stp/>
        <stp>7d924507-4bb3-472e-a725-5eb26db0d07d</stp>
        <tr r="G29" s="1"/>
      </tp>
      <tp>
        <v>2</v>
        <stp/>
        <stp>f4a5ca19-beb8-48ef-95b6-f3344741472d</stp>
        <tr r="G32" s="4"/>
      </tp>
      <tp>
        <v>2</v>
        <stp/>
        <stp>7ed3b0f9-f8b1-46f5-bf39-5435acc0dba2</stp>
        <tr r="G42" s="4"/>
      </tp>
      <tp>
        <v>2</v>
        <stp/>
        <stp>e79d5d74-c8bc-46d9-ad6c-586662a46517</stp>
        <tr r="D6" s="3"/>
      </tp>
    </main>
    <main first="rtdsrv.ac31784c2ff24f76a18d50e9eb768484">
      <tp>
        <v>2</v>
        <stp/>
        <stp>e1d132da-bfb0-4651-b1b4-83b66bfa2c3d</stp>
        <tr r="B2" s="6"/>
      </tp>
    </main>
    <main first="rtdsrv.ac31784c2ff24f76a18d50e9eb768484">
      <tp>
        <v>2</v>
        <stp/>
        <stp>80f66b0a-ba75-41c0-9a37-148df7ea4056</stp>
        <tr r="G22" s="4"/>
      </tp>
    </main>
    <main first="rtdsrv.ac31784c2ff24f76a18d50e9eb768484">
      <tp>
        <v>2</v>
        <stp/>
        <stp>16eb1ae2-d5bf-4b8c-b1ea-2744d1db02ec</stp>
        <tr r="P19" s="1"/>
      </tp>
      <tp>
        <v>2</v>
        <stp/>
        <stp>d00b8e37-7c5f-4738-a73d-78f3731fac0b</stp>
        <tr r="G47" s="4"/>
      </tp>
      <tp>
        <v>2</v>
        <stp/>
        <stp>25cc9c9a-d1d2-416f-bab1-6a5ba3f99ea2</stp>
        <tr r="C6" s="6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localhost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S65"/>
  <sheetViews>
    <sheetView zoomScaleNormal="100" workbookViewId="0"/>
  </sheetViews>
  <sheetFormatPr defaultRowHeight="18.75" x14ac:dyDescent="0.4"/>
  <cols>
    <col min="1" max="1" width="2.25" customWidth="1"/>
    <col min="2" max="2" width="11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40.75" customWidth="1"/>
    <col min="17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27</v>
      </c>
      <c r="F1" t="str" cm="1">
        <f t="array" ref="F1">_xll.ExLibris.Json.CreateJsonObjectAsync(E3:F6)</f>
        <v>JsonObject:4377CBE5-903E-41C0-8708-2C00BAB30B30</v>
      </c>
      <c r="K1" t="str">
        <f>EXLIBRIS_CONFIGURATION</f>
        <v>ExLibris.Core.ExLibrisConfiguration:D78B9CD6-39EB-4556-A287-1DB17A92459C</v>
      </c>
    </row>
    <row r="2" spans="2:28" x14ac:dyDescent="0.4">
      <c r="B2" s="5" t="s">
        <v>70</v>
      </c>
      <c r="C2" s="5"/>
    </row>
    <row r="3" spans="2:28" x14ac:dyDescent="0.4">
      <c r="B3" s="6" t="s">
        <v>71</v>
      </c>
      <c r="C3" s="6">
        <f>COUNTIF(AG19:AI57,FALSE)</f>
        <v>0</v>
      </c>
      <c r="E3" t="s">
        <v>15</v>
      </c>
      <c r="F3" t="s">
        <v>17</v>
      </c>
    </row>
    <row r="4" spans="2:28" x14ac:dyDescent="0.4">
      <c r="B4" s="6" t="s">
        <v>72</v>
      </c>
      <c r="C4" s="6">
        <f>COUNTIF(AK20:AP26,FALSE)</f>
        <v>0</v>
      </c>
      <c r="E4" t="s">
        <v>19</v>
      </c>
      <c r="F4" t="s">
        <v>21</v>
      </c>
    </row>
    <row r="5" spans="2:28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8" x14ac:dyDescent="0.4">
      <c r="B6" s="6" t="s">
        <v>75</v>
      </c>
      <c r="C6" s="6">
        <f>COUNTIF(AK29:AP30,FALSE)</f>
        <v>0</v>
      </c>
      <c r="E6" t="s">
        <v>26</v>
      </c>
      <c r="F6" t="str" cm="1">
        <f t="array" ref="F6">_xll.ExLibris.Json.CreateJsonArrayAsync(E8:J14)</f>
        <v>JsonObject:BCCDF93D-F807-4A0A-B910-0C664A8B33AA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v>
      </c>
    </row>
    <row r="7" spans="2:28" x14ac:dyDescent="0.4">
      <c r="B7" s="6" t="s">
        <v>104</v>
      </c>
      <c r="C7" s="6">
        <f>COUNTIF(AR19:AS21,FALSE)</f>
        <v>0</v>
      </c>
      <c r="L7" t="s">
        <v>74</v>
      </c>
      <c r="M7" t="s">
        <v>103</v>
      </c>
    </row>
    <row r="8" spans="2:28" x14ac:dyDescent="0.4">
      <c r="B8" s="6" t="s">
        <v>105</v>
      </c>
      <c r="C8" s="6">
        <f>COUNTIF(AR30:AS65,FALSE)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8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8" s="4" customFormat="1" ht="18" x14ac:dyDescent="0.4">
      <c r="E16" s="4" t="s">
        <v>68</v>
      </c>
      <c r="S16" s="4" t="s">
        <v>69</v>
      </c>
      <c r="AB16" s="4" t="s">
        <v>70</v>
      </c>
    </row>
    <row r="18" spans="5:45" x14ac:dyDescent="0.4">
      <c r="E18" t="s">
        <v>29</v>
      </c>
      <c r="I18" t="s">
        <v>31</v>
      </c>
      <c r="S18" t="s">
        <v>28</v>
      </c>
      <c r="W18" t="s">
        <v>30</v>
      </c>
      <c r="AG18" t="s">
        <v>28</v>
      </c>
      <c r="AK18" t="s">
        <v>30</v>
      </c>
    </row>
    <row r="19" spans="5:45" x14ac:dyDescent="0.4">
      <c r="E19" t="str" cm="1">
        <f t="array" ref="E19:F57">_xll.ExLibris.Json.GetJsonKeyValuesAsync(F1)</f>
        <v>trade_code</v>
      </c>
      <c r="F19" t="str">
        <v>money_00001</v>
      </c>
      <c r="G19" t="str" cm="1">
        <f t="array" ref="G19">_xll.ExLibris.Json.GetJsonValueAsync($F$1,E19)</f>
        <v>money_00001</v>
      </c>
      <c r="I19" t="str" cm="1">
        <f t="array" ref="I19">_xll.ExLibris.Json.GetJsonValueAsync(F1,E6)</f>
        <v>JsonObject:40351396-B243-4DF3-B0A2-813A0A0143E1</v>
      </c>
      <c r="P19" t="str" cm="1">
        <f t="array" ref="P19:Q27">_xll.ExLibris.Json.GetJsonKeyValuesAsync(F1,,3)</f>
        <v>trade_code</v>
      </c>
      <c r="Q19" t="str">
        <v>money_00001</v>
      </c>
      <c r="S19" t="s">
        <v>14</v>
      </c>
      <c r="T19" t="s">
        <v>16</v>
      </c>
      <c r="U19" t="s">
        <v>16</v>
      </c>
      <c r="AD19" t="s">
        <v>14</v>
      </c>
      <c r="AE19" t="s">
        <v>16</v>
      </c>
      <c r="AG19" t="b">
        <f t="shared" ref="AG19:AG57" si="4">E19=S19</f>
        <v>1</v>
      </c>
      <c r="AH19" t="b">
        <f t="shared" ref="AH19:AH57" si="5">E19=S19</f>
        <v>1</v>
      </c>
      <c r="AI19" t="b">
        <f t="shared" ref="AI19:AI57" si="6">F19=T19</f>
        <v>1</v>
      </c>
      <c r="AR19" t="b">
        <f t="shared" ref="AR19:AS21" si="7">P19=AD19</f>
        <v>1</v>
      </c>
      <c r="AS19" t="b">
        <f t="shared" si="7"/>
        <v>1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_xll.ExLibris.Json.GetJsonValueAsync($F$1,E20)</f>
        <v>CP00001</v>
      </c>
      <c r="I20" t="str" cm="1">
        <f t="array" ref="I20:N26">_xll.ExLibris.Json.GetJsonTableAsync(I19)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tr">
        <v>couter_party</v>
      </c>
      <c r="Q20" t="str">
        <v>CP00001</v>
      </c>
      <c r="S20" t="s">
        <v>18</v>
      </c>
      <c r="T20" t="s">
        <v>20</v>
      </c>
      <c r="U20" t="s">
        <v>20</v>
      </c>
      <c r="W20" t="s">
        <v>0</v>
      </c>
      <c r="X20" t="s">
        <v>2</v>
      </c>
      <c r="Y20" t="s">
        <v>4</v>
      </c>
      <c r="Z20" t="s">
        <v>6</v>
      </c>
      <c r="AA20" t="s">
        <v>10</v>
      </c>
      <c r="AB20" t="s">
        <v>12</v>
      </c>
      <c r="AD20" t="s">
        <v>18</v>
      </c>
      <c r="AE20" t="s">
        <v>20</v>
      </c>
      <c r="AG20" t="b">
        <f t="shared" si="4"/>
        <v>1</v>
      </c>
      <c r="AH20" t="b">
        <f t="shared" si="5"/>
        <v>1</v>
      </c>
      <c r="AI20" t="b">
        <f t="shared" si="6"/>
        <v>1</v>
      </c>
      <c r="AK20" t="b">
        <f t="shared" ref="AK20:AP26" si="8">I20=W20</f>
        <v>1</v>
      </c>
      <c r="AL20" t="b">
        <f t="shared" si="8"/>
        <v>1</v>
      </c>
      <c r="AM20" t="b">
        <f t="shared" si="8"/>
        <v>1</v>
      </c>
      <c r="AN20" t="b">
        <f t="shared" si="8"/>
        <v>1</v>
      </c>
      <c r="AO20" t="b">
        <f t="shared" si="8"/>
        <v>1</v>
      </c>
      <c r="AP20" t="b">
        <f t="shared" si="8"/>
        <v>1</v>
      </c>
      <c r="AR20" t="b">
        <f t="shared" si="7"/>
        <v>1</v>
      </c>
      <c r="AS20" t="b">
        <f t="shared" si="7"/>
        <v>1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_xll.ExLibris.Json.GetJsonValueAsync($F$1,E21)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tr">
        <v>fixed_leg.pay_or_recieve</v>
      </c>
      <c r="Q21" t="str">
        <v>Receive</v>
      </c>
      <c r="S21" t="s">
        <v>22</v>
      </c>
      <c r="T21" t="s">
        <v>24</v>
      </c>
      <c r="U21" t="s">
        <v>24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22</v>
      </c>
      <c r="AE21" t="s">
        <v>24</v>
      </c>
      <c r="AG21" t="b">
        <f t="shared" si="4"/>
        <v>1</v>
      </c>
      <c r="AH21" t="b">
        <f t="shared" si="5"/>
        <v>1</v>
      </c>
      <c r="AI21" t="b">
        <f t="shared" si="6"/>
        <v>1</v>
      </c>
      <c r="AK21" t="b">
        <f t="shared" si="8"/>
        <v>1</v>
      </c>
      <c r="AL21" t="b">
        <f t="shared" si="8"/>
        <v>1</v>
      </c>
      <c r="AM21" t="b">
        <f t="shared" si="8"/>
        <v>1</v>
      </c>
      <c r="AN21" t="b">
        <f t="shared" si="8"/>
        <v>1</v>
      </c>
      <c r="AO21" t="b">
        <f t="shared" si="8"/>
        <v>1</v>
      </c>
      <c r="AP21" t="b">
        <f t="shared" si="8"/>
        <v>1</v>
      </c>
      <c r="AR21" t="b">
        <f t="shared" si="7"/>
        <v>1</v>
      </c>
      <c r="AS21" t="b">
        <f t="shared" si="7"/>
        <v>1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_xll.ExLibris.Json.GetJsonValueAsync($F$1,E22)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tr">
        <v>fixed_leg.cashflows.[0]</v>
      </c>
      <c r="Q22" t="str">
        <v>JsonObject:E794C424-24BF-436D-99D2-AA3C0B6DD8EF</v>
      </c>
      <c r="S22" t="s">
        <v>32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6"/>
        <v>1</v>
      </c>
      <c r="AK22" t="b">
        <f t="shared" si="8"/>
        <v>1</v>
      </c>
      <c r="AL22" t="b">
        <f t="shared" si="8"/>
        <v>1</v>
      </c>
      <c r="AM22" t="b">
        <f t="shared" si="8"/>
        <v>1</v>
      </c>
      <c r="AN22" t="b">
        <f t="shared" si="8"/>
        <v>1</v>
      </c>
      <c r="AO22" t="b">
        <f t="shared" si="8"/>
        <v>1</v>
      </c>
      <c r="AP22" t="b">
        <f t="shared" si="8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_xll.ExLibris.Json.GetJsonValueAsync($F$1,E23)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tr">
        <v>fixed_leg.cashflows.[1]</v>
      </c>
      <c r="Q23" t="str">
        <v>JsonObject:3A58BFB2-442B-4BA2-BD4E-B0E4592BA433</v>
      </c>
      <c r="S23" t="s">
        <v>33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6"/>
        <v>1</v>
      </c>
      <c r="AK23" t="b">
        <f t="shared" si="8"/>
        <v>1</v>
      </c>
      <c r="AL23" t="b">
        <f t="shared" si="8"/>
        <v>1</v>
      </c>
      <c r="AM23" t="b">
        <f t="shared" si="8"/>
        <v>1</v>
      </c>
      <c r="AN23" t="b">
        <f t="shared" si="8"/>
        <v>1</v>
      </c>
      <c r="AO23" t="b">
        <f t="shared" si="8"/>
        <v>1</v>
      </c>
      <c r="AP23" t="b">
        <f t="shared" si="8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_xll.ExLibris.Json.GetJsonValueAsync($F$1,E24)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tr">
        <v>fixed_leg.cashflows.[2]</v>
      </c>
      <c r="Q24" t="str">
        <v>JsonObject:4610FB25-481A-46FC-84C5-62C054D9B8D0</v>
      </c>
      <c r="S24" t="s">
        <v>34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6"/>
        <v>1</v>
      </c>
      <c r="AK24" t="b">
        <f t="shared" si="8"/>
        <v>1</v>
      </c>
      <c r="AL24" t="b">
        <f t="shared" si="8"/>
        <v>1</v>
      </c>
      <c r="AM24" t="b">
        <f t="shared" si="8"/>
        <v>1</v>
      </c>
      <c r="AN24" t="b">
        <f t="shared" si="8"/>
        <v>1</v>
      </c>
      <c r="AO24" t="b">
        <f t="shared" si="8"/>
        <v>1</v>
      </c>
      <c r="AP24" t="b">
        <f t="shared" si="8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_xll.ExLibris.Json.GetJsonValueAsync($F$1,E25)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tr">
        <v>fixed_leg.cashflows.[3]</v>
      </c>
      <c r="Q25" t="str">
        <v>JsonObject:0DFCEC7F-32A6-4DDB-A559-C39E94059557</v>
      </c>
      <c r="S25" t="s">
        <v>35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6"/>
        <v>1</v>
      </c>
      <c r="AK25" t="b">
        <f t="shared" si="8"/>
        <v>1</v>
      </c>
      <c r="AL25" t="b">
        <f t="shared" si="8"/>
        <v>1</v>
      </c>
      <c r="AM25" t="b">
        <f t="shared" si="8"/>
        <v>1</v>
      </c>
      <c r="AN25" t="b">
        <f t="shared" si="8"/>
        <v>1</v>
      </c>
      <c r="AO25" t="b">
        <f t="shared" si="8"/>
        <v>1</v>
      </c>
      <c r="AP25" t="b">
        <f t="shared" si="8"/>
        <v>1</v>
      </c>
    </row>
    <row r="26" spans="5:45" x14ac:dyDescent="0.4">
      <c r="E26" t="str">
        <v>fixed_leg.cashflows.[0].amout</v>
      </c>
      <c r="F26">
        <v>10000000</v>
      </c>
      <c r="G26" cm="1">
        <f t="array" ref="G26">_xll.ExLibris.Json.GetJsonValueAsync($F$1,E26)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tr">
        <v>fixed_leg.cashflows.[4]</v>
      </c>
      <c r="Q26" t="str">
        <v>JsonObject:1A847802-9859-41CA-AA6E-1A148B89BB42</v>
      </c>
      <c r="S26" t="s">
        <v>36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6"/>
        <v>1</v>
      </c>
      <c r="AK26" t="b">
        <f t="shared" si="8"/>
        <v>1</v>
      </c>
      <c r="AL26" t="b">
        <f t="shared" si="8"/>
        <v>1</v>
      </c>
      <c r="AM26" t="b">
        <f t="shared" si="8"/>
        <v>1</v>
      </c>
      <c r="AN26" t="b">
        <f t="shared" si="8"/>
        <v>1</v>
      </c>
      <c r="AO26" t="b">
        <f t="shared" si="8"/>
        <v>1</v>
      </c>
      <c r="AP26" t="b">
        <f t="shared" si="8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_xll.ExLibris.Json.GetJsonValueAsync($F$1,E27)</f>
        <v>1E-3</v>
      </c>
      <c r="P27" t="str">
        <v>fixed_leg.cashflows.[5]</v>
      </c>
      <c r="Q27" t="str">
        <v>JsonObject:810B6B5E-DBDE-443A-BE8A-346EDFC3B9CD</v>
      </c>
      <c r="S27" t="s">
        <v>37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6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_xll.ExLibris.Json.GetJsonValueAsync($F$1,E28)</f>
        <v>44812</v>
      </c>
      <c r="I28" t="str" cm="1">
        <f t="array" ref="I28">_xll.ExLibris.Json.GetJsonValueAsync(I19,"[2]")</f>
        <v>JsonObject:BA60CF17-046C-4171-B371-B0FB7A8963A2</v>
      </c>
      <c r="S28" t="s">
        <v>38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6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_xll.ExLibris.Json.GetJsonValueAsync($F$1,E29)</f>
        <v>44632</v>
      </c>
      <c r="I29" t="str" cm="1">
        <f t="array" ref="I29:N30">_xll.ExLibris.Json.GetJsonTableAsync(I28)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tr" cm="1">
        <f t="array" ref="P29">_xll.ExLibris.Json.CreateJsonObjectAsync(P22:Q27)</f>
        <v>JsonObject:67D7A995-6E08-4FD6-A7C4-DC5CB2D56852</v>
      </c>
      <c r="S29" t="s">
        <v>39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10</v>
      </c>
      <c r="AB29" t="s">
        <v>12</v>
      </c>
      <c r="AG29" t="b">
        <f t="shared" si="4"/>
        <v>1</v>
      </c>
      <c r="AH29" t="b">
        <f t="shared" si="5"/>
        <v>1</v>
      </c>
      <c r="AI29" t="b">
        <f t="shared" si="6"/>
        <v>1</v>
      </c>
      <c r="AK29" t="b">
        <f t="shared" ref="AK29:AP30" si="9">I29=W29</f>
        <v>1</v>
      </c>
      <c r="AL29" t="b">
        <f t="shared" si="9"/>
        <v>1</v>
      </c>
      <c r="AM29" t="b">
        <f t="shared" si="9"/>
        <v>1</v>
      </c>
      <c r="AN29" t="b">
        <f t="shared" si="9"/>
        <v>1</v>
      </c>
      <c r="AO29" t="b">
        <f t="shared" si="9"/>
        <v>1</v>
      </c>
      <c r="AP29" t="b">
        <f t="shared" si="9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_xll.ExLibris.Json.GetJsonValueAsync($F$1,E30)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tr" cm="1">
        <f t="array" ref="P30:Q65">_xll.ExLibris.Json.GetJsonKeyValuesAsync(P29)</f>
        <v>fixed_leg.cashflows.[0].payment _date</v>
      </c>
      <c r="Q30">
        <v>44632</v>
      </c>
      <c r="S30" t="s">
        <v>40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32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6"/>
        <v>1</v>
      </c>
      <c r="AK30" t="b">
        <f t="shared" si="9"/>
        <v>1</v>
      </c>
      <c r="AL30" t="b">
        <f t="shared" si="9"/>
        <v>1</v>
      </c>
      <c r="AM30" t="b">
        <f t="shared" si="9"/>
        <v>1</v>
      </c>
      <c r="AN30" t="b">
        <f t="shared" si="9"/>
        <v>1</v>
      </c>
      <c r="AO30" t="b">
        <f t="shared" si="9"/>
        <v>1</v>
      </c>
      <c r="AP30" t="b">
        <f t="shared" si="9"/>
        <v>1</v>
      </c>
      <c r="AR30" t="b">
        <f t="shared" ref="AR30:AR64" si="10">P30=AD30</f>
        <v>1</v>
      </c>
      <c r="AS30" t="b">
        <f t="shared" ref="AS30:AS64" si="11">Q30=AE30</f>
        <v>1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_xll.ExLibris.Json.GetJsonValueAsync($F$1,E31)</f>
        <v>ACT/360</v>
      </c>
      <c r="P31" t="str">
        <v>fixed_leg.cashflows.[0].start_date</v>
      </c>
      <c r="Q31">
        <v>44452</v>
      </c>
      <c r="S31" t="s">
        <v>41</v>
      </c>
      <c r="T31" t="s">
        <v>8</v>
      </c>
      <c r="U31" t="s">
        <v>8</v>
      </c>
      <c r="AD31" t="s">
        <v>33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6"/>
        <v>1</v>
      </c>
      <c r="AR31" t="b">
        <f t="shared" si="10"/>
        <v>1</v>
      </c>
      <c r="AS31" t="b">
        <f t="shared" si="11"/>
        <v>1</v>
      </c>
    </row>
    <row r="32" spans="5:45" x14ac:dyDescent="0.4">
      <c r="E32" t="str">
        <v>fixed_leg.cashflows.[1].amout</v>
      </c>
      <c r="F32">
        <v>11000000</v>
      </c>
      <c r="G32" cm="1">
        <f t="array" ref="G32">_xll.ExLibris.Json.GetJsonValueAsync($F$1,E32)</f>
        <v>11000000</v>
      </c>
      <c r="P32" t="str">
        <v>fixed_leg.cashflows.[0].end_date</v>
      </c>
      <c r="Q32">
        <v>44632</v>
      </c>
      <c r="S32" t="s">
        <v>42</v>
      </c>
      <c r="T32">
        <v>11000000</v>
      </c>
      <c r="U32">
        <v>11000000</v>
      </c>
      <c r="AD32" t="s">
        <v>34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6"/>
        <v>1</v>
      </c>
      <c r="AR32" t="b">
        <f t="shared" si="10"/>
        <v>1</v>
      </c>
      <c r="AS32" t="b">
        <f t="shared" si="11"/>
        <v>1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_xll.ExLibris.Json.GetJsonValueAsync($F$1,E33)</f>
        <v>1E-3</v>
      </c>
      <c r="P33" t="str">
        <v>fixed_leg.cashflows.[0].day_count_type</v>
      </c>
      <c r="Q33" t="str">
        <v>ACT/360</v>
      </c>
      <c r="S33" t="s">
        <v>43</v>
      </c>
      <c r="T33">
        <v>1E-3</v>
      </c>
      <c r="U33">
        <v>1E-3</v>
      </c>
      <c r="AD33" t="s">
        <v>35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6"/>
        <v>1</v>
      </c>
      <c r="AR33" t="b">
        <f t="shared" si="10"/>
        <v>1</v>
      </c>
      <c r="AS33" t="b">
        <f t="shared" si="11"/>
        <v>1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_xll.ExLibris.Json.GetJsonValueAsync($F$1,E34)</f>
        <v>44992</v>
      </c>
      <c r="P34" t="str">
        <v>fixed_leg.cashflows.[0].amout</v>
      </c>
      <c r="Q34">
        <v>10000000</v>
      </c>
      <c r="S34" t="s">
        <v>44</v>
      </c>
      <c r="T34">
        <v>44992</v>
      </c>
      <c r="U34">
        <v>44992</v>
      </c>
      <c r="AD34" t="s">
        <v>36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6"/>
        <v>1</v>
      </c>
      <c r="AR34" t="b">
        <f t="shared" si="10"/>
        <v>1</v>
      </c>
      <c r="AS34" t="b">
        <f t="shared" si="11"/>
        <v>1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_xll.ExLibris.Json.GetJsonValueAsync($F$1,E35)</f>
        <v>44812</v>
      </c>
      <c r="P35" t="str">
        <v>fixed_leg.cashflows.[0].fixed_rate</v>
      </c>
      <c r="Q35">
        <v>1E-3</v>
      </c>
      <c r="S35" t="s">
        <v>45</v>
      </c>
      <c r="T35">
        <v>44812</v>
      </c>
      <c r="U35">
        <v>44812</v>
      </c>
      <c r="AD35" t="s">
        <v>37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6"/>
        <v>1</v>
      </c>
      <c r="AR35" t="b">
        <f t="shared" si="10"/>
        <v>1</v>
      </c>
      <c r="AS35" t="b">
        <f t="shared" si="11"/>
        <v>1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_xll.ExLibris.Json.GetJsonValueAsync($F$1,E36)</f>
        <v>44992</v>
      </c>
      <c r="P36" t="str">
        <v>fixed_leg.cashflows.[1].payment _date</v>
      </c>
      <c r="Q36">
        <v>44812</v>
      </c>
      <c r="S36" t="s">
        <v>46</v>
      </c>
      <c r="T36">
        <v>44992</v>
      </c>
      <c r="U36">
        <v>44992</v>
      </c>
      <c r="AD36" t="s">
        <v>38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6"/>
        <v>1</v>
      </c>
      <c r="AR36" t="b">
        <f t="shared" si="10"/>
        <v>1</v>
      </c>
      <c r="AS36" t="b">
        <f t="shared" si="11"/>
        <v>1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_xll.ExLibris.Json.GetJsonValueAsync($F$1,E37)</f>
        <v>ACT/360</v>
      </c>
      <c r="P37" t="str">
        <v>fixed_leg.cashflows.[1].start_date</v>
      </c>
      <c r="Q37">
        <v>44632</v>
      </c>
      <c r="S37" t="s">
        <v>47</v>
      </c>
      <c r="T37" t="s">
        <v>8</v>
      </c>
      <c r="U37" t="s">
        <v>8</v>
      </c>
      <c r="AD37" t="s">
        <v>39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6"/>
        <v>1</v>
      </c>
      <c r="AR37" t="b">
        <f t="shared" si="10"/>
        <v>1</v>
      </c>
      <c r="AS37" t="b">
        <f t="shared" si="11"/>
        <v>1</v>
      </c>
    </row>
    <row r="38" spans="5:45" x14ac:dyDescent="0.4">
      <c r="E38" t="str">
        <v>fixed_leg.cashflows.[2].amout</v>
      </c>
      <c r="F38">
        <v>12000000</v>
      </c>
      <c r="G38" cm="1">
        <f t="array" ref="G38">_xll.ExLibris.Json.GetJsonValueAsync($F$1,E38)</f>
        <v>12000000</v>
      </c>
      <c r="P38" t="str">
        <v>fixed_leg.cashflows.[1].end_date</v>
      </c>
      <c r="Q38">
        <v>44812</v>
      </c>
      <c r="S38" t="s">
        <v>48</v>
      </c>
      <c r="T38">
        <v>12000000</v>
      </c>
      <c r="U38">
        <v>12000000</v>
      </c>
      <c r="AD38" t="s">
        <v>40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6"/>
        <v>1</v>
      </c>
      <c r="AR38" t="b">
        <f t="shared" si="10"/>
        <v>1</v>
      </c>
      <c r="AS38" t="b">
        <f t="shared" si="11"/>
        <v>1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_xll.ExLibris.Json.GetJsonValueAsync($F$1,E39)</f>
        <v>1E-3</v>
      </c>
      <c r="P39" t="str">
        <v>fixed_leg.cashflows.[1].day_count_type</v>
      </c>
      <c r="Q39" t="str">
        <v>ACT/360</v>
      </c>
      <c r="S39" t="s">
        <v>49</v>
      </c>
      <c r="T39">
        <v>1E-3</v>
      </c>
      <c r="U39">
        <v>1E-3</v>
      </c>
      <c r="AD39" t="s">
        <v>41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6"/>
        <v>1</v>
      </c>
      <c r="AR39" t="b">
        <f t="shared" si="10"/>
        <v>1</v>
      </c>
      <c r="AS39" t="b">
        <f t="shared" si="11"/>
        <v>1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_xll.ExLibris.Json.GetJsonValueAsync($F$1,E40)</f>
        <v>45172</v>
      </c>
      <c r="P40" t="str">
        <v>fixed_leg.cashflows.[1].amout</v>
      </c>
      <c r="Q40">
        <v>11000000</v>
      </c>
      <c r="S40" t="s">
        <v>50</v>
      </c>
      <c r="T40">
        <v>45172</v>
      </c>
      <c r="U40">
        <v>45172</v>
      </c>
      <c r="AD40" t="s">
        <v>42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6"/>
        <v>1</v>
      </c>
      <c r="AR40" t="b">
        <f t="shared" si="10"/>
        <v>1</v>
      </c>
      <c r="AS40" t="b">
        <f t="shared" si="11"/>
        <v>1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_xll.ExLibris.Json.GetJsonValueAsync($F$1,E41)</f>
        <v>44992</v>
      </c>
      <c r="P41" t="str">
        <v>fixed_leg.cashflows.[1].fixed_rate</v>
      </c>
      <c r="Q41">
        <v>1E-3</v>
      </c>
      <c r="S41" t="s">
        <v>51</v>
      </c>
      <c r="T41">
        <v>44992</v>
      </c>
      <c r="U41">
        <v>44992</v>
      </c>
      <c r="AD41" t="s">
        <v>43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6"/>
        <v>1</v>
      </c>
      <c r="AR41" t="b">
        <f t="shared" si="10"/>
        <v>1</v>
      </c>
      <c r="AS41" t="b">
        <f t="shared" si="11"/>
        <v>1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_xll.ExLibris.Json.GetJsonValueAsync($F$1,E42)</f>
        <v>45172</v>
      </c>
      <c r="P42" t="str">
        <v>fixed_leg.cashflows.[2].payment _date</v>
      </c>
      <c r="Q42">
        <v>44992</v>
      </c>
      <c r="S42" t="s">
        <v>52</v>
      </c>
      <c r="T42">
        <v>45172</v>
      </c>
      <c r="U42">
        <v>45172</v>
      </c>
      <c r="AD42" t="s">
        <v>44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6"/>
        <v>1</v>
      </c>
      <c r="AR42" t="b">
        <f t="shared" si="10"/>
        <v>1</v>
      </c>
      <c r="AS42" t="b">
        <f t="shared" si="11"/>
        <v>1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_xll.ExLibris.Json.GetJsonValueAsync($F$1,E43)</f>
        <v>ACT/360</v>
      </c>
      <c r="P43" t="str">
        <v>fixed_leg.cashflows.[2].start_date</v>
      </c>
      <c r="Q43">
        <v>44812</v>
      </c>
      <c r="S43" t="s">
        <v>53</v>
      </c>
      <c r="T43" t="s">
        <v>8</v>
      </c>
      <c r="U43" t="s">
        <v>8</v>
      </c>
      <c r="AD43" t="s">
        <v>45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6"/>
        <v>1</v>
      </c>
      <c r="AR43" t="b">
        <f t="shared" si="10"/>
        <v>1</v>
      </c>
      <c r="AS43" t="b">
        <f t="shared" si="11"/>
        <v>1</v>
      </c>
    </row>
    <row r="44" spans="5:45" x14ac:dyDescent="0.4">
      <c r="E44" t="str">
        <v>fixed_leg.cashflows.[3].amout</v>
      </c>
      <c r="F44">
        <v>13000000</v>
      </c>
      <c r="G44" cm="1">
        <f t="array" ref="G44">_xll.ExLibris.Json.GetJsonValueAsync($F$1,E44)</f>
        <v>13000000</v>
      </c>
      <c r="P44" t="str">
        <v>fixed_leg.cashflows.[2].end_date</v>
      </c>
      <c r="Q44">
        <v>44992</v>
      </c>
      <c r="S44" t="s">
        <v>54</v>
      </c>
      <c r="T44">
        <v>13000000</v>
      </c>
      <c r="U44">
        <v>13000000</v>
      </c>
      <c r="AD44" t="s">
        <v>46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6"/>
        <v>1</v>
      </c>
      <c r="AR44" t="b">
        <f t="shared" si="10"/>
        <v>1</v>
      </c>
      <c r="AS44" t="b">
        <f t="shared" si="11"/>
        <v>1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_xll.ExLibris.Json.GetJsonValueAsync($F$1,E45)</f>
        <v>1E-3</v>
      </c>
      <c r="P45" t="str">
        <v>fixed_leg.cashflows.[2].day_count_type</v>
      </c>
      <c r="Q45" t="str">
        <v>ACT/360</v>
      </c>
      <c r="S45" t="s">
        <v>55</v>
      </c>
      <c r="T45">
        <v>1E-3</v>
      </c>
      <c r="U45">
        <v>1E-3</v>
      </c>
      <c r="AD45" t="s">
        <v>47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6"/>
        <v>1</v>
      </c>
      <c r="AR45" t="b">
        <f t="shared" si="10"/>
        <v>1</v>
      </c>
      <c r="AS45" t="b">
        <f t="shared" si="11"/>
        <v>1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_xll.ExLibris.Json.GetJsonValueAsync($F$1,E46)</f>
        <v>45352</v>
      </c>
      <c r="P46" t="str">
        <v>fixed_leg.cashflows.[2].amout</v>
      </c>
      <c r="Q46">
        <v>12000000</v>
      </c>
      <c r="S46" t="s">
        <v>56</v>
      </c>
      <c r="T46">
        <v>45352</v>
      </c>
      <c r="U46">
        <v>45352</v>
      </c>
      <c r="AD46" t="s">
        <v>48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6"/>
        <v>1</v>
      </c>
      <c r="AR46" t="b">
        <f t="shared" si="10"/>
        <v>1</v>
      </c>
      <c r="AS46" t="b">
        <f t="shared" si="11"/>
        <v>1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_xll.ExLibris.Json.GetJsonValueAsync($F$1,E47)</f>
        <v>45172</v>
      </c>
      <c r="P47" t="str">
        <v>fixed_leg.cashflows.[2].fixed_rate</v>
      </c>
      <c r="Q47">
        <v>1E-3</v>
      </c>
      <c r="S47" t="s">
        <v>57</v>
      </c>
      <c r="T47">
        <v>45172</v>
      </c>
      <c r="U47">
        <v>45172</v>
      </c>
      <c r="AD47" t="s">
        <v>49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6"/>
        <v>1</v>
      </c>
      <c r="AR47" t="b">
        <f t="shared" si="10"/>
        <v>1</v>
      </c>
      <c r="AS47" t="b">
        <f t="shared" si="11"/>
        <v>1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_xll.ExLibris.Json.GetJsonValueAsync($F$1,E48)</f>
        <v>45352</v>
      </c>
      <c r="P48" t="str">
        <v>fixed_leg.cashflows.[3].payment _date</v>
      </c>
      <c r="Q48">
        <v>45172</v>
      </c>
      <c r="S48" t="s">
        <v>58</v>
      </c>
      <c r="T48">
        <v>45352</v>
      </c>
      <c r="U48">
        <v>45352</v>
      </c>
      <c r="AD48" t="s">
        <v>50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6"/>
        <v>1</v>
      </c>
      <c r="AR48" t="b">
        <f t="shared" si="10"/>
        <v>1</v>
      </c>
      <c r="AS48" t="b">
        <f t="shared" si="11"/>
        <v>1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_xll.ExLibris.Json.GetJsonValueAsync($F$1,E49)</f>
        <v>ACT/360</v>
      </c>
      <c r="P49" t="str">
        <v>fixed_leg.cashflows.[3].start_date</v>
      </c>
      <c r="Q49">
        <v>44992</v>
      </c>
      <c r="S49" t="s">
        <v>59</v>
      </c>
      <c r="T49" t="s">
        <v>8</v>
      </c>
      <c r="U49" t="s">
        <v>8</v>
      </c>
      <c r="AD49" t="s">
        <v>51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6"/>
        <v>1</v>
      </c>
      <c r="AR49" t="b">
        <f t="shared" si="10"/>
        <v>1</v>
      </c>
      <c r="AS49" t="b">
        <f t="shared" si="11"/>
        <v>1</v>
      </c>
    </row>
    <row r="50" spans="5:45" x14ac:dyDescent="0.4">
      <c r="E50" t="str">
        <v>fixed_leg.cashflows.[4].amout</v>
      </c>
      <c r="F50">
        <v>14000000</v>
      </c>
      <c r="G50" cm="1">
        <f t="array" ref="G50">_xll.ExLibris.Json.GetJsonValueAsync($F$1,E50)</f>
        <v>14000000</v>
      </c>
      <c r="P50" t="str">
        <v>fixed_leg.cashflows.[3].end_date</v>
      </c>
      <c r="Q50">
        <v>45172</v>
      </c>
      <c r="S50" t="s">
        <v>60</v>
      </c>
      <c r="T50">
        <v>14000000</v>
      </c>
      <c r="U50">
        <v>14000000</v>
      </c>
      <c r="AD50" t="s">
        <v>52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6"/>
        <v>1</v>
      </c>
      <c r="AR50" t="b">
        <f t="shared" si="10"/>
        <v>1</v>
      </c>
      <c r="AS50" t="b">
        <f t="shared" si="11"/>
        <v>1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_xll.ExLibris.Json.GetJsonValueAsync($F$1,E51)</f>
        <v>1E-3</v>
      </c>
      <c r="P51" t="str">
        <v>fixed_leg.cashflows.[3].day_count_type</v>
      </c>
      <c r="Q51" t="str">
        <v>ACT/360</v>
      </c>
      <c r="S51" t="s">
        <v>61</v>
      </c>
      <c r="T51">
        <v>1E-3</v>
      </c>
      <c r="U51">
        <v>1E-3</v>
      </c>
      <c r="AD51" t="s">
        <v>53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6"/>
        <v>1</v>
      </c>
      <c r="AR51" t="b">
        <f t="shared" si="10"/>
        <v>1</v>
      </c>
      <c r="AS51" t="b">
        <f t="shared" si="11"/>
        <v>1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_xll.ExLibris.Json.GetJsonValueAsync($F$1,E52)</f>
        <v>45532</v>
      </c>
      <c r="P52" t="str">
        <v>fixed_leg.cashflows.[3].amout</v>
      </c>
      <c r="Q52">
        <v>13000000</v>
      </c>
      <c r="S52" t="s">
        <v>62</v>
      </c>
      <c r="T52">
        <v>45532</v>
      </c>
      <c r="U52">
        <v>45532</v>
      </c>
      <c r="AD52" t="s">
        <v>54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6"/>
        <v>1</v>
      </c>
      <c r="AR52" t="b">
        <f t="shared" si="10"/>
        <v>1</v>
      </c>
      <c r="AS52" t="b">
        <f t="shared" si="11"/>
        <v>1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_xll.ExLibris.Json.GetJsonValueAsync($F$1,E53)</f>
        <v>45352</v>
      </c>
      <c r="P53" t="str">
        <v>fixed_leg.cashflows.[3].fixed_rate</v>
      </c>
      <c r="Q53">
        <v>1E-3</v>
      </c>
      <c r="S53" t="s">
        <v>63</v>
      </c>
      <c r="T53">
        <v>45352</v>
      </c>
      <c r="U53">
        <v>45352</v>
      </c>
      <c r="AD53" t="s">
        <v>55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6"/>
        <v>1</v>
      </c>
      <c r="AR53" t="b">
        <f t="shared" si="10"/>
        <v>1</v>
      </c>
      <c r="AS53" t="b">
        <f t="shared" si="11"/>
        <v>1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_xll.ExLibris.Json.GetJsonValueAsync($F$1,E54)</f>
        <v>45532</v>
      </c>
      <c r="P54" t="str">
        <v>fixed_leg.cashflows.[4].payment _date</v>
      </c>
      <c r="Q54">
        <v>45352</v>
      </c>
      <c r="S54" t="s">
        <v>64</v>
      </c>
      <c r="T54">
        <v>45532</v>
      </c>
      <c r="U54">
        <v>45532</v>
      </c>
      <c r="AD54" t="s">
        <v>56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6"/>
        <v>1</v>
      </c>
      <c r="AR54" t="b">
        <f t="shared" si="10"/>
        <v>1</v>
      </c>
      <c r="AS54" t="b">
        <f t="shared" si="11"/>
        <v>1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_xll.ExLibris.Json.GetJsonValueAsync($F$1,E55)</f>
        <v>ACT/360</v>
      </c>
      <c r="P55" t="str">
        <v>fixed_leg.cashflows.[4].start_date</v>
      </c>
      <c r="Q55">
        <v>45172</v>
      </c>
      <c r="S55" t="s">
        <v>65</v>
      </c>
      <c r="T55" t="s">
        <v>8</v>
      </c>
      <c r="U55" t="s">
        <v>8</v>
      </c>
      <c r="AD55" t="s">
        <v>57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6"/>
        <v>1</v>
      </c>
      <c r="AR55" t="b">
        <f t="shared" si="10"/>
        <v>1</v>
      </c>
      <c r="AS55" t="b">
        <f t="shared" si="11"/>
        <v>1</v>
      </c>
    </row>
    <row r="56" spans="5:45" x14ac:dyDescent="0.4">
      <c r="E56" t="str">
        <v>fixed_leg.cashflows.[5].amout</v>
      </c>
      <c r="F56">
        <v>15000000</v>
      </c>
      <c r="G56" cm="1">
        <f t="array" ref="G56">_xll.ExLibris.Json.GetJsonValueAsync($F$1,E56)</f>
        <v>15000000</v>
      </c>
      <c r="P56" t="str">
        <v>fixed_leg.cashflows.[4].end_date</v>
      </c>
      <c r="Q56">
        <v>45352</v>
      </c>
      <c r="S56" t="s">
        <v>66</v>
      </c>
      <c r="T56">
        <v>15000000</v>
      </c>
      <c r="U56">
        <v>15000000</v>
      </c>
      <c r="AD56" t="s">
        <v>58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6"/>
        <v>1</v>
      </c>
      <c r="AR56" t="b">
        <f t="shared" si="10"/>
        <v>1</v>
      </c>
      <c r="AS56" t="b">
        <f t="shared" si="11"/>
        <v>1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_xll.ExLibris.Json.GetJsonValueAsync($F$1,E57)</f>
        <v>1E-3</v>
      </c>
      <c r="P57" t="str">
        <v>fixed_leg.cashflows.[4].day_count_type</v>
      </c>
      <c r="Q57" t="str">
        <v>ACT/360</v>
      </c>
      <c r="S57" t="s">
        <v>67</v>
      </c>
      <c r="T57">
        <v>1E-3</v>
      </c>
      <c r="U57">
        <v>1E-3</v>
      </c>
      <c r="AD57" t="s">
        <v>59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6"/>
        <v>1</v>
      </c>
      <c r="AR57" t="b">
        <f t="shared" si="10"/>
        <v>1</v>
      </c>
      <c r="AS57" t="b">
        <f t="shared" si="11"/>
        <v>1</v>
      </c>
    </row>
    <row r="58" spans="5:45" x14ac:dyDescent="0.4">
      <c r="P58" t="str">
        <v>fixed_leg.cashflows.[4].amout</v>
      </c>
      <c r="Q58">
        <v>14000000</v>
      </c>
      <c r="AD58" t="s">
        <v>60</v>
      </c>
      <c r="AE58">
        <v>14000000</v>
      </c>
      <c r="AR58" t="b">
        <f t="shared" si="10"/>
        <v>1</v>
      </c>
      <c r="AS58" t="b">
        <f t="shared" si="11"/>
        <v>1</v>
      </c>
    </row>
    <row r="59" spans="5:45" x14ac:dyDescent="0.4">
      <c r="P59" t="str">
        <v>fixed_leg.cashflows.[4].fixed_rate</v>
      </c>
      <c r="Q59">
        <v>1E-3</v>
      </c>
      <c r="AD59" t="s">
        <v>61</v>
      </c>
      <c r="AE59">
        <v>1E-3</v>
      </c>
      <c r="AR59" t="b">
        <f t="shared" si="10"/>
        <v>1</v>
      </c>
      <c r="AS59" t="b">
        <f t="shared" si="11"/>
        <v>1</v>
      </c>
    </row>
    <row r="60" spans="5:45" x14ac:dyDescent="0.4">
      <c r="P60" t="str">
        <v>fixed_leg.cashflows.[5].payment _date</v>
      </c>
      <c r="Q60">
        <v>45532</v>
      </c>
      <c r="AD60" t="s">
        <v>62</v>
      </c>
      <c r="AE60">
        <v>45532</v>
      </c>
      <c r="AR60" t="b">
        <f t="shared" si="10"/>
        <v>1</v>
      </c>
      <c r="AS60" t="b">
        <f t="shared" si="11"/>
        <v>1</v>
      </c>
    </row>
    <row r="61" spans="5:45" x14ac:dyDescent="0.4">
      <c r="P61" t="str">
        <v>fixed_leg.cashflows.[5].start_date</v>
      </c>
      <c r="Q61">
        <v>45352</v>
      </c>
      <c r="AD61" t="s">
        <v>63</v>
      </c>
      <c r="AE61">
        <v>45352</v>
      </c>
      <c r="AR61" t="b">
        <f t="shared" si="10"/>
        <v>1</v>
      </c>
      <c r="AS61" t="b">
        <f t="shared" si="11"/>
        <v>1</v>
      </c>
    </row>
    <row r="62" spans="5:45" x14ac:dyDescent="0.4">
      <c r="P62" t="str">
        <v>fixed_leg.cashflows.[5].end_date</v>
      </c>
      <c r="Q62">
        <v>45532</v>
      </c>
      <c r="AD62" t="s">
        <v>64</v>
      </c>
      <c r="AE62">
        <v>45532</v>
      </c>
      <c r="AR62" t="b">
        <f t="shared" si="10"/>
        <v>1</v>
      </c>
      <c r="AS62" t="b">
        <f t="shared" si="11"/>
        <v>1</v>
      </c>
    </row>
    <row r="63" spans="5:45" x14ac:dyDescent="0.4">
      <c r="P63" t="str">
        <v>fixed_leg.cashflows.[5].day_count_type</v>
      </c>
      <c r="Q63" t="str">
        <v>ACT/360</v>
      </c>
      <c r="AD63" t="s">
        <v>65</v>
      </c>
      <c r="AE63" t="s">
        <v>8</v>
      </c>
      <c r="AR63" t="b">
        <f t="shared" si="10"/>
        <v>1</v>
      </c>
      <c r="AS63" t="b">
        <f t="shared" si="11"/>
        <v>1</v>
      </c>
    </row>
    <row r="64" spans="5:45" x14ac:dyDescent="0.4">
      <c r="P64" t="str">
        <v>fixed_leg.cashflows.[5].amout</v>
      </c>
      <c r="Q64">
        <v>15000000</v>
      </c>
      <c r="AD64" t="s">
        <v>66</v>
      </c>
      <c r="AE64">
        <v>15000000</v>
      </c>
      <c r="AR64" t="b">
        <f t="shared" si="10"/>
        <v>1</v>
      </c>
      <c r="AS64" t="b">
        <f t="shared" si="11"/>
        <v>1</v>
      </c>
    </row>
    <row r="65" spans="16:45" x14ac:dyDescent="0.4">
      <c r="P65" t="str">
        <v>fixed_leg.cashflows.[5].fixed_rate</v>
      </c>
      <c r="Q65">
        <v>1E-3</v>
      </c>
      <c r="AD65" t="s">
        <v>67</v>
      </c>
      <c r="AE65">
        <v>1E-3</v>
      </c>
      <c r="AR65" t="b">
        <f>P65=AD65</f>
        <v>1</v>
      </c>
      <c r="AS65" t="b">
        <f>Q65=AE65</f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ED89E-C884-4680-AA73-D86C4BBD7CCE}">
  <dimension ref="B1:AJ57"/>
  <sheetViews>
    <sheetView zoomScaleNormal="100" workbookViewId="0"/>
  </sheetViews>
  <sheetFormatPr defaultRowHeight="18.75" x14ac:dyDescent="0.4"/>
  <cols>
    <col min="1" max="1" width="2.25" customWidth="1"/>
    <col min="2" max="2" width="1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_xll.ExLibris.Json.CreateJsonObjectAsync(E3:F6, EXLIBRIS_CONFIGURATION)</f>
        <v>JsonObject:27744EFA-8A48-41F0-A534-D7253E7BCD2F</v>
      </c>
      <c r="K1" t="str">
        <f>EXLIBRIS_CONFIGURATION</f>
        <v>ExLibris.Core.ExLibrisConfiguration:D78B9CD6-39EB-4556-A287-1DB17A92459C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75</v>
      </c>
      <c r="C6" s="6">
        <f>COUNTIF(AE29:AJ30,FALSE)</f>
        <v>0</v>
      </c>
      <c r="E6" t="s">
        <v>26</v>
      </c>
      <c r="F6" t="str" cm="1">
        <f t="array" ref="F6">_xll.ExLibris.Json.CreateJsonArrayAsync(E8:J14, EXLIBRIS_CONFIGURATION)</f>
        <v>JsonObject:EBF3B86E-9BCF-4030-A0CF-A90C9F8203FB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v>
      </c>
    </row>
    <row r="7" spans="2:25" x14ac:dyDescent="0.4">
      <c r="B7" s="6" t="s">
        <v>108</v>
      </c>
      <c r="C7" s="6">
        <f>COUNTIF(AE34:AJ36,FALSE)</f>
        <v>0</v>
      </c>
      <c r="L7" t="s">
        <v>74</v>
      </c>
      <c r="M7" t="s">
        <v>106</v>
      </c>
    </row>
    <row r="8" spans="2:25" x14ac:dyDescent="0.4">
      <c r="B8" s="6" t="s">
        <v>109</v>
      </c>
      <c r="C8" s="6">
        <f>COUNTIF(AE39:AJ40,FALSE)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B9" s="6" t="s">
        <v>110</v>
      </c>
      <c r="C9" s="6">
        <f>COUNTIF(AE43,FALSE)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</f>
        <v>10000000</v>
      </c>
      <c r="J10" s="3">
        <f>J9+0.0001</f>
        <v>1.1000000000000001E-3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3" si="3">I10+1000000</f>
        <v>11000000</v>
      </c>
      <c r="J11" s="3">
        <f t="shared" ref="J11:J14" si="4">J10+0.0001</f>
        <v>1.2000000000000001E-3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>I11</f>
        <v>11000000</v>
      </c>
      <c r="J12" s="3">
        <f t="shared" si="4"/>
        <v>1.3000000000000002E-3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12000000</v>
      </c>
      <c r="J13" s="3">
        <f t="shared" si="4"/>
        <v>1.4000000000000002E-3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>I13</f>
        <v>12000000</v>
      </c>
      <c r="J14" s="3">
        <f t="shared" si="4"/>
        <v>1.5000000000000002E-3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_xll.ExLibris.Json.GetJsonKeyValuesAsync(F1, EXLIBRIS_CONFIGURATION)</f>
        <v>trade_code</v>
      </c>
      <c r="F19" t="str">
        <v>money_00001</v>
      </c>
      <c r="G19" t="str" cm="1">
        <f t="array" ref="G19">_xll.ExLibris.Json.GetJsonValueAsync($F$1,E19, EXLIBRIS_CONFIGURATION)</f>
        <v>money_00001</v>
      </c>
      <c r="I19" t="str" cm="1">
        <f t="array" ref="I19">_xll.ExLibris.Json.GetJsonValueAsync(F1,E6, EXLIBRIS_CONFIGURATION)</f>
        <v>JsonObject:0DCCE3C2-3BB1-49C4-AA22-9DB27DAA1632</v>
      </c>
      <c r="P19" t="s">
        <v>14</v>
      </c>
      <c r="Q19" t="s">
        <v>16</v>
      </c>
      <c r="R19" t="s">
        <v>16</v>
      </c>
      <c r="AA19" t="b">
        <f t="shared" ref="AA19:AA57" si="5">E19=P19</f>
        <v>1</v>
      </c>
      <c r="AB19" t="b">
        <f t="shared" ref="AB19:AC57" si="6">E19=P19</f>
        <v>1</v>
      </c>
      <c r="AC19" t="b">
        <f t="shared" si="6"/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_xll.ExLibris.Json.GetJsonValueAsync($F$1,E20, EXLIBRIS_CONFIGURATION)</f>
        <v>CP00001</v>
      </c>
      <c r="I20" t="str" cm="1">
        <f t="array" ref="I20:N26">_xll.ExLibris.Json.GetJsonTableAsync(I19, 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5"/>
        <v>1</v>
      </c>
      <c r="AB20" t="b">
        <f t="shared" si="6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_xll.ExLibris.Json.GetJsonValueAsync($F$1,E21, EXLIBRIS_CONFIGURATION)</f>
        <v>Receive</v>
      </c>
      <c r="I21" t="str">
        <v>2022-03-12</v>
      </c>
      <c r="J21" t="str">
        <v>2021-09-13</v>
      </c>
      <c r="K21" t="str">
        <v>2022-03-12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 t="s">
        <v>93</v>
      </c>
      <c r="U21" t="s">
        <v>94</v>
      </c>
      <c r="V21" t="s">
        <v>93</v>
      </c>
      <c r="W21" t="s">
        <v>8</v>
      </c>
      <c r="X21">
        <v>10000000</v>
      </c>
      <c r="Y21">
        <v>1E-3</v>
      </c>
      <c r="AA21" t="b">
        <f t="shared" si="5"/>
        <v>1</v>
      </c>
      <c r="AB21" t="b">
        <f t="shared" si="6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 t="str">
        <v>2022-03-12</v>
      </c>
      <c r="G22" t="str" cm="1">
        <f t="array" ref="G22">_xll.ExLibris.Json.GetJsonValueAsync($F$1,E22, EXLIBRIS_CONFIGURATION)</f>
        <v>2022-03-12</v>
      </c>
      <c r="I22" t="str">
        <v>2022-09-08</v>
      </c>
      <c r="J22" t="str">
        <v>2022-03-12</v>
      </c>
      <c r="K22" t="str">
        <v>2022-09-08</v>
      </c>
      <c r="L22" t="str">
        <v>ACT/360</v>
      </c>
      <c r="M22">
        <v>10000000</v>
      </c>
      <c r="N22">
        <v>1.1000000000000001E-3</v>
      </c>
      <c r="P22" t="s">
        <v>32</v>
      </c>
      <c r="Q22" t="s">
        <v>93</v>
      </c>
      <c r="R22" t="s">
        <v>93</v>
      </c>
      <c r="T22" t="s">
        <v>95</v>
      </c>
      <c r="U22" t="s">
        <v>93</v>
      </c>
      <c r="V22" t="s">
        <v>95</v>
      </c>
      <c r="W22" t="s">
        <v>8</v>
      </c>
      <c r="X22">
        <v>10000000</v>
      </c>
      <c r="Y22">
        <v>1.1000000000000001E-3</v>
      </c>
      <c r="AA22" t="b">
        <f t="shared" si="5"/>
        <v>1</v>
      </c>
      <c r="AB22" t="b">
        <f t="shared" si="6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 t="str">
        <v>2021-09-13</v>
      </c>
      <c r="G23" t="str" cm="1">
        <f t="array" ref="G23">_xll.ExLibris.Json.GetJsonValueAsync($F$1,E23, EXLIBRIS_CONFIGURATION)</f>
        <v>2021-09-13</v>
      </c>
      <c r="I23" t="str">
        <v>2023-03-07</v>
      </c>
      <c r="J23" t="str">
        <v>2022-09-08</v>
      </c>
      <c r="K23" t="str">
        <v>2023-03-07</v>
      </c>
      <c r="L23" t="str">
        <v>ACT/360</v>
      </c>
      <c r="M23">
        <v>11000000</v>
      </c>
      <c r="N23">
        <v>1.2000000000000001E-3</v>
      </c>
      <c r="P23" t="s">
        <v>33</v>
      </c>
      <c r="Q23" t="s">
        <v>94</v>
      </c>
      <c r="R23" t="s">
        <v>94</v>
      </c>
      <c r="T23" t="s">
        <v>96</v>
      </c>
      <c r="U23" t="s">
        <v>95</v>
      </c>
      <c r="V23" t="s">
        <v>96</v>
      </c>
      <c r="W23" t="s">
        <v>8</v>
      </c>
      <c r="X23">
        <v>11000000</v>
      </c>
      <c r="Y23">
        <v>1.2000000000000001E-3</v>
      </c>
      <c r="AA23" t="b">
        <f t="shared" si="5"/>
        <v>1</v>
      </c>
      <c r="AB23" t="b">
        <f t="shared" si="6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 t="str">
        <v>2022-03-12</v>
      </c>
      <c r="G24" t="str" cm="1">
        <f t="array" ref="G24">_xll.ExLibris.Json.GetJsonValueAsync($F$1,E24, EXLIBRIS_CONFIGURATION)</f>
        <v>2022-03-12</v>
      </c>
      <c r="I24" t="str">
        <v>2023-09-03</v>
      </c>
      <c r="J24" t="str">
        <v>2023-03-07</v>
      </c>
      <c r="K24" t="str">
        <v>2023-09-03</v>
      </c>
      <c r="L24" t="str">
        <v>ACT/360</v>
      </c>
      <c r="M24">
        <v>11000000</v>
      </c>
      <c r="N24">
        <v>1.3000000000000002E-3</v>
      </c>
      <c r="P24" t="s">
        <v>34</v>
      </c>
      <c r="Q24" t="s">
        <v>93</v>
      </c>
      <c r="R24" t="s">
        <v>93</v>
      </c>
      <c r="T24" t="s">
        <v>97</v>
      </c>
      <c r="U24" t="s">
        <v>96</v>
      </c>
      <c r="V24" t="s">
        <v>97</v>
      </c>
      <c r="W24" t="s">
        <v>8</v>
      </c>
      <c r="X24">
        <v>11000000</v>
      </c>
      <c r="Y24">
        <v>1.3000000000000002E-3</v>
      </c>
      <c r="AA24" t="b">
        <f t="shared" si="5"/>
        <v>1</v>
      </c>
      <c r="AB24" t="b">
        <f t="shared" si="6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_xll.ExLibris.Json.GetJsonValueAsync($F$1,E25, EXLIBRIS_CONFIGURATION)</f>
        <v>ACT/360</v>
      </c>
      <c r="I25" t="str">
        <v>2024-03-01</v>
      </c>
      <c r="J25" t="str">
        <v>2023-09-03</v>
      </c>
      <c r="K25" t="str">
        <v>2024-03-01</v>
      </c>
      <c r="L25" t="str">
        <v>ACT/360</v>
      </c>
      <c r="M25">
        <v>12000000</v>
      </c>
      <c r="N25">
        <v>1.4000000000000002E-3</v>
      </c>
      <c r="P25" t="s">
        <v>35</v>
      </c>
      <c r="Q25" t="s">
        <v>8</v>
      </c>
      <c r="R25" t="s">
        <v>8</v>
      </c>
      <c r="T25" t="s">
        <v>98</v>
      </c>
      <c r="U25" t="s">
        <v>97</v>
      </c>
      <c r="V25" t="s">
        <v>98</v>
      </c>
      <c r="W25" t="s">
        <v>8</v>
      </c>
      <c r="X25">
        <v>12000000</v>
      </c>
      <c r="Y25">
        <v>1.4000000000000002E-3</v>
      </c>
      <c r="AA25" t="b">
        <f t="shared" si="5"/>
        <v>1</v>
      </c>
      <c r="AB25" t="b">
        <f t="shared" si="6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_xll.ExLibris.Json.GetJsonValueAsync($F$1,E26, EXLIBRIS_CONFIGURATION)</f>
        <v>10000000</v>
      </c>
      <c r="I26" t="str">
        <v>2024-08-28</v>
      </c>
      <c r="J26" t="str">
        <v>2024-03-01</v>
      </c>
      <c r="K26" t="str">
        <v>2024-08-28</v>
      </c>
      <c r="L26" t="str">
        <v>ACT/360</v>
      </c>
      <c r="M26">
        <v>12000000</v>
      </c>
      <c r="N26">
        <v>1.5000000000000002E-3</v>
      </c>
      <c r="P26" t="s">
        <v>36</v>
      </c>
      <c r="Q26">
        <v>10000000</v>
      </c>
      <c r="R26">
        <v>10000000</v>
      </c>
      <c r="T26" t="s">
        <v>99</v>
      </c>
      <c r="U26" t="s">
        <v>98</v>
      </c>
      <c r="V26" t="s">
        <v>99</v>
      </c>
      <c r="W26" t="s">
        <v>8</v>
      </c>
      <c r="X26">
        <v>12000000</v>
      </c>
      <c r="Y26">
        <v>1.5000000000000002E-3</v>
      </c>
      <c r="AA26" t="b">
        <f t="shared" si="5"/>
        <v>1</v>
      </c>
      <c r="AB26" t="b">
        <f t="shared" si="6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_xll.ExLibris.Json.GetJsonValueAsync($F$1,E27, EXLIBRIS_CONFIGURATION)</f>
        <v>1E-3</v>
      </c>
      <c r="P27" t="s">
        <v>37</v>
      </c>
      <c r="Q27">
        <v>1E-3</v>
      </c>
      <c r="R27">
        <v>1E-3</v>
      </c>
      <c r="AA27" t="b">
        <f t="shared" si="5"/>
        <v>1</v>
      </c>
      <c r="AB27" t="b">
        <f t="shared" si="6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 t="str">
        <v>2022-09-08</v>
      </c>
      <c r="G28" t="str" cm="1">
        <f t="array" ref="G28">_xll.ExLibris.Json.GetJsonValueAsync($F$1,E28, EXLIBRIS_CONFIGURATION)</f>
        <v>2022-09-08</v>
      </c>
      <c r="I28" t="str" cm="1">
        <f t="array" ref="I28">_xll.ExLibris.Json.GetJsonValueAsync(I19,"[2]", EXLIBRIS_CONFIGURATION)</f>
        <v>JsonObject:84711D99-A440-447D-B0B5-C73047062A67</v>
      </c>
      <c r="P28" t="s">
        <v>38</v>
      </c>
      <c r="Q28" t="s">
        <v>95</v>
      </c>
      <c r="R28" t="s">
        <v>95</v>
      </c>
      <c r="AA28" t="b">
        <f t="shared" si="5"/>
        <v>1</v>
      </c>
      <c r="AB28" t="b">
        <f t="shared" si="6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 t="str">
        <v>2022-03-12</v>
      </c>
      <c r="G29" t="str" cm="1">
        <f t="array" ref="G29">_xll.ExLibris.Json.GetJsonValueAsync($F$1,E29, EXLIBRIS_CONFIGURATION)</f>
        <v>2022-03-12</v>
      </c>
      <c r="I29" t="str" cm="1">
        <f t="array" ref="I29:N30">_xll.ExLibris.Json.GetJsonTableAsync(I28, 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 t="s">
        <v>93</v>
      </c>
      <c r="R29" t="s">
        <v>93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5"/>
        <v>1</v>
      </c>
      <c r="AB29" t="b">
        <f t="shared" si="6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 t="str">
        <v>2022-09-08</v>
      </c>
      <c r="G30" t="str" cm="1">
        <f t="array" ref="G30">_xll.ExLibris.Json.GetJsonValueAsync($F$1,E30, EXLIBRIS_CONFIGURATION)</f>
        <v>2022-09-08</v>
      </c>
      <c r="I30" t="str">
        <v>2023-03-07</v>
      </c>
      <c r="J30" t="str">
        <v>2022-09-08</v>
      </c>
      <c r="K30" t="str">
        <v>2023-03-07</v>
      </c>
      <c r="L30" t="str">
        <v>ACT/360</v>
      </c>
      <c r="M30">
        <v>11000000</v>
      </c>
      <c r="N30">
        <v>1.2000000000000001E-3</v>
      </c>
      <c r="P30" t="s">
        <v>40</v>
      </c>
      <c r="Q30" t="s">
        <v>95</v>
      </c>
      <c r="R30" t="s">
        <v>95</v>
      </c>
      <c r="T30" t="s">
        <v>96</v>
      </c>
      <c r="U30" t="s">
        <v>95</v>
      </c>
      <c r="V30" t="s">
        <v>96</v>
      </c>
      <c r="W30" t="s">
        <v>8</v>
      </c>
      <c r="X30">
        <v>11000000</v>
      </c>
      <c r="Y30">
        <v>1.2000000000000001E-3</v>
      </c>
      <c r="AA30" t="b">
        <f t="shared" si="5"/>
        <v>1</v>
      </c>
      <c r="AB30" t="b">
        <f t="shared" si="6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_xll.ExLibris.Json.GetJsonValueAsync($F$1,E31, EXLIBRIS_CONFIGURATION)</f>
        <v>ACT/360</v>
      </c>
      <c r="P31" t="s">
        <v>41</v>
      </c>
      <c r="Q31" t="s">
        <v>8</v>
      </c>
      <c r="R31" t="s">
        <v>8</v>
      </c>
      <c r="AA31" t="b">
        <f t="shared" si="5"/>
        <v>1</v>
      </c>
      <c r="AB31" t="b">
        <f t="shared" si="6"/>
        <v>1</v>
      </c>
      <c r="AC31" t="b">
        <f t="shared" si="6"/>
        <v>1</v>
      </c>
    </row>
    <row r="32" spans="5:36" x14ac:dyDescent="0.4">
      <c r="E32" t="str">
        <v>fixed_leg.cashflows.[1].amout</v>
      </c>
      <c r="F32">
        <v>10000000</v>
      </c>
      <c r="G32" cm="1">
        <f t="array" ref="G32">_xll.ExLibris.Json.GetJsonValueAsync($F$1,E32, EXLIBRIS_CONFIGURATION)</f>
        <v>10000000</v>
      </c>
      <c r="I32" t="str" cm="1">
        <f t="array" ref="I32">_xll.ExLibris.Json.GetJsonValueAsync(F1,E6,EXLIBRIS_CONFIGURATION)</f>
        <v>JsonObject:0DCCE3C2-3BB1-49C4-AA22-9DB27DAA1632</v>
      </c>
      <c r="P32" t="s">
        <v>42</v>
      </c>
      <c r="Q32">
        <v>10000000</v>
      </c>
      <c r="R32">
        <v>10000000</v>
      </c>
      <c r="AA32" t="b">
        <f t="shared" si="5"/>
        <v>1</v>
      </c>
      <c r="AB32" t="b">
        <f t="shared" si="6"/>
        <v>1</v>
      </c>
      <c r="AC32" t="b">
        <f t="shared" si="6"/>
        <v>1</v>
      </c>
    </row>
    <row r="33" spans="5:36" x14ac:dyDescent="0.4">
      <c r="E33" t="str">
        <v>fixed_leg.cashflows.[1].fixed_rate</v>
      </c>
      <c r="F33">
        <v>1.1000000000000001E-3</v>
      </c>
      <c r="G33" cm="1">
        <f t="array" ref="G33">_xll.ExLibris.Json.GetJsonValueAsync($F$1,E33, EXLIBRIS_CONFIGURATION)</f>
        <v>1.1000000000000001E-3</v>
      </c>
      <c r="I33" t="str" cm="1">
        <f t="array" ref="I33">_xll.ExLibris.Json.SeachJsonArrayElementsAsync(I32,I8,I11,EXLIBRIS_CONFIGURATION)</f>
        <v>JsonObject:D4C939F4-2C7B-46CC-8A8D-0B7F7C6B1D1C</v>
      </c>
      <c r="P33" t="s">
        <v>43</v>
      </c>
      <c r="Q33">
        <v>1.1000000000000001E-3</v>
      </c>
      <c r="R33">
        <v>1.1000000000000001E-3</v>
      </c>
      <c r="AA33" t="b">
        <f t="shared" si="5"/>
        <v>1</v>
      </c>
      <c r="AB33" t="b">
        <f t="shared" si="6"/>
        <v>1</v>
      </c>
      <c r="AC33" t="b">
        <f t="shared" si="6"/>
        <v>1</v>
      </c>
    </row>
    <row r="34" spans="5:36" x14ac:dyDescent="0.4">
      <c r="E34" t="str">
        <v>fixed_leg.cashflows.[2].payment _date</v>
      </c>
      <c r="F34" t="str">
        <v>2023-03-07</v>
      </c>
      <c r="G34" t="str" cm="1">
        <f t="array" ref="G34">_xll.ExLibris.Json.GetJsonValueAsync($F$1,E34, EXLIBRIS_CONFIGURATION)</f>
        <v>2023-03-07</v>
      </c>
      <c r="I34" t="str" cm="1">
        <f t="array" ref="I34:N36">_xll.ExLibris.Json.GetJsonTableAsync(I33, EXLIBRIS_CONFIGURATION)</f>
        <v>payment _date</v>
      </c>
      <c r="J34" t="str">
        <v>start_date</v>
      </c>
      <c r="K34" t="str">
        <v>end_date</v>
      </c>
      <c r="L34" t="str">
        <v>day_count_type</v>
      </c>
      <c r="M34" t="str">
        <v>amout</v>
      </c>
      <c r="N34" t="str">
        <v>fixed_rate</v>
      </c>
      <c r="P34" t="s">
        <v>44</v>
      </c>
      <c r="Q34" t="s">
        <v>96</v>
      </c>
      <c r="R34" t="s">
        <v>96</v>
      </c>
      <c r="T34" t="s">
        <v>0</v>
      </c>
      <c r="U34" t="s">
        <v>2</v>
      </c>
      <c r="V34" t="s">
        <v>4</v>
      </c>
      <c r="W34" t="s">
        <v>6</v>
      </c>
      <c r="X34" t="s">
        <v>10</v>
      </c>
      <c r="Y34" t="s">
        <v>12</v>
      </c>
      <c r="AA34" t="b">
        <f t="shared" si="5"/>
        <v>1</v>
      </c>
      <c r="AB34" t="b">
        <f t="shared" si="6"/>
        <v>1</v>
      </c>
      <c r="AC34" t="b">
        <f t="shared" si="6"/>
        <v>1</v>
      </c>
      <c r="AE34" t="b">
        <f t="shared" ref="AE34:AE36" si="9">I34=T34</f>
        <v>1</v>
      </c>
      <c r="AF34" t="b">
        <f t="shared" ref="AF34:AF36" si="10">J34=U34</f>
        <v>1</v>
      </c>
      <c r="AG34" t="b">
        <f t="shared" ref="AG34:AG36" si="11">K34=V34</f>
        <v>1</v>
      </c>
      <c r="AH34" t="b">
        <f t="shared" ref="AH34:AH36" si="12">L34=W34</f>
        <v>1</v>
      </c>
      <c r="AI34" t="b">
        <f t="shared" ref="AI34:AI36" si="13">M34=X34</f>
        <v>1</v>
      </c>
      <c r="AJ34" t="b">
        <f t="shared" ref="AJ34:AJ36" si="14">N34=Y34</f>
        <v>1</v>
      </c>
    </row>
    <row r="35" spans="5:36" x14ac:dyDescent="0.4">
      <c r="E35" t="str">
        <v>fixed_leg.cashflows.[2].start_date</v>
      </c>
      <c r="F35" t="str">
        <v>2022-09-08</v>
      </c>
      <c r="G35" t="str" cm="1">
        <f t="array" ref="G35">_xll.ExLibris.Json.GetJsonValueAsync($F$1,E35, EXLIBRIS_CONFIGURATION)</f>
        <v>2022-09-08</v>
      </c>
      <c r="I35" t="str">
        <v>2023-03-07</v>
      </c>
      <c r="J35" t="str">
        <v>2022-09-08</v>
      </c>
      <c r="K35" t="str">
        <v>2023-03-07</v>
      </c>
      <c r="L35" t="str">
        <v>ACT/360</v>
      </c>
      <c r="M35">
        <v>11000000</v>
      </c>
      <c r="N35">
        <v>1.2000000000000001E-3</v>
      </c>
      <c r="P35" t="s">
        <v>45</v>
      </c>
      <c r="Q35" t="s">
        <v>95</v>
      </c>
      <c r="R35" t="s">
        <v>95</v>
      </c>
      <c r="T35" t="s">
        <v>96</v>
      </c>
      <c r="U35" t="s">
        <v>95</v>
      </c>
      <c r="V35" t="s">
        <v>96</v>
      </c>
      <c r="W35" t="s">
        <v>8</v>
      </c>
      <c r="X35">
        <v>11000000</v>
      </c>
      <c r="Y35">
        <v>1.2000000000000001E-3</v>
      </c>
      <c r="AA35" t="b">
        <f t="shared" si="5"/>
        <v>1</v>
      </c>
      <c r="AB35" t="b">
        <f t="shared" si="6"/>
        <v>1</v>
      </c>
      <c r="AC35" t="b">
        <f t="shared" si="6"/>
        <v>1</v>
      </c>
      <c r="AE35" t="b">
        <f t="shared" si="9"/>
        <v>1</v>
      </c>
      <c r="AF35" t="b">
        <f t="shared" si="10"/>
        <v>1</v>
      </c>
      <c r="AG35" t="b">
        <f t="shared" si="11"/>
        <v>1</v>
      </c>
      <c r="AH35" t="b">
        <f t="shared" si="12"/>
        <v>1</v>
      </c>
      <c r="AI35" t="b">
        <f t="shared" si="13"/>
        <v>1</v>
      </c>
      <c r="AJ35" t="b">
        <f t="shared" si="14"/>
        <v>1</v>
      </c>
    </row>
    <row r="36" spans="5:36" x14ac:dyDescent="0.4">
      <c r="E36" t="str">
        <v>fixed_leg.cashflows.[2].end_date</v>
      </c>
      <c r="F36" t="str">
        <v>2023-03-07</v>
      </c>
      <c r="G36" t="str" cm="1">
        <f t="array" ref="G36">_xll.ExLibris.Json.GetJsonValueAsync($F$1,E36, EXLIBRIS_CONFIGURATION)</f>
        <v>2023-03-07</v>
      </c>
      <c r="I36" t="str">
        <v>2023-09-03</v>
      </c>
      <c r="J36" t="str">
        <v>2023-03-07</v>
      </c>
      <c r="K36" t="str">
        <v>2023-09-03</v>
      </c>
      <c r="L36" t="str">
        <v>ACT/360</v>
      </c>
      <c r="M36">
        <v>11000000</v>
      </c>
      <c r="N36">
        <v>1.3000000000000002E-3</v>
      </c>
      <c r="P36" t="s">
        <v>46</v>
      </c>
      <c r="Q36" t="s">
        <v>96</v>
      </c>
      <c r="R36" t="s">
        <v>96</v>
      </c>
      <c r="T36" t="s">
        <v>97</v>
      </c>
      <c r="U36" t="s">
        <v>96</v>
      </c>
      <c r="V36" t="s">
        <v>97</v>
      </c>
      <c r="W36" t="s">
        <v>8</v>
      </c>
      <c r="X36">
        <v>11000000</v>
      </c>
      <c r="Y36">
        <v>1.3000000000000002E-3</v>
      </c>
      <c r="AA36" t="b">
        <f t="shared" si="5"/>
        <v>1</v>
      </c>
      <c r="AB36" t="b">
        <f t="shared" si="6"/>
        <v>1</v>
      </c>
      <c r="AC36" t="b">
        <f t="shared" si="6"/>
        <v>1</v>
      </c>
      <c r="AE36" t="b">
        <f t="shared" si="9"/>
        <v>1</v>
      </c>
      <c r="AF36" t="b">
        <f t="shared" si="10"/>
        <v>1</v>
      </c>
      <c r="AG36" t="b">
        <f t="shared" si="11"/>
        <v>1</v>
      </c>
      <c r="AH36" t="b">
        <f t="shared" si="12"/>
        <v>1</v>
      </c>
      <c r="AI36" t="b">
        <f t="shared" si="13"/>
        <v>1</v>
      </c>
      <c r="AJ36" t="b">
        <f t="shared" si="14"/>
        <v>1</v>
      </c>
    </row>
    <row r="37" spans="5:36" x14ac:dyDescent="0.4">
      <c r="E37" t="str">
        <v>fixed_leg.cashflows.[2].day_count_type</v>
      </c>
      <c r="F37" t="str">
        <v>ACT/360</v>
      </c>
      <c r="G37" t="str" cm="1">
        <f t="array" ref="G37">_xll.ExLibris.Json.GetJsonValueAsync($F$1,E37, EXLIBRIS_CONFIGURATION)</f>
        <v>ACT/360</v>
      </c>
      <c r="P37" t="s">
        <v>47</v>
      </c>
      <c r="Q37" t="s">
        <v>8</v>
      </c>
      <c r="R37" t="s">
        <v>8</v>
      </c>
      <c r="AA37" t="b">
        <f t="shared" si="5"/>
        <v>1</v>
      </c>
      <c r="AB37" t="b">
        <f t="shared" si="6"/>
        <v>1</v>
      </c>
      <c r="AC37" t="b">
        <f t="shared" si="6"/>
        <v>1</v>
      </c>
    </row>
    <row r="38" spans="5:36" x14ac:dyDescent="0.4">
      <c r="E38" t="str">
        <v>fixed_leg.cashflows.[2].amout</v>
      </c>
      <c r="F38">
        <v>11000000</v>
      </c>
      <c r="G38" cm="1">
        <f t="array" ref="G38">_xll.ExLibris.Json.GetJsonValueAsync($F$1,E38, EXLIBRIS_CONFIGURATION)</f>
        <v>11000000</v>
      </c>
      <c r="I38" t="str" cm="1">
        <f t="array" ref="I38">_xll.ExLibris.Json.SeachJsonArrayElementsAsync(I32,J8,J11,EXLIBRIS_CONFIGURATION)</f>
        <v>JsonObject:FBD3C5D9-0412-48CC-A1A9-BB568F002CEB</v>
      </c>
      <c r="P38" t="s">
        <v>48</v>
      </c>
      <c r="Q38">
        <v>11000000</v>
      </c>
      <c r="R38">
        <v>11000000</v>
      </c>
      <c r="AA38" t="b">
        <f t="shared" si="5"/>
        <v>1</v>
      </c>
      <c r="AB38" t="b">
        <f t="shared" si="6"/>
        <v>1</v>
      </c>
      <c r="AC38" t="b">
        <f t="shared" si="6"/>
        <v>1</v>
      </c>
    </row>
    <row r="39" spans="5:36" x14ac:dyDescent="0.4">
      <c r="E39" t="str">
        <v>fixed_leg.cashflows.[2].fixed_rate</v>
      </c>
      <c r="F39">
        <v>1.2000000000000001E-3</v>
      </c>
      <c r="G39" cm="1">
        <f t="array" ref="G39">_xll.ExLibris.Json.GetJsonValueAsync($F$1,E39, EXLIBRIS_CONFIGURATION)</f>
        <v>1.2000000000000001E-3</v>
      </c>
      <c r="I39" t="str" cm="1">
        <f t="array" ref="I39:N40">_xll.ExLibris.Json.GetJsonTableAsync(I38, EXLIBRIS_CONFIGURATION)</f>
        <v>payment _date</v>
      </c>
      <c r="J39" t="str">
        <v>start_date</v>
      </c>
      <c r="K39" t="str">
        <v>end_date</v>
      </c>
      <c r="L39" t="str">
        <v>day_count_type</v>
      </c>
      <c r="M39" t="str">
        <v>amout</v>
      </c>
      <c r="N39" t="str">
        <v>fixed_rate</v>
      </c>
      <c r="P39" t="s">
        <v>49</v>
      </c>
      <c r="Q39">
        <v>1.2000000000000001E-3</v>
      </c>
      <c r="R39">
        <v>1.2000000000000001E-3</v>
      </c>
      <c r="T39" t="s">
        <v>0</v>
      </c>
      <c r="U39" t="s">
        <v>2</v>
      </c>
      <c r="V39" t="s">
        <v>4</v>
      </c>
      <c r="W39" t="s">
        <v>6</v>
      </c>
      <c r="X39" t="s">
        <v>10</v>
      </c>
      <c r="Y39" t="s">
        <v>12</v>
      </c>
      <c r="AA39" t="b">
        <f t="shared" si="5"/>
        <v>1</v>
      </c>
      <c r="AB39" t="b">
        <f t="shared" si="6"/>
        <v>1</v>
      </c>
      <c r="AC39" t="b">
        <f t="shared" si="6"/>
        <v>1</v>
      </c>
      <c r="AE39" t="b">
        <f t="shared" ref="AE39:AE40" si="15">I39=T39</f>
        <v>1</v>
      </c>
      <c r="AF39" t="b">
        <f t="shared" ref="AF39:AF40" si="16">J39=U39</f>
        <v>1</v>
      </c>
      <c r="AG39" t="b">
        <f t="shared" ref="AG39:AG40" si="17">K39=V39</f>
        <v>1</v>
      </c>
      <c r="AH39" t="b">
        <f t="shared" ref="AH39:AH40" si="18">L39=W39</f>
        <v>1</v>
      </c>
      <c r="AI39" t="b">
        <f t="shared" ref="AI39:AI40" si="19">M39=X39</f>
        <v>1</v>
      </c>
      <c r="AJ39" t="b">
        <f t="shared" ref="AJ39:AJ40" si="20">N39=Y39</f>
        <v>1</v>
      </c>
    </row>
    <row r="40" spans="5:36" x14ac:dyDescent="0.4">
      <c r="E40" t="str">
        <v>fixed_leg.cashflows.[3].payment _date</v>
      </c>
      <c r="F40" t="str">
        <v>2023-09-03</v>
      </c>
      <c r="G40" t="str" cm="1">
        <f t="array" ref="G40">_xll.ExLibris.Json.GetJsonValueAsync($F$1,E40, EXLIBRIS_CONFIGURATION)</f>
        <v>2023-09-03</v>
      </c>
      <c r="I40" t="str">
        <v>2023-03-07</v>
      </c>
      <c r="J40" t="str">
        <v>2022-09-08</v>
      </c>
      <c r="K40" t="str">
        <v>2023-03-07</v>
      </c>
      <c r="L40" t="str">
        <v>ACT/360</v>
      </c>
      <c r="M40">
        <v>11000000</v>
      </c>
      <c r="N40">
        <v>1.2000000000000001E-3</v>
      </c>
      <c r="P40" t="s">
        <v>50</v>
      </c>
      <c r="Q40" t="s">
        <v>97</v>
      </c>
      <c r="R40" t="s">
        <v>97</v>
      </c>
      <c r="T40" t="s">
        <v>96</v>
      </c>
      <c r="U40" t="s">
        <v>95</v>
      </c>
      <c r="V40" t="s">
        <v>96</v>
      </c>
      <c r="W40" t="s">
        <v>8</v>
      </c>
      <c r="X40">
        <v>11000000</v>
      </c>
      <c r="Y40">
        <v>1.2000000000000001E-3</v>
      </c>
      <c r="AA40" t="b">
        <f t="shared" si="5"/>
        <v>1</v>
      </c>
      <c r="AB40" t="b">
        <f t="shared" si="6"/>
        <v>1</v>
      </c>
      <c r="AC40" t="b">
        <f t="shared" si="6"/>
        <v>1</v>
      </c>
      <c r="AE40" t="b">
        <f t="shared" si="15"/>
        <v>1</v>
      </c>
      <c r="AF40" t="b">
        <f t="shared" si="16"/>
        <v>1</v>
      </c>
      <c r="AG40" t="b">
        <f t="shared" si="17"/>
        <v>1</v>
      </c>
      <c r="AH40" t="b">
        <f t="shared" si="18"/>
        <v>1</v>
      </c>
      <c r="AI40" t="b">
        <f t="shared" si="19"/>
        <v>1</v>
      </c>
      <c r="AJ40" t="b">
        <f t="shared" si="20"/>
        <v>1</v>
      </c>
    </row>
    <row r="41" spans="5:36" x14ac:dyDescent="0.4">
      <c r="E41" t="str">
        <v>fixed_leg.cashflows.[3].start_date</v>
      </c>
      <c r="F41" t="str">
        <v>2023-03-07</v>
      </c>
      <c r="G41" t="str" cm="1">
        <f t="array" ref="G41">_xll.ExLibris.Json.GetJsonValueAsync($F$1,E41, EXLIBRIS_CONFIGURATION)</f>
        <v>2023-03-07</v>
      </c>
      <c r="P41" t="s">
        <v>51</v>
      </c>
      <c r="Q41" t="s">
        <v>96</v>
      </c>
      <c r="R41" t="s">
        <v>96</v>
      </c>
      <c r="AA41" t="b">
        <f t="shared" si="5"/>
        <v>1</v>
      </c>
      <c r="AB41" t="b">
        <f t="shared" si="6"/>
        <v>1</v>
      </c>
      <c r="AC41" t="b">
        <f t="shared" si="6"/>
        <v>1</v>
      </c>
    </row>
    <row r="42" spans="5:36" x14ac:dyDescent="0.4">
      <c r="E42" t="str">
        <v>fixed_leg.cashflows.[3].end_date</v>
      </c>
      <c r="F42" t="str">
        <v>2023-09-03</v>
      </c>
      <c r="G42" t="str" cm="1">
        <f t="array" ref="G42">_xll.ExLibris.Json.GetJsonValueAsync($F$1,E42, EXLIBRIS_CONFIGURATION)</f>
        <v>2023-09-03</v>
      </c>
      <c r="I42" t="str" cm="1">
        <f t="array" ref="I42">_xll.ExLibris.Json.SeachJsonArrayElementsAsync(I32,J8,,EXLIBRIS_CONFIGURATION)</f>
        <v>JsonObject:C523796C-9622-47B4-A8E4-B6BE7425EEB1</v>
      </c>
      <c r="P42" t="s">
        <v>52</v>
      </c>
      <c r="Q42" t="s">
        <v>97</v>
      </c>
      <c r="R42" t="s">
        <v>97</v>
      </c>
      <c r="AA42" t="b">
        <f t="shared" si="5"/>
        <v>1</v>
      </c>
      <c r="AB42" t="b">
        <f t="shared" si="6"/>
        <v>1</v>
      </c>
      <c r="AC42" t="b">
        <f t="shared" si="6"/>
        <v>1</v>
      </c>
    </row>
    <row r="43" spans="5:36" x14ac:dyDescent="0.4">
      <c r="E43" t="str">
        <v>fixed_leg.cashflows.[3].day_count_type</v>
      </c>
      <c r="F43" t="str">
        <v>ACT/360</v>
      </c>
      <c r="G43" t="str" cm="1">
        <f t="array" ref="G43">_xll.ExLibris.Json.GetJsonValueAsync($F$1,E43, EXLIBRIS_CONFIGURATION)</f>
        <v>ACT/360</v>
      </c>
      <c r="I43" t="str" cm="1">
        <f t="array" ref="I43">_xll.ExLibris.Json.GetJsonTableAsync(I42, EXLIBRIS_CONFIGURATION)</f>
        <v/>
      </c>
      <c r="P43" t="s">
        <v>53</v>
      </c>
      <c r="Q43" t="s">
        <v>8</v>
      </c>
      <c r="R43" t="s">
        <v>8</v>
      </c>
      <c r="T43" t="s">
        <v>107</v>
      </c>
      <c r="AA43" t="b">
        <f t="shared" si="5"/>
        <v>1</v>
      </c>
      <c r="AB43" t="b">
        <f t="shared" si="6"/>
        <v>1</v>
      </c>
      <c r="AC43" t="b">
        <f t="shared" si="6"/>
        <v>1</v>
      </c>
      <c r="AE43" t="b">
        <f t="shared" ref="AE43" si="21">I43=T43</f>
        <v>1</v>
      </c>
    </row>
    <row r="44" spans="5:36" x14ac:dyDescent="0.4">
      <c r="E44" t="str">
        <v>fixed_leg.cashflows.[3].amout</v>
      </c>
      <c r="F44">
        <v>11000000</v>
      </c>
      <c r="G44" cm="1">
        <f t="array" ref="G44">_xll.ExLibris.Json.GetJsonValueAsync($F$1,E44, EXLIBRIS_CONFIGURATION)</f>
        <v>11000000</v>
      </c>
      <c r="P44" t="s">
        <v>54</v>
      </c>
      <c r="Q44">
        <v>11000000</v>
      </c>
      <c r="R44">
        <v>11000000</v>
      </c>
      <c r="AA44" t="b">
        <f t="shared" si="5"/>
        <v>1</v>
      </c>
      <c r="AB44" t="b">
        <f t="shared" si="6"/>
        <v>1</v>
      </c>
      <c r="AC44" t="b">
        <f t="shared" si="6"/>
        <v>1</v>
      </c>
    </row>
    <row r="45" spans="5:36" x14ac:dyDescent="0.4">
      <c r="E45" t="str">
        <v>fixed_leg.cashflows.[3].fixed_rate</v>
      </c>
      <c r="F45">
        <v>1.3000000000000002E-3</v>
      </c>
      <c r="G45" cm="1">
        <f t="array" ref="G45">_xll.ExLibris.Json.GetJsonValueAsync($F$1,E45, EXLIBRIS_CONFIGURATION)</f>
        <v>1.3000000000000002E-3</v>
      </c>
      <c r="P45" t="s">
        <v>55</v>
      </c>
      <c r="Q45">
        <v>1.3000000000000002E-3</v>
      </c>
      <c r="R45">
        <v>1.3000000000000002E-3</v>
      </c>
      <c r="AA45" t="b">
        <f t="shared" si="5"/>
        <v>1</v>
      </c>
      <c r="AB45" t="b">
        <f t="shared" si="6"/>
        <v>1</v>
      </c>
      <c r="AC45" t="b">
        <f t="shared" si="6"/>
        <v>1</v>
      </c>
    </row>
    <row r="46" spans="5:36" x14ac:dyDescent="0.4">
      <c r="E46" t="str">
        <v>fixed_leg.cashflows.[4].payment _date</v>
      </c>
      <c r="F46" t="str">
        <v>2024-03-01</v>
      </c>
      <c r="G46" t="str" cm="1">
        <f t="array" ref="G46">_xll.ExLibris.Json.GetJsonValueAsync($F$1,E46, EXLIBRIS_CONFIGURATION)</f>
        <v>2024-03-01</v>
      </c>
      <c r="P46" t="s">
        <v>56</v>
      </c>
      <c r="Q46" t="s">
        <v>98</v>
      </c>
      <c r="R46" t="s">
        <v>98</v>
      </c>
      <c r="AA46" t="b">
        <f t="shared" si="5"/>
        <v>1</v>
      </c>
      <c r="AB46" t="b">
        <f t="shared" si="6"/>
        <v>1</v>
      </c>
      <c r="AC46" t="b">
        <f t="shared" si="6"/>
        <v>1</v>
      </c>
    </row>
    <row r="47" spans="5:36" x14ac:dyDescent="0.4">
      <c r="E47" t="str">
        <v>fixed_leg.cashflows.[4].start_date</v>
      </c>
      <c r="F47" t="str">
        <v>2023-09-03</v>
      </c>
      <c r="G47" t="str" cm="1">
        <f t="array" ref="G47">_xll.ExLibris.Json.GetJsonValueAsync($F$1,E47, EXLIBRIS_CONFIGURATION)</f>
        <v>2023-09-03</v>
      </c>
      <c r="P47" t="s">
        <v>57</v>
      </c>
      <c r="Q47" t="s">
        <v>97</v>
      </c>
      <c r="R47" t="s">
        <v>97</v>
      </c>
      <c r="AA47" t="b">
        <f t="shared" si="5"/>
        <v>1</v>
      </c>
      <c r="AB47" t="b">
        <f t="shared" si="6"/>
        <v>1</v>
      </c>
      <c r="AC47" t="b">
        <f t="shared" si="6"/>
        <v>1</v>
      </c>
    </row>
    <row r="48" spans="5:36" x14ac:dyDescent="0.4">
      <c r="E48" t="str">
        <v>fixed_leg.cashflows.[4].end_date</v>
      </c>
      <c r="F48" t="str">
        <v>2024-03-01</v>
      </c>
      <c r="G48" t="str" cm="1">
        <f t="array" ref="G48">_xll.ExLibris.Json.GetJsonValueAsync($F$1,E48, EXLIBRIS_CONFIGURATION)</f>
        <v>2024-03-01</v>
      </c>
      <c r="P48" t="s">
        <v>58</v>
      </c>
      <c r="Q48" t="s">
        <v>98</v>
      </c>
      <c r="R48" t="s">
        <v>98</v>
      </c>
      <c r="AA48" t="b">
        <f t="shared" si="5"/>
        <v>1</v>
      </c>
      <c r="AB48" t="b">
        <f t="shared" si="6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_xll.ExLibris.Json.GetJsonValueAsync($F$1,E49, EXLIBRIS_CONFIGURATION)</f>
        <v>ACT/360</v>
      </c>
      <c r="P49" t="s">
        <v>59</v>
      </c>
      <c r="Q49" t="s">
        <v>8</v>
      </c>
      <c r="R49" t="s">
        <v>8</v>
      </c>
      <c r="AA49" t="b">
        <f t="shared" si="5"/>
        <v>1</v>
      </c>
      <c r="AB49" t="b">
        <f t="shared" si="6"/>
        <v>1</v>
      </c>
      <c r="AC49" t="b">
        <f t="shared" si="6"/>
        <v>1</v>
      </c>
    </row>
    <row r="50" spans="5:29" x14ac:dyDescent="0.4">
      <c r="E50" t="str">
        <v>fixed_leg.cashflows.[4].amout</v>
      </c>
      <c r="F50">
        <v>12000000</v>
      </c>
      <c r="G50" cm="1">
        <f t="array" ref="G50">_xll.ExLibris.Json.GetJsonValueAsync($F$1,E50, EXLIBRIS_CONFIGURATION)</f>
        <v>12000000</v>
      </c>
      <c r="P50" t="s">
        <v>60</v>
      </c>
      <c r="Q50">
        <v>12000000</v>
      </c>
      <c r="R50">
        <v>12000000</v>
      </c>
      <c r="AA50" t="b">
        <f t="shared" si="5"/>
        <v>1</v>
      </c>
      <c r="AB50" t="b">
        <f t="shared" si="6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1.4000000000000002E-3</v>
      </c>
      <c r="G51" cm="1">
        <f t="array" ref="G51">_xll.ExLibris.Json.GetJsonValueAsync($F$1,E51, EXLIBRIS_CONFIGURATION)</f>
        <v>1.4000000000000002E-3</v>
      </c>
      <c r="P51" t="s">
        <v>61</v>
      </c>
      <c r="Q51">
        <v>1.4000000000000002E-3</v>
      </c>
      <c r="R51">
        <v>1.4000000000000002E-3</v>
      </c>
      <c r="AA51" t="b">
        <f t="shared" si="5"/>
        <v>1</v>
      </c>
      <c r="AB51" t="b">
        <f t="shared" si="6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 t="str">
        <v>2024-08-28</v>
      </c>
      <c r="G52" t="str" cm="1">
        <f t="array" ref="G52">_xll.ExLibris.Json.GetJsonValueAsync($F$1,E52, EXLIBRIS_CONFIGURATION)</f>
        <v>2024-08-28</v>
      </c>
      <c r="P52" t="s">
        <v>62</v>
      </c>
      <c r="Q52" t="s">
        <v>99</v>
      </c>
      <c r="R52" t="s">
        <v>99</v>
      </c>
      <c r="AA52" t="b">
        <f t="shared" si="5"/>
        <v>1</v>
      </c>
      <c r="AB52" t="b">
        <f t="shared" si="6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 t="str">
        <v>2024-03-01</v>
      </c>
      <c r="G53" t="str" cm="1">
        <f t="array" ref="G53">_xll.ExLibris.Json.GetJsonValueAsync($F$1,E53, EXLIBRIS_CONFIGURATION)</f>
        <v>2024-03-01</v>
      </c>
      <c r="P53" t="s">
        <v>63</v>
      </c>
      <c r="Q53" t="s">
        <v>98</v>
      </c>
      <c r="R53" t="s">
        <v>98</v>
      </c>
      <c r="AA53" t="b">
        <f t="shared" si="5"/>
        <v>1</v>
      </c>
      <c r="AB53" t="b">
        <f t="shared" si="6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 t="str">
        <v>2024-08-28</v>
      </c>
      <c r="G54" t="str" cm="1">
        <f t="array" ref="G54">_xll.ExLibris.Json.GetJsonValueAsync($F$1,E54, EXLIBRIS_CONFIGURATION)</f>
        <v>2024-08-28</v>
      </c>
      <c r="P54" t="s">
        <v>64</v>
      </c>
      <c r="Q54" t="s">
        <v>99</v>
      </c>
      <c r="R54" t="s">
        <v>99</v>
      </c>
      <c r="AA54" t="b">
        <f t="shared" si="5"/>
        <v>1</v>
      </c>
      <c r="AB54" t="b">
        <f t="shared" si="6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_xll.ExLibris.Json.GetJsonValueAsync($F$1,E55, EXLIBRIS_CONFIGURATION)</f>
        <v>ACT/360</v>
      </c>
      <c r="P55" t="s">
        <v>65</v>
      </c>
      <c r="Q55" t="s">
        <v>8</v>
      </c>
      <c r="R55" t="s">
        <v>8</v>
      </c>
      <c r="AA55" t="b">
        <f t="shared" si="5"/>
        <v>1</v>
      </c>
      <c r="AB55" t="b">
        <f t="shared" si="6"/>
        <v>1</v>
      </c>
      <c r="AC55" t="b">
        <f t="shared" si="6"/>
        <v>1</v>
      </c>
    </row>
    <row r="56" spans="5:29" x14ac:dyDescent="0.4">
      <c r="E56" t="str">
        <v>fixed_leg.cashflows.[5].amout</v>
      </c>
      <c r="F56">
        <v>12000000</v>
      </c>
      <c r="G56" cm="1">
        <f t="array" ref="G56">_xll.ExLibris.Json.GetJsonValueAsync($F$1,E56, EXLIBRIS_CONFIGURATION)</f>
        <v>12000000</v>
      </c>
      <c r="P56" t="s">
        <v>66</v>
      </c>
      <c r="Q56">
        <v>12000000</v>
      </c>
      <c r="R56">
        <v>12000000</v>
      </c>
      <c r="AA56" t="b">
        <f t="shared" si="5"/>
        <v>1</v>
      </c>
      <c r="AB56" t="b">
        <f t="shared" si="6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1.5000000000000002E-3</v>
      </c>
      <c r="G57" cm="1">
        <f t="array" ref="G57">_xll.ExLibris.Json.GetJsonValueAsync($F$1,E57, EXLIBRIS_CONFIGURATION)</f>
        <v>1.5000000000000002E-3</v>
      </c>
      <c r="P57" t="s">
        <v>67</v>
      </c>
      <c r="Q57">
        <v>1.5000000000000002E-3</v>
      </c>
      <c r="R57">
        <v>1.5000000000000002E-3</v>
      </c>
      <c r="AA57" t="b">
        <f t="shared" si="5"/>
        <v>1</v>
      </c>
      <c r="AB57" t="b">
        <f t="shared" si="6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F15"/>
  <sheetViews>
    <sheetView workbookViewId="0"/>
  </sheetViews>
  <sheetFormatPr defaultRowHeight="18.75" x14ac:dyDescent="0.4"/>
  <cols>
    <col min="1" max="1" width="3.5" customWidth="1"/>
    <col min="2" max="2" width="39.625" bestFit="1" customWidth="1"/>
    <col min="3" max="3" width="19.375" customWidth="1"/>
    <col min="5" max="5" width="39.625" bestFit="1" customWidth="1"/>
  </cols>
  <sheetData>
    <row r="2" spans="2:6" x14ac:dyDescent="0.4">
      <c r="B2" t="s">
        <v>84</v>
      </c>
      <c r="C2" t="str" cm="1">
        <f t="array" ref="C2">_xll.ExLibris.LoadConfigurationAsync(B6:C15)</f>
        <v>ExLibris.Core.ExLibrisConfiguration:D78B9CD6-39EB-4556-A287-1DB17A92459C</v>
      </c>
    </row>
    <row r="4" spans="2:6" s="4" customFormat="1" ht="18" x14ac:dyDescent="0.4">
      <c r="B4" s="4" t="s">
        <v>86</v>
      </c>
      <c r="E4" s="4" t="s">
        <v>85</v>
      </c>
    </row>
    <row r="6" spans="2:6" x14ac:dyDescent="0.4">
      <c r="B6" t="s">
        <v>76</v>
      </c>
      <c r="C6" t="s">
        <v>77</v>
      </c>
      <c r="E6" t="str" cm="1">
        <f t="array" ref="E6:F15">_xll.ExLibris.DumpObjectAsync(EXLIBRIS_CONFIGURATION)</f>
        <v>excel_value.excel_error_to</v>
      </c>
      <c r="F6" t="str">
        <v>Error</v>
      </c>
    </row>
    <row r="7" spans="2:6" x14ac:dyDescent="0.4">
      <c r="B7" t="s">
        <v>78</v>
      </c>
      <c r="C7" t="s">
        <v>79</v>
      </c>
      <c r="E7" t="str">
        <v>excel_value.excel_missing_to</v>
      </c>
      <c r="F7" t="str">
        <v>Null</v>
      </c>
    </row>
    <row r="8" spans="2:6" x14ac:dyDescent="0.4">
      <c r="B8" t="s">
        <v>80</v>
      </c>
      <c r="C8" t="s">
        <v>79</v>
      </c>
      <c r="E8" t="str">
        <v>excel_value.excel_empty_to</v>
      </c>
      <c r="F8" t="str">
        <v>Null</v>
      </c>
    </row>
    <row r="9" spans="2:6" x14ac:dyDescent="0.4">
      <c r="B9" t="s">
        <v>81</v>
      </c>
      <c r="C9" t="s">
        <v>79</v>
      </c>
      <c r="E9" t="str">
        <v>excel_value.excel_string_empty_to</v>
      </c>
      <c r="F9" t="str">
        <v>Null</v>
      </c>
    </row>
    <row r="10" spans="2:6" x14ac:dyDescent="0.4">
      <c r="B10" t="s">
        <v>82</v>
      </c>
      <c r="C10" t="s">
        <v>87</v>
      </c>
      <c r="E10" t="str">
        <v>excel_value.null_to_excel</v>
      </c>
      <c r="F10" t="str">
        <v>StringEmpty</v>
      </c>
    </row>
    <row r="11" spans="2:6" x14ac:dyDescent="0.4">
      <c r="B11" t="s">
        <v>83</v>
      </c>
      <c r="C11" t="s">
        <v>87</v>
      </c>
      <c r="E11" t="str">
        <v>excel_value.string_empty_to_excel</v>
      </c>
      <c r="F11" t="str">
        <v>StringEmpty</v>
      </c>
    </row>
    <row r="12" spans="2:6" x14ac:dyDescent="0.4">
      <c r="B12" t="s">
        <v>88</v>
      </c>
      <c r="C12" t="s">
        <v>89</v>
      </c>
      <c r="E12" t="str">
        <v>json.double_to_date_text.[0].date_format</v>
      </c>
      <c r="F12" t="str">
        <v>yyyy-MM-dd</v>
      </c>
    </row>
    <row r="13" spans="2:6" x14ac:dyDescent="0.4">
      <c r="B13" t="s">
        <v>90</v>
      </c>
      <c r="C13" t="s">
        <v>1</v>
      </c>
      <c r="E13" t="str">
        <v>json.double_to_date_text.[0].keys.[0]</v>
      </c>
      <c r="F13" t="str">
        <v>payment _date</v>
      </c>
    </row>
    <row r="14" spans="2:6" x14ac:dyDescent="0.4">
      <c r="B14" t="s">
        <v>91</v>
      </c>
      <c r="C14" t="s">
        <v>3</v>
      </c>
      <c r="E14" t="str">
        <v>json.double_to_date_text.[0].keys.[1]</v>
      </c>
      <c r="F14" t="str">
        <v>start_date</v>
      </c>
    </row>
    <row r="15" spans="2:6" x14ac:dyDescent="0.4">
      <c r="B15" t="s">
        <v>92</v>
      </c>
      <c r="C15" t="s">
        <v>5</v>
      </c>
      <c r="E15" t="str">
        <v>json.double_to_date_text.[0].keys.[2]</v>
      </c>
      <c r="F15" t="str">
        <v>end_date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ACF1-D52B-4405-9E6D-D2579DCD0199}">
  <dimension ref="B2:I8"/>
  <sheetViews>
    <sheetView tabSelected="1" workbookViewId="0"/>
  </sheetViews>
  <sheetFormatPr defaultRowHeight="18.75" x14ac:dyDescent="0.4"/>
  <cols>
    <col min="1" max="1" width="2.25" customWidth="1"/>
    <col min="3" max="3" width="2.25" customWidth="1"/>
    <col min="4" max="4" width="28.875" customWidth="1"/>
    <col min="7" max="7" width="44.75" bestFit="1" customWidth="1"/>
    <col min="8" max="9" width="39.125" bestFit="1" customWidth="1"/>
  </cols>
  <sheetData>
    <row r="2" spans="2:9" s="4" customFormat="1" ht="18" x14ac:dyDescent="0.4">
      <c r="B2" s="4" t="s">
        <v>100</v>
      </c>
    </row>
    <row r="3" spans="2:9" x14ac:dyDescent="0.4">
      <c r="D3" t="s">
        <v>148</v>
      </c>
      <c r="E3" t="s">
        <v>147</v>
      </c>
      <c r="F3" t="s">
        <v>101</v>
      </c>
      <c r="G3" t="s">
        <v>149</v>
      </c>
      <c r="H3" t="s">
        <v>150</v>
      </c>
      <c r="I3" t="s">
        <v>151</v>
      </c>
    </row>
    <row r="4" spans="2:9" x14ac:dyDescent="0.4">
      <c r="D4" t="str" cm="1">
        <f t="array" ref="D4">_xll.ExLibris.WebSockets.OpenWebSocketAsync("ws://localhost:10101",,E4)</f>
        <v>ExLibris.Core.WebSockets.WebsocketClient:3FF837C1-EADA-4EC4-87A9-170FEA606534</v>
      </c>
      <c r="E4" t="s">
        <v>102</v>
      </c>
      <c r="F4" t="str" cm="1">
        <f t="array" ref="F4">_xll.ExLibris.WebSockets.ObserveWebSocketStatus(D4,1000)</f>
        <v>Open</v>
      </c>
      <c r="G4" t="str" cm="1">
        <f t="array" ref="G4">_xll.ExLibris.WebSockets.ObserveWebSocketMessage(D4)</f>
        <v>message_2021-09-27T23:33:35.5861522+09:00</v>
      </c>
      <c r="H4" t="str" cm="1">
        <f t="array" ref="H4">_xll.ExLibris.WebSockets.SendWebSocketMessage(D4,E4&amp;" test message 0 "&amp;G4,F4="Open")</f>
        <v>message sent : 2021-09-27T11:33:36.091</v>
      </c>
      <c r="I4" t="str" cm="1">
        <f t="array" ref="I4">_xll.ExLibris.WebSockets.SendWebSocketMessage($D$4,E4&amp;" test next message 1",H4)</f>
        <v>message sent : 2021-09-27T11:33:36.091</v>
      </c>
    </row>
    <row r="5" spans="2:9" x14ac:dyDescent="0.4">
      <c r="D5" t="str" cm="1">
        <f t="array" ref="D5">_xll.ExLibris.WebSockets.OpenWebSocketAsync("ws://localhost:10101",,E5)</f>
        <v>ExLibris.Core.WebSockets.WebsocketClient:45C93117-67DF-4B6A-9568-33A696B5E2C8</v>
      </c>
      <c r="E5" t="s">
        <v>152</v>
      </c>
      <c r="F5" t="str" cm="1">
        <f t="array" ref="F5">_xll.ExLibris.WebSockets.ObserveWebSocketStatus(D5,1000)</f>
        <v>Open</v>
      </c>
      <c r="G5" t="str" cm="1">
        <f t="array" ref="G5">_xll.ExLibris.WebSockets.ObserveWebSocketMessage(D5)</f>
        <v>message_2021-09-27T23:33:35.5861522+09:00</v>
      </c>
      <c r="H5" t="str" cm="1">
        <f t="array" ref="H5">_xll.ExLibris.WebSockets.SendWebSocketMessage(D5,E5&amp;" test message 0 "&amp;G5,F5="Open")</f>
        <v>message sent : 2021-09-27T11:33:36.088</v>
      </c>
      <c r="I5" t="str" cm="1">
        <f t="array" ref="I5">_xll.ExLibris.WebSockets.SendWebSocketMessage($D$4,E5&amp;" test next message 1",H5)</f>
        <v>message sent : 2021-09-27T11:33:36.090</v>
      </c>
    </row>
    <row r="6" spans="2:9" x14ac:dyDescent="0.4">
      <c r="D6" t="str" cm="1">
        <f t="array" ref="D6">_xll.ExLibris.WebSockets.OpenWebSocketAsync("ws://localhost:10101",,E6)</f>
        <v>ExLibris.Core.WebSockets.WebsocketClient:8C1FA236-EBDF-4F6C-BDF8-D476CDB91F3B</v>
      </c>
      <c r="E6" t="s">
        <v>153</v>
      </c>
      <c r="F6" t="str" cm="1">
        <f t="array" ref="F6">_xll.ExLibris.WebSockets.ObserveWebSocketStatus(D6,1000)</f>
        <v>Open</v>
      </c>
      <c r="G6" t="str" cm="1">
        <f t="array" ref="G6">_xll.ExLibris.WebSockets.ObserveWebSocketMessage(D6)</f>
        <v>message_2021-09-27T23:33:35.5861522+09:00</v>
      </c>
      <c r="H6" t="str" cm="1">
        <f t="array" ref="H6">_xll.ExLibris.WebSockets.SendWebSocketMessage(D6,E6&amp;" test message 0 "&amp;G6,F6="Open")</f>
        <v>message sent : 2021-09-27T11:33:36.089</v>
      </c>
      <c r="I6" t="str" cm="1">
        <f t="array" ref="I6">_xll.ExLibris.WebSockets.SendWebSocketMessage($D$4,E6&amp;" test next message 1",H6)</f>
        <v>message sent : 2021-09-27T11:33:36.089</v>
      </c>
    </row>
    <row r="7" spans="2:9" x14ac:dyDescent="0.4">
      <c r="D7" t="str" cm="1">
        <f t="array" ref="D7">_xll.ExLibris.WebSockets.OpenWebSocketAsync("ws://localhost:10101",,E7)</f>
        <v>ExLibris.Core.WebSockets.WebsocketClient:78E30BA6-4036-4330-8C26-F4B0EF376877</v>
      </c>
      <c r="E7" t="s">
        <v>154</v>
      </c>
      <c r="F7" t="str" cm="1">
        <f t="array" ref="F7">_xll.ExLibris.WebSockets.ObserveWebSocketStatus(D7,1000)</f>
        <v>Open</v>
      </c>
      <c r="G7" t="str" cm="1">
        <f t="array" ref="G7">_xll.ExLibris.WebSockets.ObserveWebSocketMessage(D7)</f>
        <v>message_2021-09-27T23:33:35.5861522+09:00</v>
      </c>
      <c r="H7" t="str" cm="1">
        <f t="array" ref="H7">_xll.ExLibris.WebSockets.SendWebSocketMessage(D7,E7&amp;" test message 0 "&amp;G7,F7="Open")</f>
        <v>message sent : 2021-09-27T11:33:36.088</v>
      </c>
      <c r="I7" t="str" cm="1">
        <f t="array" ref="I7">_xll.ExLibris.WebSockets.SendWebSocketMessage($D$4,E7&amp;" test next message 1",H7)</f>
        <v>message sent : 2021-09-27T11:33:36.090</v>
      </c>
    </row>
    <row r="8" spans="2:9" x14ac:dyDescent="0.4">
      <c r="D8" t="str" cm="1">
        <f t="array" ref="D8">_xll.ExLibris.WebSockets.OpenWebSocketAsync("ws://localhost:10101",,E8)</f>
        <v>ExLibris.Core.WebSockets.WebsocketClient:8AC42904-90D2-449D-9F9A-B7B828DA8408</v>
      </c>
      <c r="E8" t="s">
        <v>155</v>
      </c>
      <c r="F8" t="str" cm="1">
        <f t="array" ref="F8">_xll.ExLibris.WebSockets.ObserveWebSocketStatus(D8,1000)</f>
        <v>Open</v>
      </c>
      <c r="G8" t="str" cm="1">
        <f t="array" ref="G8">_xll.ExLibris.WebSockets.ObserveWebSocketMessage(D8)</f>
        <v>message_2021-09-27T23:33:35.5861522+09:00</v>
      </c>
      <c r="H8" t="str" cm="1">
        <f t="array" ref="H8">_xll.ExLibris.WebSockets.SendWebSocketMessage(D8,E8&amp;" test message 0 "&amp;G8,F8="Open")</f>
        <v>message sent : 2021-09-27T11:33:36.089</v>
      </c>
      <c r="I8" t="str" cm="1">
        <f t="array" ref="I8">_xll.ExLibris.WebSockets.SendWebSocketMessage($D$4,E8&amp;" test next message 1",H8)</f>
        <v>message sent : 2021-09-27T11:33:36.089</v>
      </c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52036-D85E-4010-85A4-72DC442287D3}">
  <dimension ref="B2:I51"/>
  <sheetViews>
    <sheetView workbookViewId="0"/>
  </sheetViews>
  <sheetFormatPr defaultRowHeight="18.75" x14ac:dyDescent="0.4"/>
  <cols>
    <col min="2" max="2" width="26.5" customWidth="1"/>
    <col min="4" max="4" width="9.375" bestFit="1" customWidth="1"/>
    <col min="8" max="8" width="16.75" customWidth="1"/>
    <col min="9" max="9" width="10.25" bestFit="1" customWidth="1"/>
  </cols>
  <sheetData>
    <row r="2" spans="2:9" x14ac:dyDescent="0.4">
      <c r="B2" t="s">
        <v>111</v>
      </c>
      <c r="C2" s="7" t="s">
        <v>117</v>
      </c>
      <c r="E2" t="s">
        <v>119</v>
      </c>
    </row>
    <row r="3" spans="2:9" x14ac:dyDescent="0.4">
      <c r="C3" t="s">
        <v>116</v>
      </c>
    </row>
    <row r="5" spans="2:9" x14ac:dyDescent="0.4">
      <c r="B5" t="str" cm="1">
        <f t="array" ref="B5">_xll.ExLibris.WebAPIs.CreateHeadersAsync(B6:C10)</f>
        <v>ExLibris.Core.WebAPIs.WebAPIHeaders:B8759482-F46D-4C03-9B16-EFFE7409FEF2</v>
      </c>
      <c r="H5" t="str" cm="1">
        <f t="array" ref="H5">_xll.ExLibris.Json.CreateJsonObjectAsync(H6:I11)</f>
        <v>JsonObject:AB25C639-5D54-4998-BC1F-A8C68EDE5CC0</v>
      </c>
    </row>
    <row r="6" spans="2:9" x14ac:dyDescent="0.4">
      <c r="B6" t="s">
        <v>120</v>
      </c>
      <c r="C6" t="s">
        <v>121</v>
      </c>
      <c r="H6" t="s">
        <v>140</v>
      </c>
      <c r="I6" t="s">
        <v>142</v>
      </c>
    </row>
    <row r="7" spans="2:9" x14ac:dyDescent="0.4">
      <c r="B7" t="s">
        <v>122</v>
      </c>
      <c r="C7" t="s">
        <v>128</v>
      </c>
      <c r="H7" t="s">
        <v>141</v>
      </c>
      <c r="I7" t="s">
        <v>143</v>
      </c>
    </row>
    <row r="8" spans="2:9" x14ac:dyDescent="0.4">
      <c r="B8" t="s">
        <v>123</v>
      </c>
      <c r="C8" t="s">
        <v>129</v>
      </c>
      <c r="H8" t="s">
        <v>131</v>
      </c>
      <c r="I8">
        <v>108.5</v>
      </c>
    </row>
    <row r="9" spans="2:9" x14ac:dyDescent="0.4">
      <c r="B9" t="s">
        <v>124</v>
      </c>
      <c r="C9" t="s">
        <v>125</v>
      </c>
      <c r="H9" t="s">
        <v>132</v>
      </c>
      <c r="I9" t="s">
        <v>133</v>
      </c>
    </row>
    <row r="10" spans="2:9" x14ac:dyDescent="0.4">
      <c r="B10" t="s">
        <v>126</v>
      </c>
      <c r="C10" t="s">
        <v>127</v>
      </c>
      <c r="H10" t="s">
        <v>134</v>
      </c>
      <c r="I10" t="s">
        <v>135</v>
      </c>
    </row>
    <row r="11" spans="2:9" x14ac:dyDescent="0.4">
      <c r="H11" t="s">
        <v>136</v>
      </c>
      <c r="I11" s="1">
        <v>44463</v>
      </c>
    </row>
    <row r="12" spans="2:9" x14ac:dyDescent="0.4">
      <c r="I12" s="1"/>
    </row>
    <row r="13" spans="2:9" x14ac:dyDescent="0.4">
      <c r="B13" t="s">
        <v>115</v>
      </c>
      <c r="C13" t="s">
        <v>114</v>
      </c>
      <c r="D13" t="str">
        <f>$C$2&amp;"get"</f>
        <v>http://localhost:80/get</v>
      </c>
    </row>
    <row r="14" spans="2:9" x14ac:dyDescent="0.4">
      <c r="C14" t="s">
        <v>112</v>
      </c>
      <c r="D14" t="str" cm="1">
        <f t="array" ref="D14">_xll.ExLibris.WebAPIs.GET(D13)</f>
        <v>ExLibris.Core.WebAPIs.Response:7F294311-C16E-406D-94B8-014028D8796A</v>
      </c>
    </row>
    <row r="15" spans="2:9" x14ac:dyDescent="0.4">
      <c r="C15" t="s">
        <v>101</v>
      </c>
      <c r="D15" cm="1">
        <f t="array" ref="D15">_xll.ExLibris.WebAPIs.WebAPIResponseStatus(D14,TRUE)</f>
        <v>200</v>
      </c>
    </row>
    <row r="16" spans="2:9" x14ac:dyDescent="0.4">
      <c r="C16" t="s">
        <v>113</v>
      </c>
      <c r="D16" t="str" cm="1">
        <f t="array" ref="D16">_xll.ExLibris.WebAPIs.WebAPIResponseContent(D14)</f>
        <v xml:space="preserve">{
  "args": {}, 
  "headers": {
    "Connection": "Keep-Alive", 
    "Host": "localhost"
  }, 
  "origin": "172.17.0.1", 
  "url": "http://localhost/get"
}
</v>
      </c>
    </row>
    <row r="18" spans="2:4" x14ac:dyDescent="0.4">
      <c r="B18" t="s">
        <v>118</v>
      </c>
      <c r="C18" t="s">
        <v>114</v>
      </c>
      <c r="D18" t="str">
        <f>$C$2&amp;"post"</f>
        <v>http://localhost:80/post</v>
      </c>
    </row>
    <row r="19" spans="2:4" x14ac:dyDescent="0.4">
      <c r="C19" t="s">
        <v>112</v>
      </c>
      <c r="D19" t="str" cm="1">
        <f t="array" ref="D19">_xll.ExLibris.WebAPIs.POST(D18)</f>
        <v>ExLibris.Core.WebAPIs.Response:9CC6E8F2-2705-4147-9402-EAF3135342D3</v>
      </c>
    </row>
    <row r="20" spans="2:4" x14ac:dyDescent="0.4">
      <c r="C20" t="s">
        <v>101</v>
      </c>
      <c r="D20" cm="1">
        <f t="array" ref="D20">_xll.ExLibris.WebAPIs.WebAPIResponseStatus(D19,TRUE)</f>
        <v>200</v>
      </c>
    </row>
    <row r="21" spans="2:4" x14ac:dyDescent="0.4">
      <c r="C21" t="s">
        <v>113</v>
      </c>
      <c r="D21" t="str" cm="1">
        <f t="array" ref="D21">_xll.ExLibris.WebAPIs.WebAPIResponseContent(D19)</f>
        <v xml:space="preserve">{
  "args": {}, 
  "data": "", 
  "files": {}, 
  "form": {}, 
  "headers": {
    "Connection": "Keep-Alive", 
    "Content-Length": "0", 
    "Host": "localhost"
  }, 
  "json": null, 
  "origin": "172.17.0.1", 
  "url": "http://localhost/post"
}
</v>
      </c>
    </row>
    <row r="23" spans="2:4" x14ac:dyDescent="0.4">
      <c r="B23" t="s">
        <v>130</v>
      </c>
      <c r="C23" t="s">
        <v>114</v>
      </c>
      <c r="D23" t="str">
        <f>$C$2&amp;"bearer"</f>
        <v>http://localhost:80/bearer</v>
      </c>
    </row>
    <row r="24" spans="2:4" x14ac:dyDescent="0.4">
      <c r="C24" t="s">
        <v>112</v>
      </c>
      <c r="D24" t="str" cm="1">
        <f t="array" ref="D24">_xll.ExLibris.WebAPIs.GET(D23,$B$5)</f>
        <v>ExLibris.Core.WebAPIs.Response:E3BCA7DA-F597-498F-AAD6-166D089B197C</v>
      </c>
    </row>
    <row r="25" spans="2:4" x14ac:dyDescent="0.4">
      <c r="C25" t="s">
        <v>101</v>
      </c>
      <c r="D25" cm="1">
        <f t="array" ref="D25">_xll.ExLibris.WebAPIs.WebAPIResponseStatus(D24,TRUE)</f>
        <v>200</v>
      </c>
    </row>
    <row r="26" spans="2:4" x14ac:dyDescent="0.4">
      <c r="C26" t="s">
        <v>113</v>
      </c>
      <c r="D26" t="str" cm="1">
        <f t="array" ref="D26">_xll.ExLibris.WebAPIs.WebAPIResponseContent(D24)</f>
        <v xml:space="preserve">{
  "authenticated": true, 
  "token": "XXX11111222223333444444"
}
</v>
      </c>
    </row>
    <row r="28" spans="2:4" x14ac:dyDescent="0.4">
      <c r="B28" t="s">
        <v>137</v>
      </c>
      <c r="C28" t="s">
        <v>114</v>
      </c>
      <c r="D28" t="str">
        <f>$C$2&amp;"post"</f>
        <v>http://localhost:80/post</v>
      </c>
    </row>
    <row r="29" spans="2:4" x14ac:dyDescent="0.4">
      <c r="C29" t="s">
        <v>112</v>
      </c>
      <c r="D29" t="str" cm="1">
        <f t="array" ref="D29">_xll.ExLibris.WebAPIs.POST(D28,_xll.ExLibris.Json.ShowJsonText(H5),,$B$5)</f>
        <v>ExLibris.Core.WebAPIs.Response:E1212F3A-11FB-4751-8696-CC82C685CAA9</v>
      </c>
    </row>
    <row r="30" spans="2:4" x14ac:dyDescent="0.4">
      <c r="C30" t="s">
        <v>101</v>
      </c>
      <c r="D30" cm="1">
        <f t="array" ref="D30">_xll.ExLibris.WebAPIs.WebAPIResponseStatus(D29,TRUE)</f>
        <v>200</v>
      </c>
    </row>
    <row r="31" spans="2:4" x14ac:dyDescent="0.4">
      <c r="C31" t="s">
        <v>113</v>
      </c>
      <c r="D31" t="str" cm="1">
        <f t="array" ref="D31">_xll.ExLibris.WebAPIs.WebAPIResponseContent(D29)</f>
        <v xml:space="preserve">{
  "args": {}, 
  "data": "{\"currency_pair\":{\"left\":\"USD\",\"right\":\"JPY\"},\"strike\":108.5,\"call_or_put\":\"CALL\",\"buy_or_sell\":\"SELL\",\"date\":44463}", 
  "files": {}, 
  "form": {}, 
  "headers": {
    "Authorization": "Bearer XXX11111222223333444444", 
    "Cname0": "value0", 
    "Content-Length": "116", 
    "Content-Type": "text/plain; charset=utf-8", 
    "Expect": "100-continue", 
    "Host": "localhost", 
    "User-Agent": "user"
  }, 
  "json": {
    "buy_or_sell": "SELL", 
    "call_or_put": "CALL", 
    "currency_pair": {
      "left": "USD", 
      "right": "JPY"
    }, 
    "date": 44463, 
    "strike": 108.5
  }, 
  "origin": "172.17.0.1", 
  "url": "http://localhost/post"
}
</v>
      </c>
    </row>
    <row r="33" spans="2:4" x14ac:dyDescent="0.4">
      <c r="B33" t="s">
        <v>138</v>
      </c>
      <c r="C33" t="s">
        <v>114</v>
      </c>
      <c r="D33" t="str">
        <f>$C$2&amp;"post"</f>
        <v>http://localhost:80/post</v>
      </c>
    </row>
    <row r="34" spans="2:4" x14ac:dyDescent="0.4">
      <c r="C34" t="s">
        <v>112</v>
      </c>
      <c r="D34" t="str" cm="1">
        <f t="array" ref="D34">_xll.ExLibris.WebAPIs.POST(D33,H5,TRUE,$B$5)</f>
        <v>ExLibris.Core.WebAPIs.Response:AC9C81F1-B751-40D1-A15B-97FD3085A008</v>
      </c>
    </row>
    <row r="35" spans="2:4" x14ac:dyDescent="0.4">
      <c r="C35" t="s">
        <v>101</v>
      </c>
      <c r="D35" cm="1">
        <f t="array" ref="D35">_xll.ExLibris.WebAPIs.WebAPIResponseStatus(D34,TRUE)</f>
        <v>200</v>
      </c>
    </row>
    <row r="36" spans="2:4" x14ac:dyDescent="0.4">
      <c r="C36" t="s">
        <v>113</v>
      </c>
      <c r="D36" t="str" cm="1">
        <f t="array" ref="D36">_xll.ExLibris.WebAPIs.WebAPIResponseContent(D34)</f>
        <v xml:space="preserve">{
  "args": {}, 
  "data": "", 
  "files": {}, 
  "form": {
    "buy_or_sell": "SELL", 
    "call_or_put": "CALL", 
    "currency_pair.left": "USD", 
    "currency_pair.right": "JPY", 
    "date": "44463", 
    "strike": "108.5"
  }, 
  "headers": {
    "Authorization": "Bearer XXX11111222223333444444", 
    "Cname0": "value0", 
    "Content-Length": "104", 
    "Content-Type": "application/x-www-form-urlencoded", 
    "Expect": "100-continue", 
    "Host": "localhost", 
    "User-Agent": "user"
  }, 
  "json": null, 
  "origin": "172.17.0.1", 
  "url": "http://localhost/post"
}
</v>
      </c>
    </row>
    <row r="38" spans="2:4" x14ac:dyDescent="0.4">
      <c r="B38" t="s">
        <v>139</v>
      </c>
      <c r="C38" t="s">
        <v>114</v>
      </c>
      <c r="D38" t="str" cm="1">
        <f t="array" ref="D38">_xll.ExLibris.WebAPIs.BuildUri($C$2&amp;"post",H6:I11)</f>
        <v>http://localhost:80/post?currency_pair.left=USD&amp;currency_pair.right=JPY&amp;strike=108.5&amp;call_or_put=CALL&amp;buy_or_sell=SELL&amp;date=44463</v>
      </c>
    </row>
    <row r="39" spans="2:4" x14ac:dyDescent="0.4">
      <c r="C39" t="s">
        <v>112</v>
      </c>
      <c r="D39" t="str" cm="1">
        <f t="array" ref="D39">_xll.ExLibris.WebAPIs.POST(D38,H6:I11,TRUE,$B$5)</f>
        <v>ExLibris.Core.WebAPIs.Response:662833FD-2317-4585-B23C-0C1F12711E96</v>
      </c>
    </row>
    <row r="40" spans="2:4" x14ac:dyDescent="0.4">
      <c r="C40" t="s">
        <v>101</v>
      </c>
      <c r="D40" cm="1">
        <f t="array" ref="D40">_xll.ExLibris.WebAPIs.WebAPIResponseStatus(D39,TRUE)</f>
        <v>200</v>
      </c>
    </row>
    <row r="41" spans="2:4" x14ac:dyDescent="0.4">
      <c r="C41" t="s">
        <v>113</v>
      </c>
      <c r="D41" t="str" cm="1">
        <f t="array" ref="D41">_xll.ExLibris.WebAPIs.WebAPIResponseContent(D39)</f>
        <v xml:space="preserve">{
  "args": {
    "buy_or_sell": "SELL", 
    "call_or_put": "CALL", 
    "currency_pair.left": "USD", 
    "currency_pair.right": "JPY", 
    "date": "44463", 
    "strike": "108.5"
  }, 
  "data": "", 
  "files": {}, 
  "form": {
    "buy_or_sell": "SELL", 
    "call_or_put": "CALL", 
    "currency_pair.left": "USD", 
    "currency_pair.right": "JPY", 
    "date": "44463", 
    "strike": "108.5"
  }, 
  "headers": {
    "Authorization": "Bearer XXX11111222223333444444", 
    "Cname0": "value0", 
    "Content-Length": "104", 
    "Content-Type": "application/x-www-form-urlencoded", 
    "Expect": "100-continue", 
    "Host": "localhost", 
    "User-Agent": "user"
  }, 
  "json": null, 
  "origin": "172.17.0.1", 
  "url": "http://localhost/post?currency_pair.left=USD&amp;currency_pair.right=JPY&amp;strike=108.5&amp;call_or_put=CALL&amp;buy_or_sell=SELL&amp;date=44463"
}
</v>
      </c>
    </row>
    <row r="43" spans="2:4" x14ac:dyDescent="0.4">
      <c r="B43" t="s">
        <v>144</v>
      </c>
      <c r="C43" t="s">
        <v>114</v>
      </c>
      <c r="D43" t="str" cm="1">
        <f t="array" ref="D43">_xll.ExLibris.WebAPIs.BuildUri($C$2&amp;"get",H6:I11)</f>
        <v>http://localhost:80/get?currency_pair.left=USD&amp;currency_pair.right=JPY&amp;strike=108.5&amp;call_or_put=CALL&amp;buy_or_sell=SELL&amp;date=44463</v>
      </c>
    </row>
    <row r="44" spans="2:4" x14ac:dyDescent="0.4">
      <c r="C44" t="s">
        <v>112</v>
      </c>
      <c r="D44" t="str" cm="1">
        <f t="array" ref="D44">_xll.ExLibris.WebAPIs.GET(D43)</f>
        <v>ExLibris.Core.WebAPIs.Response:0D98A9C6-085E-4262-A8C7-1A02A8E93CDB</v>
      </c>
    </row>
    <row r="45" spans="2:4" x14ac:dyDescent="0.4">
      <c r="C45" t="s">
        <v>101</v>
      </c>
      <c r="D45" cm="1">
        <f t="array" ref="D45">_xll.ExLibris.WebAPIs.WebAPIResponseStatus(D44,TRUE)</f>
        <v>200</v>
      </c>
    </row>
    <row r="46" spans="2:4" x14ac:dyDescent="0.4">
      <c r="C46" t="s">
        <v>113</v>
      </c>
      <c r="D46" t="str" cm="1">
        <f t="array" ref="D46">_xll.ExLibris.WebAPIs.WebAPIResponseContent(D44)</f>
        <v xml:space="preserve">{
  "args": {
    "buy_or_sell": "SELL", 
    "call_or_put": "CALL", 
    "currency_pair.left": "USD", 
    "currency_pair.right": "JPY", 
    "date": "44463", 
    "strike": "108.5"
  }, 
  "headers": {
    "Connection": "Keep-Alive", 
    "Host": "localhost"
  }, 
  "origin": "172.17.0.1", 
  "url": "http://localhost/get?currency_pair.left=USD&amp;currency_pair.right=JPY&amp;strike=108.5&amp;call_or_put=CALL&amp;buy_or_sell=SELL&amp;date=44463"
}
</v>
      </c>
    </row>
    <row r="48" spans="2:4" x14ac:dyDescent="0.4">
      <c r="B48" t="s">
        <v>146</v>
      </c>
      <c r="C48" t="s">
        <v>114</v>
      </c>
      <c r="D48" t="str">
        <f>$C$2&amp;"delay/10"</f>
        <v>http://localhost:80/delay/10</v>
      </c>
    </row>
    <row r="49" spans="3:4" x14ac:dyDescent="0.4">
      <c r="C49" t="s">
        <v>112</v>
      </c>
      <c r="D49" t="str" cm="1">
        <f t="array" ref="D49">_xll.ExLibris.WebAPIs.GET(D48)</f>
        <v>ExLibris.Core.WebAPIs.Response:38DC61B6-F38A-4525-A612-C0710533B293</v>
      </c>
    </row>
    <row r="50" spans="3:4" x14ac:dyDescent="0.4">
      <c r="C50" t="s">
        <v>101</v>
      </c>
      <c r="D50" cm="1">
        <f t="array" ref="D50">_xll.ExLibris.WebAPIs.WebAPIResponseStatus(D49,TRUE)</f>
        <v>200</v>
      </c>
    </row>
    <row r="51" spans="3:4" x14ac:dyDescent="0.4">
      <c r="C51" t="s">
        <v>113</v>
      </c>
      <c r="D51" t="str" cm="1">
        <f t="array" ref="D51">_xll.ExLibris.WebAPIs.WebAPIResponseContent(D49)</f>
        <v xml:space="preserve">{
  "args": {}, 
  "data": "", 
  "files": {}, 
  "form": {}, 
  "headers": {
    "Connection": "Keep-Alive", 
    "Host": "localhost"
  }, 
  "origin": "172.17.0.1", 
  "url": "http://localhost/delay/10"
}
</v>
      </c>
    </row>
  </sheetData>
  <phoneticPr fontId="1"/>
  <hyperlinks>
    <hyperlink ref="C2" r:id="rId1" xr:uid="{1F584646-A45A-426F-9C4B-AC5B12FEC0AF}"/>
  </hyperlinks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B27FE-ED52-468A-9A6B-F83674C52684}">
  <dimension ref="B2:D42"/>
  <sheetViews>
    <sheetView workbookViewId="0"/>
  </sheetViews>
  <sheetFormatPr defaultRowHeight="18.75" x14ac:dyDescent="0.4"/>
  <cols>
    <col min="2" max="2" width="20.625" customWidth="1"/>
    <col min="3" max="3" width="18.25" customWidth="1"/>
  </cols>
  <sheetData>
    <row r="2" spans="2:4" x14ac:dyDescent="0.4">
      <c r="B2" t="str" cm="1">
        <f t="array" ref="B2">_xll.ExLibris.WebAPIs.CreateHeadersAsync(B3:C3)</f>
        <v>ExLibris.Core.WebAPIs.WebAPIHeaders:8B85385F-818D-4CF6-BC3A-3571DCEB619C</v>
      </c>
    </row>
    <row r="3" spans="2:4" x14ac:dyDescent="0.4">
      <c r="B3" t="s">
        <v>120</v>
      </c>
      <c r="C3" t="s">
        <v>145</v>
      </c>
    </row>
    <row r="5" spans="2:4" x14ac:dyDescent="0.4">
      <c r="B5" t="s">
        <v>114</v>
      </c>
      <c r="C5" t="str">
        <f>"https://api.github.com/users/"&amp;C3</f>
        <v>https://api.github.com/users/defunkt</v>
      </c>
    </row>
    <row r="6" spans="2:4" x14ac:dyDescent="0.4">
      <c r="B6" t="s">
        <v>112</v>
      </c>
      <c r="C6" t="str" cm="1">
        <f t="array" ref="C6">_xll.ExLibris.WebAPIs.GET(C5,B2)</f>
        <v>ExLibris.Core.WebAPIs.Response:03A90921-EB33-4B5A-A618-BFCE65E4453E</v>
      </c>
    </row>
    <row r="7" spans="2:4" x14ac:dyDescent="0.4">
      <c r="B7" t="s">
        <v>101</v>
      </c>
      <c r="C7" t="str" cm="1">
        <f t="array" ref="C7">_xll.ExLibris.WebAPIs.WebAPIResponseStatus(C6)</f>
        <v>OK(200)</v>
      </c>
    </row>
    <row r="8" spans="2:4" x14ac:dyDescent="0.4">
      <c r="B8" t="s">
        <v>113</v>
      </c>
      <c r="C8" t="str" cm="1">
        <f t="array" ref="C8">_xll.ExLibris.WebAPIs.WebAPIResponseContent(C6)</f>
        <v>{"login":"defunkt","id":2,"node_id":"MDQ6VXNlcjI=","avatar_url":"https://avatars.githubusercontent.com/u/2?v=4","gravatar_id":"","url":"https://api.github.com/users/defunkt","html_url":"https://github.com/defunkt","followers_url":"https://api.github.com/users/defunkt/followers","following_url":"https://api.github.com/users/defunkt/following{/other_user}","gists_url":"https://api.github.com/users/defunkt/gists{/gist_id}","starred_url":"https://api.github.com/users/defunkt/starred{/owner}{/repo}","subscriptions_url":"https://api.github.com/users/defunkt/subscriptions","organizations_url":"https://api.github.com/users/defunkt/orgs","repos_url":"https://api.github.com/users/defunkt/repos","events_url":"https://api.github.com/users/defunkt/events{/privacy}","received_events_url":"https://api.github.com/users/defunkt/received_events","type":"User","site_admin":false,"name":"Chris Wanstrath","company":null,"blog":"http://chriswanstrath.com/","location":null,"email":null,"hireable":null,"bio":"🍔","twitter_username":null,"public_repos":107,"public_gists":273,"followers":21287,"following":210,"created_at":"2007-10-20T05:24:19Z","updated_at":"2021-07-29T11:10:23Z"}</v>
      </c>
    </row>
    <row r="10" spans="2:4" x14ac:dyDescent="0.4">
      <c r="C10" t="str" cm="1">
        <f t="array" ref="C10">_xll.ExLibris.Json.CreateJsonObjectAsync(C8)</f>
        <v>JsonObject:EAF25337-16EE-4404-B6CA-BAF4D725B46F</v>
      </c>
    </row>
    <row r="11" spans="2:4" x14ac:dyDescent="0.4">
      <c r="C11" t="str" cm="1">
        <f t="array" ref="C11:D42">_xll.ExLibris.Json.GetJsonKeyValuesAsync(C10)</f>
        <v>login</v>
      </c>
      <c r="D11" t="str">
        <v>defunkt</v>
      </c>
    </row>
    <row r="12" spans="2:4" x14ac:dyDescent="0.4">
      <c r="C12" t="str">
        <v>id</v>
      </c>
      <c r="D12">
        <v>2</v>
      </c>
    </row>
    <row r="13" spans="2:4" x14ac:dyDescent="0.4">
      <c r="C13" t="str">
        <v>node_id</v>
      </c>
      <c r="D13" t="str">
        <v>MDQ6VXNlcjI=</v>
      </c>
    </row>
    <row r="14" spans="2:4" x14ac:dyDescent="0.4">
      <c r="C14" t="str">
        <v>avatar_url</v>
      </c>
      <c r="D14" t="str">
        <v>https://avatars.githubusercontent.com/u/2?v=4</v>
      </c>
    </row>
    <row r="15" spans="2:4" x14ac:dyDescent="0.4">
      <c r="C15" t="str">
        <v>gravatar_id</v>
      </c>
      <c r="D15">
        <v>0</v>
      </c>
    </row>
    <row r="16" spans="2:4" x14ac:dyDescent="0.4">
      <c r="C16" t="str">
        <v>url</v>
      </c>
      <c r="D16" t="str">
        <v>https://api.github.com/users/defunkt</v>
      </c>
    </row>
    <row r="17" spans="3:4" x14ac:dyDescent="0.4">
      <c r="C17" t="str">
        <v>html_url</v>
      </c>
      <c r="D17" t="str">
        <v>https://github.com/defunkt</v>
      </c>
    </row>
    <row r="18" spans="3:4" x14ac:dyDescent="0.4">
      <c r="C18" t="str">
        <v>followers_url</v>
      </c>
      <c r="D18" t="str">
        <v>https://api.github.com/users/defunkt/followers</v>
      </c>
    </row>
    <row r="19" spans="3:4" x14ac:dyDescent="0.4">
      <c r="C19" t="str">
        <v>following_url</v>
      </c>
      <c r="D19" t="str">
        <v>https://api.github.com/users/defunkt/following{/other_user}</v>
      </c>
    </row>
    <row r="20" spans="3:4" x14ac:dyDescent="0.4">
      <c r="C20" t="str">
        <v>gists_url</v>
      </c>
      <c r="D20" t="str">
        <v>https://api.github.com/users/defunkt/gists{/gist_id}</v>
      </c>
    </row>
    <row r="21" spans="3:4" x14ac:dyDescent="0.4">
      <c r="C21" t="str">
        <v>starred_url</v>
      </c>
      <c r="D21" t="str">
        <v>https://api.github.com/users/defunkt/starred{/owner}{/repo}</v>
      </c>
    </row>
    <row r="22" spans="3:4" x14ac:dyDescent="0.4">
      <c r="C22" t="str">
        <v>subscriptions_url</v>
      </c>
      <c r="D22" t="str">
        <v>https://api.github.com/users/defunkt/subscriptions</v>
      </c>
    </row>
    <row r="23" spans="3:4" x14ac:dyDescent="0.4">
      <c r="C23" t="str">
        <v>organizations_url</v>
      </c>
      <c r="D23" t="str">
        <v>https://api.github.com/users/defunkt/orgs</v>
      </c>
    </row>
    <row r="24" spans="3:4" x14ac:dyDescent="0.4">
      <c r="C24" t="str">
        <v>repos_url</v>
      </c>
      <c r="D24" t="str">
        <v>https://api.github.com/users/defunkt/repos</v>
      </c>
    </row>
    <row r="25" spans="3:4" x14ac:dyDescent="0.4">
      <c r="C25" t="str">
        <v>events_url</v>
      </c>
      <c r="D25" t="str">
        <v>https://api.github.com/users/defunkt/events{/privacy}</v>
      </c>
    </row>
    <row r="26" spans="3:4" x14ac:dyDescent="0.4">
      <c r="C26" t="str">
        <v>received_events_url</v>
      </c>
      <c r="D26" t="str">
        <v>https://api.github.com/users/defunkt/received_events</v>
      </c>
    </row>
    <row r="27" spans="3:4" x14ac:dyDescent="0.4">
      <c r="C27" t="str">
        <v>type</v>
      </c>
      <c r="D27" t="str">
        <v>User</v>
      </c>
    </row>
    <row r="28" spans="3:4" x14ac:dyDescent="0.4">
      <c r="C28" t="str">
        <v>site_admin</v>
      </c>
      <c r="D28" t="b">
        <v>0</v>
      </c>
    </row>
    <row r="29" spans="3:4" x14ac:dyDescent="0.4">
      <c r="C29" t="str">
        <v>name</v>
      </c>
      <c r="D29" t="str">
        <v>Chris Wanstrath</v>
      </c>
    </row>
    <row r="30" spans="3:4" x14ac:dyDescent="0.4">
      <c r="C30" t="str">
        <v>company</v>
      </c>
      <c r="D30">
        <v>0</v>
      </c>
    </row>
    <row r="31" spans="3:4" x14ac:dyDescent="0.4">
      <c r="C31" t="str">
        <v>blog</v>
      </c>
      <c r="D31" t="str">
        <v>http://chriswanstrath.com/</v>
      </c>
    </row>
    <row r="32" spans="3:4" x14ac:dyDescent="0.4">
      <c r="C32" t="str">
        <v>location</v>
      </c>
      <c r="D32">
        <v>0</v>
      </c>
    </row>
    <row r="33" spans="3:4" x14ac:dyDescent="0.4">
      <c r="C33" t="str">
        <v>email</v>
      </c>
      <c r="D33">
        <v>0</v>
      </c>
    </row>
    <row r="34" spans="3:4" x14ac:dyDescent="0.4">
      <c r="C34" t="str">
        <v>hireable</v>
      </c>
      <c r="D34">
        <v>0</v>
      </c>
    </row>
    <row r="35" spans="3:4" x14ac:dyDescent="0.4">
      <c r="C35" t="str">
        <v>bio</v>
      </c>
      <c r="D35" t="str">
        <v>🍔</v>
      </c>
    </row>
    <row r="36" spans="3:4" x14ac:dyDescent="0.4">
      <c r="C36" t="str">
        <v>twitter_username</v>
      </c>
      <c r="D36">
        <v>0</v>
      </c>
    </row>
    <row r="37" spans="3:4" x14ac:dyDescent="0.4">
      <c r="C37" t="str">
        <v>public_repos</v>
      </c>
      <c r="D37">
        <v>107</v>
      </c>
    </row>
    <row r="38" spans="3:4" x14ac:dyDescent="0.4">
      <c r="C38" t="str">
        <v>public_gists</v>
      </c>
      <c r="D38">
        <v>273</v>
      </c>
    </row>
    <row r="39" spans="3:4" x14ac:dyDescent="0.4">
      <c r="C39" t="str">
        <v>followers</v>
      </c>
      <c r="D39">
        <v>21287</v>
      </c>
    </row>
    <row r="40" spans="3:4" x14ac:dyDescent="0.4">
      <c r="C40" t="str">
        <v>following</v>
      </c>
      <c r="D40">
        <v>210</v>
      </c>
    </row>
    <row r="41" spans="3:4" x14ac:dyDescent="0.4">
      <c r="C41" t="str">
        <v>created_at</v>
      </c>
      <c r="D41" t="str">
        <v>2007-10-20T05:24:19Z</v>
      </c>
    </row>
    <row r="42" spans="3:4" x14ac:dyDescent="0.4">
      <c r="C42" t="str">
        <v>updated_at</v>
      </c>
      <c r="D42" t="str">
        <v>2021-07-29T11:10:23Z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1</vt:i4>
      </vt:variant>
    </vt:vector>
  </HeadingPairs>
  <TitlesOfParts>
    <vt:vector size="7" baseType="lpstr">
      <vt:lpstr>json_test</vt:lpstr>
      <vt:lpstr>json_w_conf_test</vt:lpstr>
      <vt:lpstr>configuration</vt:lpstr>
      <vt:lpstr>websocket</vt:lpstr>
      <vt:lpstr>webapi</vt:lpstr>
      <vt:lpstr>webapi github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2021-09-27T14:33:40Z</dcterms:modified>
</cp:coreProperties>
</file>