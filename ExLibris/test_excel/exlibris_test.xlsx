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ugen\git\ex-libris\ExLibris\test_excel\"/>
    </mc:Choice>
  </mc:AlternateContent>
  <xr:revisionPtr revIDLastSave="0" documentId="13_ncr:1_{CF64F018-130B-496B-91C6-D2D73F4F7488}" xr6:coauthVersionLast="47" xr6:coauthVersionMax="47" xr10:uidLastSave="{00000000-0000-0000-0000-000000000000}"/>
  <bookViews>
    <workbookView xWindow="-120" yWindow="-120" windowWidth="29040" windowHeight="15840" xr2:uid="{705CD0B7-27A9-4291-85BD-6034C0FEE3E4}"/>
  </bookViews>
  <sheets>
    <sheet name="json_test" sheetId="7" r:id="rId1"/>
    <sheet name="json_test_async" sheetId="1" r:id="rId2"/>
    <sheet name="json_w_conf_test_async" sheetId="4" r:id="rId3"/>
    <sheet name="configuration" sheetId="2" r:id="rId4"/>
    <sheet name="websocket" sheetId="3" r:id="rId5"/>
    <sheet name="webapi" sheetId="5" r:id="rId6"/>
    <sheet name="webapi github" sheetId="6" r:id="rId7"/>
  </sheets>
  <definedNames>
    <definedName name="EXLIBRIS_CONFIGURATION">configuration!$C$2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0" i="7" l="1"/>
  <c r="I11" i="7" s="1"/>
  <c r="I12" i="7" s="1"/>
  <c r="I13" i="7" s="1"/>
  <c r="I14" i="7" s="1"/>
  <c r="G9" i="7"/>
  <c r="F10" i="7" s="1"/>
  <c r="G10" i="7" s="1"/>
  <c r="D48" i="5"/>
  <c r="H5" i="5" a="1"/>
  <c r="F6" i="1" a="1"/>
  <c r="D7" i="3" a="1"/>
  <c r="B2" i="6" a="1"/>
  <c r="D5" i="3" a="1"/>
  <c r="B5" i="5" a="1"/>
  <c r="D49" i="5" a="1"/>
  <c r="C2" i="2" a="1"/>
  <c r="D4" i="3" a="1"/>
  <c r="D8" i="3" a="1"/>
  <c r="D6" i="3" a="1"/>
  <c r="F6" i="7" a="1"/>
  <c r="F6" i="7" l="1"/>
  <c r="E10" i="7"/>
  <c r="F11" i="7"/>
  <c r="G11" i="7" s="1"/>
  <c r="E9" i="7"/>
  <c r="D7" i="3"/>
  <c r="D6" i="3"/>
  <c r="D8" i="3"/>
  <c r="D5" i="3"/>
  <c r="B2" i="6"/>
  <c r="D4" i="3"/>
  <c r="H5" i="5"/>
  <c r="B5" i="5"/>
  <c r="C2" i="2"/>
  <c r="K1" i="7" s="1"/>
  <c r="F6" i="1"/>
  <c r="D49" i="5"/>
  <c r="F5" i="3" a="1"/>
  <c r="G7" i="3" a="1"/>
  <c r="F6" i="4" a="1"/>
  <c r="G6" i="3" a="1"/>
  <c r="F8" i="3" a="1"/>
  <c r="G8" i="3" a="1"/>
  <c r="D50" i="5" a="1"/>
  <c r="E6" i="2" a="1"/>
  <c r="F1" i="7" a="1"/>
  <c r="G5" i="3" a="1"/>
  <c r="F7" i="3" a="1"/>
  <c r="F6" i="3" a="1"/>
  <c r="D51" i="5" a="1"/>
  <c r="F1" i="7" l="1"/>
  <c r="F12" i="7"/>
  <c r="G12" i="7" s="1"/>
  <c r="E11" i="7"/>
  <c r="F5" i="3"/>
  <c r="G5" i="3"/>
  <c r="F8" i="3"/>
  <c r="G8" i="3"/>
  <c r="F6" i="3"/>
  <c r="G6" i="3"/>
  <c r="G7" i="3"/>
  <c r="F7" i="3"/>
  <c r="D51" i="5"/>
  <c r="F6" i="4"/>
  <c r="E6" i="2"/>
  <c r="D50" i="5"/>
  <c r="C5" i="6"/>
  <c r="D33" i="5"/>
  <c r="D28" i="5"/>
  <c r="D23" i="5"/>
  <c r="D18" i="5"/>
  <c r="D13" i="5"/>
  <c r="D38" i="5" a="1"/>
  <c r="D43" i="5" a="1"/>
  <c r="E19" i="7" a="1"/>
  <c r="G47" i="7" a="1"/>
  <c r="G44" i="7" a="1"/>
  <c r="G56" i="7" a="1"/>
  <c r="G38" i="7" a="1"/>
  <c r="I19" i="7" a="1"/>
  <c r="G51" i="7" a="1"/>
  <c r="G55" i="7" a="1"/>
  <c r="G24" i="7" a="1"/>
  <c r="G31" i="7" a="1"/>
  <c r="G21" i="7" a="1"/>
  <c r="G54" i="7" a="1"/>
  <c r="G34" i="7" a="1"/>
  <c r="G20" i="7" a="1"/>
  <c r="G29" i="7" a="1"/>
  <c r="G33" i="7" a="1"/>
  <c r="G52" i="7" a="1"/>
  <c r="G42" i="7" a="1"/>
  <c r="G22" i="7" a="1"/>
  <c r="G27" i="7" a="1"/>
  <c r="P19" i="7" a="1"/>
  <c r="G50" i="7" a="1"/>
  <c r="G46" i="7" a="1"/>
  <c r="G25" i="7" a="1"/>
  <c r="G26" i="7" a="1"/>
  <c r="G39" i="7" a="1"/>
  <c r="G32" i="7" a="1"/>
  <c r="G37" i="7" a="1"/>
  <c r="G41" i="7" a="1"/>
  <c r="G35" i="7" a="1"/>
  <c r="G23" i="7" a="1"/>
  <c r="G28" i="7" a="1"/>
  <c r="G40" i="7" a="1"/>
  <c r="G49" i="7" a="1"/>
  <c r="G45" i="7" a="1"/>
  <c r="M6" i="7" a="1"/>
  <c r="G43" i="7" a="1"/>
  <c r="G36" i="7" a="1"/>
  <c r="G48" i="7" a="1"/>
  <c r="G57" i="7" a="1"/>
  <c r="G53" i="7" a="1"/>
  <c r="D14" i="5" a="1"/>
  <c r="D19" i="5" a="1"/>
  <c r="G30" i="7" a="1"/>
  <c r="P29" i="7" a="1"/>
  <c r="P29" i="7" l="1"/>
  <c r="G30" i="7"/>
  <c r="G53" i="7"/>
  <c r="G57" i="7"/>
  <c r="G48" i="7"/>
  <c r="G36" i="7"/>
  <c r="G43" i="7"/>
  <c r="M6" i="7"/>
  <c r="G45" i="7"/>
  <c r="G49" i="7"/>
  <c r="G40" i="7"/>
  <c r="G28" i="7"/>
  <c r="G23" i="7"/>
  <c r="G35" i="7"/>
  <c r="G41" i="7"/>
  <c r="G37" i="7"/>
  <c r="G32" i="7"/>
  <c r="G39" i="7"/>
  <c r="G26" i="7"/>
  <c r="G25" i="7"/>
  <c r="G46" i="7"/>
  <c r="G50" i="7"/>
  <c r="P19" i="7"/>
  <c r="G27" i="7"/>
  <c r="G22" i="7"/>
  <c r="G42" i="7"/>
  <c r="G52" i="7"/>
  <c r="G33" i="7"/>
  <c r="G29" i="7"/>
  <c r="G20" i="7"/>
  <c r="G34" i="7"/>
  <c r="G54" i="7"/>
  <c r="G21" i="7"/>
  <c r="G31" i="7"/>
  <c r="G24" i="7"/>
  <c r="G55" i="7"/>
  <c r="G51" i="7"/>
  <c r="I19" i="7"/>
  <c r="G38" i="7"/>
  <c r="G56" i="7"/>
  <c r="G44" i="7"/>
  <c r="G47" i="7"/>
  <c r="E19" i="7"/>
  <c r="E12" i="7"/>
  <c r="F13" i="7"/>
  <c r="G13" i="7" s="1"/>
  <c r="D38" i="5"/>
  <c r="D43" i="5"/>
  <c r="D19" i="5"/>
  <c r="D14" i="5"/>
  <c r="J11" i="4"/>
  <c r="J12" i="4" s="1"/>
  <c r="J13" i="4" s="1"/>
  <c r="J14" i="4" s="1"/>
  <c r="J10" i="4"/>
  <c r="I14" i="4"/>
  <c r="I12" i="4"/>
  <c r="I10" i="4"/>
  <c r="I11" i="4"/>
  <c r="I13" i="4" s="1"/>
  <c r="G9" i="4"/>
  <c r="E9" i="4" s="1"/>
  <c r="I10" i="1"/>
  <c r="I11" i="1" s="1"/>
  <c r="I12" i="1" s="1"/>
  <c r="I13" i="1" s="1"/>
  <c r="I14" i="1" s="1"/>
  <c r="G9" i="1"/>
  <c r="E9" i="1" s="1"/>
  <c r="D16" i="5" a="1"/>
  <c r="C6" i="6" a="1"/>
  <c r="G19" i="7" a="1"/>
  <c r="D20" i="5" a="1"/>
  <c r="D15" i="5" a="1"/>
  <c r="I28" i="7" a="1"/>
  <c r="D21" i="5" a="1"/>
  <c r="D44" i="5" a="1"/>
  <c r="I28" i="7" l="1"/>
  <c r="G19" i="7"/>
  <c r="E13" i="7"/>
  <c r="F14" i="7"/>
  <c r="G14" i="7" s="1"/>
  <c r="E14" i="7" s="1"/>
  <c r="D16" i="5"/>
  <c r="D21" i="5"/>
  <c r="C6" i="6"/>
  <c r="D44" i="5"/>
  <c r="D20" i="5"/>
  <c r="D15" i="5"/>
  <c r="F10" i="4"/>
  <c r="G10" i="4" s="1"/>
  <c r="F10" i="1"/>
  <c r="G10" i="1" s="1"/>
  <c r="F11" i="1" s="1"/>
  <c r="G11" i="1" s="1"/>
  <c r="F12" i="1" s="1"/>
  <c r="G12" i="1" s="1"/>
  <c r="E12" i="1" s="1"/>
  <c r="G4" i="3" a="1"/>
  <c r="D29" i="5" a="1"/>
  <c r="D24" i="5" a="1"/>
  <c r="C8" i="6" a="1"/>
  <c r="D39" i="5" a="1"/>
  <c r="D34" i="5" a="1"/>
  <c r="F4" i="3" a="1"/>
  <c r="C7" i="6" a="1"/>
  <c r="D46" i="5" a="1"/>
  <c r="D45" i="5" a="1"/>
  <c r="D46" i="5" l="1"/>
  <c r="C8" i="6"/>
  <c r="D24" i="5"/>
  <c r="C7" i="6"/>
  <c r="D45" i="5"/>
  <c r="D39" i="5"/>
  <c r="D29" i="5"/>
  <c r="D34" i="5"/>
  <c r="K1" i="1"/>
  <c r="K1" i="4"/>
  <c r="F11" i="4"/>
  <c r="G11" i="4" s="1"/>
  <c r="E10" i="4"/>
  <c r="G4" i="3"/>
  <c r="F4" i="3"/>
  <c r="F13" i="1"/>
  <c r="G13" i="1" s="1"/>
  <c r="F14" i="1" s="1"/>
  <c r="G14" i="1" s="1"/>
  <c r="E14" i="1" s="1"/>
  <c r="E10" i="1"/>
  <c r="E11" i="1"/>
  <c r="D40" i="5" a="1"/>
  <c r="H8" i="3" a="1"/>
  <c r="D36" i="5" a="1"/>
  <c r="D25" i="5" a="1"/>
  <c r="H6" i="3" a="1"/>
  <c r="D31" i="5" a="1"/>
  <c r="H4" i="3" a="1"/>
  <c r="D41" i="5" a="1"/>
  <c r="H7" i="3" a="1"/>
  <c r="D26" i="5" a="1"/>
  <c r="H5" i="3" a="1"/>
  <c r="D35" i="5" a="1"/>
  <c r="D30" i="5" a="1"/>
  <c r="C10" i="6" a="1"/>
  <c r="H7" i="3" l="1"/>
  <c r="H6" i="3"/>
  <c r="H5" i="3"/>
  <c r="H8" i="3"/>
  <c r="H4" i="3"/>
  <c r="D36" i="5"/>
  <c r="D41" i="5"/>
  <c r="D26" i="5"/>
  <c r="D31" i="5"/>
  <c r="C10" i="6"/>
  <c r="D35" i="5"/>
  <c r="D30" i="5"/>
  <c r="D40" i="5"/>
  <c r="D25" i="5"/>
  <c r="E11" i="4"/>
  <c r="F12" i="4"/>
  <c r="G12" i="4" s="1"/>
  <c r="E13" i="1"/>
  <c r="I8" i="3" a="1"/>
  <c r="I5" i="3" a="1"/>
  <c r="I6" i="3" a="1"/>
  <c r="I4" i="3" a="1"/>
  <c r="I7" i="3" a="1"/>
  <c r="C11" i="6" a="1"/>
  <c r="I5" i="3" l="1"/>
  <c r="I6" i="3"/>
  <c r="I7" i="3"/>
  <c r="I8" i="3"/>
  <c r="I4" i="3"/>
  <c r="AS21" i="7"/>
  <c r="AS19" i="7"/>
  <c r="AS20" i="7"/>
  <c r="AR20" i="7"/>
  <c r="AR21" i="7"/>
  <c r="AR19" i="7"/>
  <c r="C5" i="7"/>
  <c r="AI55" i="7"/>
  <c r="AH54" i="7"/>
  <c r="AG53" i="7"/>
  <c r="AI47" i="7"/>
  <c r="AH46" i="7"/>
  <c r="AG45" i="7"/>
  <c r="AI39" i="7"/>
  <c r="AH38" i="7"/>
  <c r="AG37" i="7"/>
  <c r="AI31" i="7"/>
  <c r="AI25" i="7"/>
  <c r="AG23" i="7"/>
  <c r="AG21" i="7"/>
  <c r="AI56" i="7"/>
  <c r="AH55" i="7"/>
  <c r="AG54" i="7"/>
  <c r="AI48" i="7"/>
  <c r="AH47" i="7"/>
  <c r="AG46" i="7"/>
  <c r="AI40" i="7"/>
  <c r="AH39" i="7"/>
  <c r="AG38" i="7"/>
  <c r="AI32" i="7"/>
  <c r="AH31" i="7"/>
  <c r="AH25" i="7"/>
  <c r="AI22" i="7"/>
  <c r="AH52" i="7"/>
  <c r="AG35" i="7"/>
  <c r="AH30" i="7"/>
  <c r="AI57" i="7"/>
  <c r="AH56" i="7"/>
  <c r="AG55" i="7"/>
  <c r="AI49" i="7"/>
  <c r="AH48" i="7"/>
  <c r="AG47" i="7"/>
  <c r="AI41" i="7"/>
  <c r="AH40" i="7"/>
  <c r="AG39" i="7"/>
  <c r="AI33" i="7"/>
  <c r="AH32" i="7"/>
  <c r="AG31" i="7"/>
  <c r="AI29" i="7"/>
  <c r="AI27" i="7"/>
  <c r="AG25" i="7"/>
  <c r="AH22" i="7"/>
  <c r="AI53" i="7"/>
  <c r="AG51" i="7"/>
  <c r="AI45" i="7"/>
  <c r="AH44" i="7"/>
  <c r="AG43" i="7"/>
  <c r="AI37" i="7"/>
  <c r="AH36" i="7"/>
  <c r="AH26" i="7"/>
  <c r="AI23" i="7"/>
  <c r="AI21" i="7"/>
  <c r="AH57" i="7"/>
  <c r="AG56" i="7"/>
  <c r="AI50" i="7"/>
  <c r="AH49" i="7"/>
  <c r="AG48" i="7"/>
  <c r="AI42" i="7"/>
  <c r="AH41" i="7"/>
  <c r="AG40" i="7"/>
  <c r="AI34" i="7"/>
  <c r="AH33" i="7"/>
  <c r="AG32" i="7"/>
  <c r="AH29" i="7"/>
  <c r="AI28" i="7"/>
  <c r="AH27" i="7"/>
  <c r="AI24" i="7"/>
  <c r="AG22" i="7"/>
  <c r="AI20" i="7"/>
  <c r="AG57" i="7"/>
  <c r="AI51" i="7"/>
  <c r="AH50" i="7"/>
  <c r="AG49" i="7"/>
  <c r="AI43" i="7"/>
  <c r="AH42" i="7"/>
  <c r="AG41" i="7"/>
  <c r="AI35" i="7"/>
  <c r="AH34" i="7"/>
  <c r="AG33" i="7"/>
  <c r="AG29" i="7"/>
  <c r="AH28" i="7"/>
  <c r="AG27" i="7"/>
  <c r="AH24" i="7"/>
  <c r="AH20" i="7"/>
  <c r="AI19" i="7"/>
  <c r="AI52" i="7"/>
  <c r="AH51" i="7"/>
  <c r="AG50" i="7"/>
  <c r="AI44" i="7"/>
  <c r="AH43" i="7"/>
  <c r="AG42" i="7"/>
  <c r="AI36" i="7"/>
  <c r="AH35" i="7"/>
  <c r="AG34" i="7"/>
  <c r="AI30" i="7"/>
  <c r="AG28" i="7"/>
  <c r="AI26" i="7"/>
  <c r="AG24" i="7"/>
  <c r="AG20" i="7"/>
  <c r="AI54" i="7"/>
  <c r="AH53" i="7"/>
  <c r="AG52" i="7"/>
  <c r="AI46" i="7"/>
  <c r="AH45" i="7"/>
  <c r="AG44" i="7"/>
  <c r="AI38" i="7"/>
  <c r="AH37" i="7"/>
  <c r="AG36" i="7"/>
  <c r="AG30" i="7"/>
  <c r="AG26" i="7"/>
  <c r="AH23" i="7"/>
  <c r="AH21" i="7"/>
  <c r="C11" i="6"/>
  <c r="F13" i="4"/>
  <c r="G13" i="4" s="1"/>
  <c r="E12" i="4"/>
  <c r="P30" i="7" a="1"/>
  <c r="J8" i="3" a="1"/>
  <c r="F1" i="1" a="1"/>
  <c r="J5" i="3" a="1"/>
  <c r="J6" i="3" a="1"/>
  <c r="J7" i="3" a="1"/>
  <c r="I20" i="7" a="1"/>
  <c r="J4" i="3" a="1"/>
  <c r="J7" i="3" l="1"/>
  <c r="J6" i="3"/>
  <c r="J8" i="3"/>
  <c r="J5" i="3"/>
  <c r="J4" i="3"/>
  <c r="C7" i="7"/>
  <c r="AS65" i="7"/>
  <c r="AS61" i="7"/>
  <c r="AS57" i="7"/>
  <c r="AR56" i="7"/>
  <c r="AS49" i="7"/>
  <c r="AR48" i="7"/>
  <c r="AS41" i="7"/>
  <c r="AR40" i="7"/>
  <c r="AS33" i="7"/>
  <c r="AR32" i="7"/>
  <c r="P30" i="7"/>
  <c r="AR30" i="7" s="1"/>
  <c r="AR65" i="7"/>
  <c r="AR61" i="7"/>
  <c r="AR57" i="7"/>
  <c r="AS50" i="7"/>
  <c r="AR49" i="7"/>
  <c r="AS42" i="7"/>
  <c r="AR41" i="7"/>
  <c r="AS34" i="7"/>
  <c r="AR33" i="7"/>
  <c r="AS58" i="7"/>
  <c r="AR54" i="7"/>
  <c r="AR38" i="7"/>
  <c r="AS64" i="7"/>
  <c r="AS60" i="7"/>
  <c r="AS51" i="7"/>
  <c r="AR50" i="7"/>
  <c r="AS43" i="7"/>
  <c r="AR42" i="7"/>
  <c r="AS35" i="7"/>
  <c r="AR34" i="7"/>
  <c r="AS62" i="7"/>
  <c r="AS55" i="7"/>
  <c r="AS47" i="7"/>
  <c r="AR46" i="7"/>
  <c r="AS39" i="7"/>
  <c r="AR64" i="7"/>
  <c r="AR60" i="7"/>
  <c r="AS52" i="7"/>
  <c r="AR51" i="7"/>
  <c r="AS44" i="7"/>
  <c r="AR43" i="7"/>
  <c r="AS36" i="7"/>
  <c r="AR35" i="7"/>
  <c r="AS63" i="7"/>
  <c r="AS59" i="7"/>
  <c r="AS53" i="7"/>
  <c r="AR52" i="7"/>
  <c r="AS45" i="7"/>
  <c r="AR44" i="7"/>
  <c r="AS37" i="7"/>
  <c r="AR36" i="7"/>
  <c r="AS31" i="7"/>
  <c r="AR63" i="7"/>
  <c r="AR59" i="7"/>
  <c r="AS54" i="7"/>
  <c r="AR53" i="7"/>
  <c r="AS46" i="7"/>
  <c r="AR45" i="7"/>
  <c r="AS38" i="7"/>
  <c r="AR37" i="7"/>
  <c r="AS30" i="7"/>
  <c r="AR62" i="7"/>
  <c r="AR58" i="7"/>
  <c r="AS56" i="7"/>
  <c r="AR55" i="7"/>
  <c r="AS48" i="7"/>
  <c r="AR47" i="7"/>
  <c r="AS40" i="7"/>
  <c r="AR39" i="7"/>
  <c r="AS32" i="7"/>
  <c r="AR31" i="7"/>
  <c r="AO26" i="7"/>
  <c r="AM24" i="7"/>
  <c r="AP23" i="7"/>
  <c r="AK22" i="7"/>
  <c r="AP21" i="7"/>
  <c r="AM20" i="7"/>
  <c r="AN26" i="7"/>
  <c r="AL24" i="7"/>
  <c r="AO23" i="7"/>
  <c r="AO21" i="7"/>
  <c r="AL20" i="7"/>
  <c r="AM26" i="7"/>
  <c r="AP25" i="7"/>
  <c r="AK24" i="7"/>
  <c r="AN23" i="7"/>
  <c r="AN21" i="7"/>
  <c r="AO24" i="7"/>
  <c r="AL26" i="7"/>
  <c r="AO25" i="7"/>
  <c r="AM23" i="7"/>
  <c r="AP22" i="7"/>
  <c r="AM21" i="7"/>
  <c r="AL25" i="7"/>
  <c r="I20" i="7"/>
  <c r="AK20" i="7" s="1"/>
  <c r="AK26" i="7"/>
  <c r="AN25" i="7"/>
  <c r="AL23" i="7"/>
  <c r="AO22" i="7"/>
  <c r="AL21" i="7"/>
  <c r="AO20" i="7"/>
  <c r="AM25" i="7"/>
  <c r="AP24" i="7"/>
  <c r="AK23" i="7"/>
  <c r="AN22" i="7"/>
  <c r="AK21" i="7"/>
  <c r="AP20" i="7"/>
  <c r="AM22" i="7"/>
  <c r="AP26" i="7"/>
  <c r="AK25" i="7"/>
  <c r="AN24" i="7"/>
  <c r="AL22" i="7"/>
  <c r="AN20" i="7"/>
  <c r="AG19" i="7"/>
  <c r="AH19" i="7"/>
  <c r="F1" i="1"/>
  <c r="E13" i="4"/>
  <c r="F14" i="4"/>
  <c r="G14" i="4" s="1"/>
  <c r="E14" i="4" s="1"/>
  <c r="G32" i="1" a="1"/>
  <c r="G35" i="1" a="1"/>
  <c r="G43" i="1" a="1"/>
  <c r="G28" i="1" a="1"/>
  <c r="G25" i="1" a="1"/>
  <c r="G33" i="1" a="1"/>
  <c r="G31" i="1" a="1"/>
  <c r="G49" i="1" a="1"/>
  <c r="G56" i="1" a="1"/>
  <c r="E19" i="1" a="1"/>
  <c r="G40" i="1" a="1"/>
  <c r="G41" i="1" a="1"/>
  <c r="G27" i="1" a="1"/>
  <c r="G38" i="1" a="1"/>
  <c r="G51" i="1" a="1"/>
  <c r="G57" i="1" a="1"/>
  <c r="G46" i="1" a="1"/>
  <c r="G23" i="1" a="1"/>
  <c r="I29" i="7" a="1"/>
  <c r="G55" i="1" a="1"/>
  <c r="P19" i="1" a="1"/>
  <c r="G47" i="1" a="1"/>
  <c r="G37" i="1" a="1"/>
  <c r="I19" i="1" a="1"/>
  <c r="G44" i="1" a="1"/>
  <c r="M6" i="1" a="1"/>
  <c r="G26" i="1" a="1"/>
  <c r="G29" i="1" a="1"/>
  <c r="G36" i="1" a="1"/>
  <c r="G50" i="1" a="1"/>
  <c r="G30" i="1" a="1"/>
  <c r="G48" i="1" a="1"/>
  <c r="G34" i="1" a="1"/>
  <c r="G45" i="1" a="1"/>
  <c r="G22" i="1" a="1"/>
  <c r="G42" i="1" a="1"/>
  <c r="G52" i="1" a="1"/>
  <c r="G24" i="1" a="1"/>
  <c r="G21" i="1" a="1"/>
  <c r="G53" i="1" a="1"/>
  <c r="G54" i="1" a="1"/>
  <c r="G20" i="1" a="1"/>
  <c r="G39" i="1" a="1"/>
  <c r="M6" i="1" l="1"/>
  <c r="AO30" i="7"/>
  <c r="AL29" i="7"/>
  <c r="AN30" i="7"/>
  <c r="AM30" i="7"/>
  <c r="AN29" i="7"/>
  <c r="AL30" i="7"/>
  <c r="AK30" i="7"/>
  <c r="AP29" i="7"/>
  <c r="AO29" i="7"/>
  <c r="AP30" i="7"/>
  <c r="AM29" i="7"/>
  <c r="I29" i="7"/>
  <c r="AK29" i="7" s="1"/>
  <c r="C8" i="7"/>
  <c r="C3" i="7"/>
  <c r="C4" i="7"/>
  <c r="G48" i="1"/>
  <c r="G55" i="1"/>
  <c r="G39" i="1"/>
  <c r="G26" i="1"/>
  <c r="G33" i="1"/>
  <c r="P19" i="1"/>
  <c r="AR19" i="1" s="1"/>
  <c r="G44" i="1"/>
  <c r="G51" i="1"/>
  <c r="G54" i="1"/>
  <c r="G22" i="1"/>
  <c r="G29" i="1"/>
  <c r="G40" i="1"/>
  <c r="G47" i="1"/>
  <c r="G50" i="1"/>
  <c r="G57" i="1"/>
  <c r="G25" i="1"/>
  <c r="G36" i="1"/>
  <c r="G46" i="1"/>
  <c r="G21" i="1"/>
  <c r="G32" i="1"/>
  <c r="G42" i="1"/>
  <c r="G38" i="1"/>
  <c r="G56" i="1"/>
  <c r="G24" i="1"/>
  <c r="G27" i="1"/>
  <c r="G34" i="1"/>
  <c r="G41" i="1"/>
  <c r="G52" i="1"/>
  <c r="G20" i="1"/>
  <c r="G23" i="1"/>
  <c r="G30" i="1"/>
  <c r="G37" i="1"/>
  <c r="G43" i="1"/>
  <c r="G53" i="1"/>
  <c r="G35" i="1"/>
  <c r="G49" i="1"/>
  <c r="I19" i="1"/>
  <c r="G28" i="1"/>
  <c r="G31" i="1"/>
  <c r="G45" i="1"/>
  <c r="E19" i="1"/>
  <c r="AS21" i="1"/>
  <c r="AR21" i="1"/>
  <c r="AS19" i="1"/>
  <c r="AS20" i="1"/>
  <c r="AR20" i="1"/>
  <c r="AG27" i="1"/>
  <c r="AH42" i="1"/>
  <c r="AH46" i="1"/>
  <c r="AI55" i="1"/>
  <c r="AH51" i="1"/>
  <c r="AH22" i="1"/>
  <c r="AH28" i="1"/>
  <c r="AG39" i="1"/>
  <c r="AG24" i="1"/>
  <c r="AH57" i="1"/>
  <c r="AH45" i="1"/>
  <c r="AI28" i="1"/>
  <c r="AH26" i="1"/>
  <c r="AG44" i="1"/>
  <c r="AI21" i="1"/>
  <c r="AH55" i="1"/>
  <c r="AG53" i="1"/>
  <c r="AG51" i="1"/>
  <c r="AG29" i="1"/>
  <c r="AG46" i="1"/>
  <c r="AH48" i="1"/>
  <c r="AI26" i="1"/>
  <c r="AI45" i="1"/>
  <c r="AG41" i="1"/>
  <c r="AH30" i="1"/>
  <c r="AH35" i="1"/>
  <c r="AG36" i="1"/>
  <c r="AG56" i="1"/>
  <c r="AI22" i="1"/>
  <c r="AG21" i="1"/>
  <c r="AH43" i="1"/>
  <c r="AH20" i="1"/>
  <c r="AG28" i="1"/>
  <c r="AI40" i="1"/>
  <c r="AG32" i="1"/>
  <c r="AI57" i="1"/>
  <c r="AI52" i="1"/>
  <c r="AG43" i="1"/>
  <c r="AI49" i="1"/>
  <c r="AI36" i="1"/>
  <c r="AI43" i="1"/>
  <c r="AH32" i="1"/>
  <c r="AH33" i="1"/>
  <c r="AH27" i="1"/>
  <c r="AG34" i="1"/>
  <c r="AG48" i="1"/>
  <c r="AI32" i="1"/>
  <c r="AI42" i="1"/>
  <c r="AG50" i="1"/>
  <c r="AI41" i="1"/>
  <c r="AI20" i="1"/>
  <c r="AI30" i="1"/>
  <c r="AI19" i="1"/>
  <c r="AH34" i="1"/>
  <c r="AH53" i="1"/>
  <c r="AG23" i="1"/>
  <c r="AG55" i="1"/>
  <c r="AI37" i="1"/>
  <c r="AH23" i="1"/>
  <c r="AG54" i="1"/>
  <c r="AG42" i="1"/>
  <c r="AI48" i="1"/>
  <c r="AG45" i="1"/>
  <c r="AH31" i="1"/>
  <c r="AI46" i="1"/>
  <c r="AH50" i="1"/>
  <c r="AI47" i="1"/>
  <c r="AG37" i="1"/>
  <c r="AH47" i="1"/>
  <c r="AG49" i="1"/>
  <c r="AH41" i="1"/>
  <c r="AG25" i="1"/>
  <c r="AI51" i="1"/>
  <c r="AH52" i="1"/>
  <c r="AH25" i="1"/>
  <c r="AH56" i="1"/>
  <c r="AG26" i="1"/>
  <c r="AH37" i="1"/>
  <c r="AI29" i="1"/>
  <c r="AI38" i="1"/>
  <c r="AG35" i="1"/>
  <c r="AG57" i="1"/>
  <c r="AH38" i="1"/>
  <c r="AI34" i="1"/>
  <c r="AH54" i="1"/>
  <c r="AH21" i="1"/>
  <c r="AI44" i="1"/>
  <c r="AI31" i="1"/>
  <c r="AI39" i="1"/>
  <c r="AI54" i="1"/>
  <c r="AH29" i="1"/>
  <c r="AH39" i="1"/>
  <c r="AI27" i="1"/>
  <c r="AG40" i="1"/>
  <c r="AH40" i="1"/>
  <c r="AG33" i="1"/>
  <c r="AI35" i="1"/>
  <c r="AI33" i="1"/>
  <c r="AG30" i="1"/>
  <c r="AH36" i="1"/>
  <c r="AH49" i="1"/>
  <c r="AG47" i="1"/>
  <c r="AI53" i="1"/>
  <c r="AI23" i="1"/>
  <c r="AG31" i="1"/>
  <c r="AI56" i="1"/>
  <c r="AI25" i="1"/>
  <c r="AG38" i="1"/>
  <c r="AI24" i="1"/>
  <c r="AG22" i="1"/>
  <c r="AH44" i="1"/>
  <c r="AH24" i="1"/>
  <c r="AG52" i="1"/>
  <c r="AG20" i="1"/>
  <c r="AI50" i="1"/>
  <c r="C5" i="1"/>
  <c r="I20" i="1" a="1"/>
  <c r="P29" i="1" a="1"/>
  <c r="F1" i="4" a="1"/>
  <c r="G19" i="1" a="1"/>
  <c r="I28" i="1" a="1"/>
  <c r="P29" i="1" l="1"/>
  <c r="C6" i="7"/>
  <c r="G19" i="1"/>
  <c r="I28" i="1"/>
  <c r="I20" i="1"/>
  <c r="AK20" i="1" s="1"/>
  <c r="F1" i="4"/>
  <c r="C7" i="1"/>
  <c r="AP22" i="1"/>
  <c r="AO23" i="1"/>
  <c r="AM24" i="1"/>
  <c r="AP26" i="1"/>
  <c r="AP24" i="1"/>
  <c r="AN26" i="1"/>
  <c r="AL24" i="1"/>
  <c r="AL26" i="1"/>
  <c r="AK21" i="1"/>
  <c r="AL23" i="1"/>
  <c r="AO24" i="1"/>
  <c r="AP20" i="1"/>
  <c r="AM26" i="1"/>
  <c r="AO22" i="1"/>
  <c r="AP25" i="1"/>
  <c r="AN21" i="1"/>
  <c r="AP21" i="1"/>
  <c r="AK26" i="1"/>
  <c r="AM23" i="1"/>
  <c r="AK24" i="1"/>
  <c r="AN23" i="1"/>
  <c r="AN24" i="1"/>
  <c r="AL21" i="1"/>
  <c r="AL22" i="1"/>
  <c r="AL20" i="1"/>
  <c r="AK23" i="1"/>
  <c r="AO20" i="1"/>
  <c r="AN25" i="1"/>
  <c r="AO26" i="1"/>
  <c r="AN20" i="1"/>
  <c r="AN22" i="1"/>
  <c r="AK22" i="1"/>
  <c r="AP23" i="1"/>
  <c r="AO25" i="1"/>
  <c r="AO21" i="1"/>
  <c r="AM20" i="1"/>
  <c r="AM22" i="1"/>
  <c r="AL25" i="1"/>
  <c r="AM21" i="1"/>
  <c r="AM25" i="1"/>
  <c r="AK25" i="1"/>
  <c r="AH19" i="1"/>
  <c r="AG19" i="1"/>
  <c r="P30" i="1" a="1"/>
  <c r="G31" i="4" a="1"/>
  <c r="G51" i="4" a="1"/>
  <c r="G47" i="4" a="1"/>
  <c r="G29" i="4" a="1"/>
  <c r="G37" i="4" a="1"/>
  <c r="G22" i="4" a="1"/>
  <c r="G39" i="4" a="1"/>
  <c r="G38" i="4" a="1"/>
  <c r="G49" i="4" a="1"/>
  <c r="M6" i="4" a="1"/>
  <c r="G41" i="4" a="1"/>
  <c r="G30" i="4" a="1"/>
  <c r="G45" i="4" a="1"/>
  <c r="G28" i="4" a="1"/>
  <c r="G24" i="4" a="1"/>
  <c r="G53" i="4" a="1"/>
  <c r="G26" i="4" a="1"/>
  <c r="G25" i="4" a="1"/>
  <c r="G50" i="4" a="1"/>
  <c r="G34" i="4" a="1"/>
  <c r="G43" i="4" a="1"/>
  <c r="G21" i="4" a="1"/>
  <c r="G57" i="4" a="1"/>
  <c r="G46" i="4" a="1"/>
  <c r="G36" i="4" a="1"/>
  <c r="G48" i="4" a="1"/>
  <c r="G20" i="4" a="1"/>
  <c r="G55" i="4" a="1"/>
  <c r="I32" i="4" a="1"/>
  <c r="G35" i="4" a="1"/>
  <c r="G23" i="4" a="1"/>
  <c r="I29" i="1" a="1"/>
  <c r="I19" i="4" a="1"/>
  <c r="G40" i="4" a="1"/>
  <c r="G56" i="4" a="1"/>
  <c r="G52" i="4" a="1"/>
  <c r="G32" i="4" a="1"/>
  <c r="E19" i="4" a="1"/>
  <c r="G44" i="4" a="1"/>
  <c r="G33" i="4" a="1"/>
  <c r="G54" i="4" a="1"/>
  <c r="G27" i="4" a="1"/>
  <c r="G42" i="4" a="1"/>
  <c r="P30" i="1" l="1"/>
  <c r="M6" i="4"/>
  <c r="G45" i="4"/>
  <c r="G36" i="4"/>
  <c r="G20" i="4"/>
  <c r="G31" i="4"/>
  <c r="G26" i="4"/>
  <c r="G41" i="4"/>
  <c r="G24" i="4"/>
  <c r="G23" i="4"/>
  <c r="G54" i="4"/>
  <c r="G22" i="4"/>
  <c r="G37" i="4"/>
  <c r="G27" i="4"/>
  <c r="G55" i="4"/>
  <c r="G50" i="4"/>
  <c r="I19" i="4"/>
  <c r="G33" i="4"/>
  <c r="G56" i="4"/>
  <c r="G51" i="4"/>
  <c r="G46" i="4"/>
  <c r="E19" i="4"/>
  <c r="G21" i="4"/>
  <c r="G48" i="4"/>
  <c r="G42" i="4"/>
  <c r="G40" i="4"/>
  <c r="G43" i="4"/>
  <c r="G57" i="4"/>
  <c r="G53" i="4"/>
  <c r="G52" i="4"/>
  <c r="G32" i="4"/>
  <c r="G39" i="4"/>
  <c r="G34" i="4"/>
  <c r="I32" i="4"/>
  <c r="G49" i="4"/>
  <c r="G44" i="4"/>
  <c r="G28" i="4"/>
  <c r="G35" i="4"/>
  <c r="G30" i="4"/>
  <c r="G29" i="4"/>
  <c r="G47" i="4"/>
  <c r="G25" i="4"/>
  <c r="G38" i="4"/>
  <c r="I29" i="1"/>
  <c r="AK29" i="1" s="1"/>
  <c r="AR47" i="1"/>
  <c r="AS50" i="1"/>
  <c r="AR54" i="1"/>
  <c r="AS53" i="1"/>
  <c r="AR53" i="1"/>
  <c r="AS56" i="1"/>
  <c r="AR60" i="1"/>
  <c r="AS59" i="1"/>
  <c r="AR30" i="1"/>
  <c r="AS62" i="1"/>
  <c r="AS33" i="1"/>
  <c r="AR40" i="1"/>
  <c r="AR55" i="1"/>
  <c r="AR62" i="1"/>
  <c r="AS32" i="1"/>
  <c r="AR36" i="1"/>
  <c r="AS65" i="1"/>
  <c r="AR43" i="1"/>
  <c r="AS46" i="1"/>
  <c r="AR50" i="1"/>
  <c r="AS49" i="1"/>
  <c r="AR49" i="1"/>
  <c r="AS52" i="1"/>
  <c r="AR56" i="1"/>
  <c r="AS55" i="1"/>
  <c r="AS30" i="1"/>
  <c r="AR33" i="1"/>
  <c r="AS39" i="1"/>
  <c r="AS64" i="1"/>
  <c r="AR65" i="1"/>
  <c r="AR39" i="1"/>
  <c r="AS42" i="1"/>
  <c r="AR46" i="1"/>
  <c r="AS45" i="1"/>
  <c r="AR45" i="1"/>
  <c r="AS48" i="1"/>
  <c r="AR52" i="1"/>
  <c r="AS51" i="1"/>
  <c r="AR34" i="1"/>
  <c r="AR61" i="1"/>
  <c r="AS63" i="1"/>
  <c r="AR35" i="1"/>
  <c r="AS38" i="1"/>
  <c r="AR42" i="1"/>
  <c r="AS41" i="1"/>
  <c r="AR41" i="1"/>
  <c r="AS44" i="1"/>
  <c r="AR48" i="1"/>
  <c r="AS47" i="1"/>
  <c r="AS61" i="1"/>
  <c r="AR63" i="1"/>
  <c r="AR31" i="1"/>
  <c r="AS34" i="1"/>
  <c r="AR38" i="1"/>
  <c r="AS37" i="1"/>
  <c r="AR37" i="1"/>
  <c r="AS40" i="1"/>
  <c r="AR44" i="1"/>
  <c r="AS43" i="1"/>
  <c r="AR59" i="1"/>
  <c r="AS36" i="1"/>
  <c r="AS58" i="1"/>
  <c r="AS35" i="1"/>
  <c r="AR51" i="1"/>
  <c r="AS54" i="1"/>
  <c r="AR58" i="1"/>
  <c r="AS57" i="1"/>
  <c r="AR57" i="1"/>
  <c r="AS60" i="1"/>
  <c r="AR64" i="1"/>
  <c r="AR32" i="1"/>
  <c r="AS31" i="1"/>
  <c r="C3" i="1"/>
  <c r="C4" i="1"/>
  <c r="AC57" i="4"/>
  <c r="AB54" i="4"/>
  <c r="AA51" i="4"/>
  <c r="AC49" i="4"/>
  <c r="AB46" i="4"/>
  <c r="AA43" i="4"/>
  <c r="AC41" i="4"/>
  <c r="AB38" i="4"/>
  <c r="AA35" i="4"/>
  <c r="AC33" i="4"/>
  <c r="AC29" i="4"/>
  <c r="AB28" i="4"/>
  <c r="AA27" i="4"/>
  <c r="AB24" i="4"/>
  <c r="AC21" i="4"/>
  <c r="AC24" i="4"/>
  <c r="AB57" i="4"/>
  <c r="AA54" i="4"/>
  <c r="AC52" i="4"/>
  <c r="AB49" i="4"/>
  <c r="AA46" i="4"/>
  <c r="AC44" i="4"/>
  <c r="AB41" i="4"/>
  <c r="AA38" i="4"/>
  <c r="AC36" i="4"/>
  <c r="AB33" i="4"/>
  <c r="AB29" i="4"/>
  <c r="AA28" i="4"/>
  <c r="AC26" i="4"/>
  <c r="AA24" i="4"/>
  <c r="AB21" i="4"/>
  <c r="AC28" i="4"/>
  <c r="AA22" i="4"/>
  <c r="AA57" i="4"/>
  <c r="AC55" i="4"/>
  <c r="AB52" i="4"/>
  <c r="AA49" i="4"/>
  <c r="AC47" i="4"/>
  <c r="AB44" i="4"/>
  <c r="AA41" i="4"/>
  <c r="AC39" i="4"/>
  <c r="AB36" i="4"/>
  <c r="AA33" i="4"/>
  <c r="AC31" i="4"/>
  <c r="AA29" i="4"/>
  <c r="AB26" i="4"/>
  <c r="AC23" i="4"/>
  <c r="AA21" i="4"/>
  <c r="AC19" i="4"/>
  <c r="AC54" i="4"/>
  <c r="AB43" i="4"/>
  <c r="AA30" i="4"/>
  <c r="AB55" i="4"/>
  <c r="AA52" i="4"/>
  <c r="AC50" i="4"/>
  <c r="AB47" i="4"/>
  <c r="AA44" i="4"/>
  <c r="AC42" i="4"/>
  <c r="AB39" i="4"/>
  <c r="AA36" i="4"/>
  <c r="AC34" i="4"/>
  <c r="AB31" i="4"/>
  <c r="AA26" i="4"/>
  <c r="AB23" i="4"/>
  <c r="AC20" i="4"/>
  <c r="AC46" i="4"/>
  <c r="AA32" i="4"/>
  <c r="AB27" i="4"/>
  <c r="AA55" i="4"/>
  <c r="AC53" i="4"/>
  <c r="AB50" i="4"/>
  <c r="AA47" i="4"/>
  <c r="AC45" i="4"/>
  <c r="AB42" i="4"/>
  <c r="AA39" i="4"/>
  <c r="AC37" i="4"/>
  <c r="AB34" i="4"/>
  <c r="AA31" i="4"/>
  <c r="AC25" i="4"/>
  <c r="AA23" i="4"/>
  <c r="AB20" i="4"/>
  <c r="AA48" i="4"/>
  <c r="AC38" i="4"/>
  <c r="AC56" i="4"/>
  <c r="AB53" i="4"/>
  <c r="AA50" i="4"/>
  <c r="AC48" i="4"/>
  <c r="AB45" i="4"/>
  <c r="AA42" i="4"/>
  <c r="AC40" i="4"/>
  <c r="AB37" i="4"/>
  <c r="AA34" i="4"/>
  <c r="AC32" i="4"/>
  <c r="AC30" i="4"/>
  <c r="AB25" i="4"/>
  <c r="AC22" i="4"/>
  <c r="AA20" i="4"/>
  <c r="AB56" i="4"/>
  <c r="AA53" i="4"/>
  <c r="AC51" i="4"/>
  <c r="AB48" i="4"/>
  <c r="AA45" i="4"/>
  <c r="AC43" i="4"/>
  <c r="AB40" i="4"/>
  <c r="AA37" i="4"/>
  <c r="AC35" i="4"/>
  <c r="AB32" i="4"/>
  <c r="AB30" i="4"/>
  <c r="AC27" i="4"/>
  <c r="AA25" i="4"/>
  <c r="AB22" i="4"/>
  <c r="AA56" i="4"/>
  <c r="AB51" i="4"/>
  <c r="AA40" i="4"/>
  <c r="AB35" i="4"/>
  <c r="C5" i="4"/>
  <c r="AL29" i="1"/>
  <c r="AM30" i="1"/>
  <c r="AP30" i="1"/>
  <c r="AM29" i="1"/>
  <c r="AN29" i="1"/>
  <c r="AO30" i="1"/>
  <c r="AP29" i="1"/>
  <c r="AN30" i="1"/>
  <c r="AL30" i="1"/>
  <c r="AO29" i="1"/>
  <c r="AK30" i="1"/>
  <c r="I33" i="4" a="1"/>
  <c r="I20" i="4" a="1"/>
  <c r="I38" i="4" a="1"/>
  <c r="G19" i="4" a="1"/>
  <c r="I28" i="4" a="1"/>
  <c r="I42" i="4" a="1"/>
  <c r="G19" i="4" l="1"/>
  <c r="I28" i="4"/>
  <c r="I20" i="4"/>
  <c r="AE20" i="4" s="1"/>
  <c r="I42" i="4"/>
  <c r="I38" i="4"/>
  <c r="I33" i="4"/>
  <c r="C8" i="1"/>
  <c r="AE26" i="4"/>
  <c r="AH25" i="4"/>
  <c r="AF23" i="4"/>
  <c r="AI22" i="4"/>
  <c r="AG20" i="4"/>
  <c r="AG25" i="4"/>
  <c r="AJ24" i="4"/>
  <c r="AE23" i="4"/>
  <c r="AH22" i="4"/>
  <c r="AF20" i="4"/>
  <c r="AF25" i="4"/>
  <c r="AI24" i="4"/>
  <c r="AG22" i="4"/>
  <c r="AJ21" i="4"/>
  <c r="AI25" i="4"/>
  <c r="AE21" i="4"/>
  <c r="AJ26" i="4"/>
  <c r="AE25" i="4"/>
  <c r="AH24" i="4"/>
  <c r="AF22" i="4"/>
  <c r="AI21" i="4"/>
  <c r="AG23" i="4"/>
  <c r="AI26" i="4"/>
  <c r="AG24" i="4"/>
  <c r="AJ23" i="4"/>
  <c r="AE22" i="4"/>
  <c r="AH21" i="4"/>
  <c r="AH20" i="4"/>
  <c r="AH26" i="4"/>
  <c r="AF24" i="4"/>
  <c r="AI23" i="4"/>
  <c r="AG21" i="4"/>
  <c r="AJ20" i="4"/>
  <c r="AG26" i="4"/>
  <c r="AJ25" i="4"/>
  <c r="AE24" i="4"/>
  <c r="AH23" i="4"/>
  <c r="AF21" i="4"/>
  <c r="AI20" i="4"/>
  <c r="AF26" i="4"/>
  <c r="AJ22" i="4"/>
  <c r="AB19" i="4"/>
  <c r="AA19" i="4"/>
  <c r="C6" i="1"/>
  <c r="I29" i="4" a="1"/>
  <c r="I39" i="4" a="1"/>
  <c r="I34" i="4" a="1"/>
  <c r="I43" i="4" a="1"/>
  <c r="I39" i="4" l="1"/>
  <c r="AE39" i="4" s="1"/>
  <c r="I43" i="4"/>
  <c r="AE43" i="4" s="1"/>
  <c r="C9" i="4" s="1"/>
  <c r="I34" i="4"/>
  <c r="AE34" i="4" s="1"/>
  <c r="I29" i="4"/>
  <c r="AE29" i="4" s="1"/>
  <c r="AI40" i="4"/>
  <c r="AG39" i="4"/>
  <c r="AF40" i="4"/>
  <c r="AI39" i="4"/>
  <c r="AJ40" i="4"/>
  <c r="AH39" i="4"/>
  <c r="AH40" i="4"/>
  <c r="AF39" i="4"/>
  <c r="AG40" i="4"/>
  <c r="AE40" i="4"/>
  <c r="AJ39" i="4"/>
  <c r="AE36" i="4"/>
  <c r="AI34" i="4"/>
  <c r="AJ36" i="4"/>
  <c r="AH35" i="4"/>
  <c r="AF34" i="4"/>
  <c r="AF36" i="4"/>
  <c r="AJ34" i="4"/>
  <c r="AJ35" i="4"/>
  <c r="AH34" i="4"/>
  <c r="AI35" i="4"/>
  <c r="AG34" i="4"/>
  <c r="AI36" i="4"/>
  <c r="AG35" i="4"/>
  <c r="AH36" i="4"/>
  <c r="AF35" i="4"/>
  <c r="AG36" i="4"/>
  <c r="AE35" i="4"/>
  <c r="C3" i="4"/>
  <c r="AI30" i="4"/>
  <c r="AH30" i="4"/>
  <c r="AG30" i="4"/>
  <c r="AJ29" i="4"/>
  <c r="AF30" i="4"/>
  <c r="AI29" i="4"/>
  <c r="AE30" i="4"/>
  <c r="AH29" i="4"/>
  <c r="AG29" i="4"/>
  <c r="AF29" i="4"/>
  <c r="AJ30" i="4"/>
  <c r="C4" i="4"/>
  <c r="C8" i="4" l="1"/>
  <c r="C7" i="4"/>
  <c r="C6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<sst xmlns="http://schemas.openxmlformats.org/spreadsheetml/2006/main" count="633" uniqueCount="157">
  <si>
    <t>payment _date</t>
  </si>
  <si>
    <t>payment _date</t>
    <phoneticPr fontId="1"/>
  </si>
  <si>
    <t>start_date</t>
  </si>
  <si>
    <t>start_date</t>
    <phoneticPr fontId="1"/>
  </si>
  <si>
    <t>end_date</t>
  </si>
  <si>
    <t>end_date</t>
    <phoneticPr fontId="1"/>
  </si>
  <si>
    <t>day_count_type</t>
  </si>
  <si>
    <t>day_count_type</t>
    <phoneticPr fontId="1"/>
  </si>
  <si>
    <t>ACT/360</t>
  </si>
  <si>
    <t>ACT/360</t>
    <phoneticPr fontId="1"/>
  </si>
  <si>
    <t>amout</t>
  </si>
  <si>
    <t>amout</t>
    <phoneticPr fontId="1"/>
  </si>
  <si>
    <t>fixed_rate</t>
  </si>
  <si>
    <t>fixed_rate</t>
    <phoneticPr fontId="1"/>
  </si>
  <si>
    <t>trade_code</t>
  </si>
  <si>
    <t>trade_code</t>
    <phoneticPr fontId="1"/>
  </si>
  <si>
    <t>money_00001</t>
  </si>
  <si>
    <t>money_00001</t>
    <phoneticPr fontId="1"/>
  </si>
  <si>
    <t>couter_party</t>
  </si>
  <si>
    <t>couter_party</t>
    <phoneticPr fontId="1"/>
  </si>
  <si>
    <t>CP00001</t>
  </si>
  <si>
    <t>CP00001</t>
    <phoneticPr fontId="1"/>
  </si>
  <si>
    <t>fixed_leg.pay_or_recieve</t>
  </si>
  <si>
    <t>fixed_leg.pay_or_recieve</t>
    <phoneticPr fontId="1"/>
  </si>
  <si>
    <t>Receive</t>
  </si>
  <si>
    <t>Receive</t>
    <phoneticPr fontId="1"/>
  </si>
  <si>
    <t>fixed_leg.cashflows</t>
    <phoneticPr fontId="1"/>
  </si>
  <si>
    <t>trade_json</t>
    <phoneticPr fontId="1"/>
  </si>
  <si>
    <t>key_value</t>
  </si>
  <si>
    <t>key_value</t>
    <phoneticPr fontId="1"/>
  </si>
  <si>
    <t>cashflow_tables</t>
  </si>
  <si>
    <t>cashflow_tables</t>
    <phoneticPr fontId="1"/>
  </si>
  <si>
    <t>fixed_leg.cashflows.[0].payment _date</t>
  </si>
  <si>
    <t>fixed_leg.cashflows.[0].start_date</t>
  </si>
  <si>
    <t>fixed_leg.cashflows.[0].end_date</t>
  </si>
  <si>
    <t>fixed_leg.cashflows.[0].day_count_type</t>
  </si>
  <si>
    <t>fixed_leg.cashflows.[0].amout</t>
  </si>
  <si>
    <t>fixed_leg.cashflows.[0].fixed_rate</t>
  </si>
  <si>
    <t>fixed_leg.cashflows.[1].payment _date</t>
  </si>
  <si>
    <t>fixed_leg.cashflows.[1].start_date</t>
  </si>
  <si>
    <t>fixed_leg.cashflows.[1].end_date</t>
  </si>
  <si>
    <t>fixed_leg.cashflows.[1].day_count_type</t>
  </si>
  <si>
    <t>fixed_leg.cashflows.[1].amout</t>
  </si>
  <si>
    <t>fixed_leg.cashflows.[1].fixed_rate</t>
  </si>
  <si>
    <t>fixed_leg.cashflows.[2].payment _date</t>
  </si>
  <si>
    <t>fixed_leg.cashflows.[2].start_date</t>
  </si>
  <si>
    <t>fixed_leg.cashflows.[2].end_date</t>
  </si>
  <si>
    <t>fixed_leg.cashflows.[2].day_count_type</t>
  </si>
  <si>
    <t>fixed_leg.cashflows.[2].amout</t>
  </si>
  <si>
    <t>fixed_leg.cashflows.[2].fixed_rate</t>
  </si>
  <si>
    <t>fixed_leg.cashflows.[3].payment _date</t>
  </si>
  <si>
    <t>fixed_leg.cashflows.[3].start_date</t>
  </si>
  <si>
    <t>fixed_leg.cashflows.[3].end_date</t>
  </si>
  <si>
    <t>fixed_leg.cashflows.[3].day_count_type</t>
  </si>
  <si>
    <t>fixed_leg.cashflows.[3].amout</t>
  </si>
  <si>
    <t>fixed_leg.cashflows.[3].fixed_rate</t>
  </si>
  <si>
    <t>fixed_leg.cashflows.[4].payment _date</t>
  </si>
  <si>
    <t>fixed_leg.cashflows.[4].start_date</t>
  </si>
  <si>
    <t>fixed_leg.cashflows.[4].end_date</t>
  </si>
  <si>
    <t>fixed_leg.cashflows.[4].day_count_type</t>
  </si>
  <si>
    <t>fixed_leg.cashflows.[4].amout</t>
  </si>
  <si>
    <t>fixed_leg.cashflows.[4].fixed_rate</t>
  </si>
  <si>
    <t>fixed_leg.cashflows.[5].payment _date</t>
  </si>
  <si>
    <t>fixed_leg.cashflows.[5].start_date</t>
  </si>
  <si>
    <t>fixed_leg.cashflows.[5].end_date</t>
  </si>
  <si>
    <t>fixed_leg.cashflows.[5].day_count_type</t>
  </si>
  <si>
    <t>fixed_leg.cashflows.[5].amout</t>
  </si>
  <si>
    <t>fixed_leg.cashflows.[5].fixed_rate</t>
  </si>
  <si>
    <t>actual</t>
    <phoneticPr fontId="1"/>
  </si>
  <si>
    <t>expected</t>
    <phoneticPr fontId="1"/>
  </si>
  <si>
    <t>result</t>
    <phoneticPr fontId="1"/>
  </si>
  <si>
    <t>keyvalues</t>
    <phoneticPr fontId="1"/>
  </si>
  <si>
    <t>table</t>
    <phoneticPr fontId="1"/>
  </si>
  <si>
    <t>jsontext</t>
    <phoneticPr fontId="1"/>
  </si>
  <si>
    <t>expectd</t>
    <phoneticPr fontId="1"/>
  </si>
  <si>
    <t>table2</t>
    <phoneticPr fontId="1"/>
  </si>
  <si>
    <t>excel_value.excel_error_to</t>
  </si>
  <si>
    <t>Error</t>
  </si>
  <si>
    <t>excel_value.excel_missing_to</t>
  </si>
  <si>
    <t>Null</t>
  </si>
  <si>
    <t>excel_value.excel_empty_to</t>
  </si>
  <si>
    <t>excel_value.excel_string_empty_to</t>
  </si>
  <si>
    <t>excel_value.null_to_excel</t>
  </si>
  <si>
    <t>excel_value.string_empty_to_excel</t>
  </si>
  <si>
    <t>configuration</t>
    <phoneticPr fontId="1"/>
  </si>
  <si>
    <t>dump</t>
    <phoneticPr fontId="1"/>
  </si>
  <si>
    <t>source</t>
    <phoneticPr fontId="1"/>
  </si>
  <si>
    <t>StringEmpty</t>
  </si>
  <si>
    <t>json.double_to_date_text.[0].date_format</t>
  </si>
  <si>
    <t>yyyy-MM-dd</t>
  </si>
  <si>
    <t>json.double_to_date_text.[0].keys.[0]</t>
  </si>
  <si>
    <t>json.double_to_date_text.[0].keys.[1]</t>
    <phoneticPr fontId="1"/>
  </si>
  <si>
    <t>json.double_to_date_text.[0].keys.[2]</t>
    <phoneticPr fontId="1"/>
  </si>
  <si>
    <t>2022-03-12</t>
  </si>
  <si>
    <t>2021-09-13</t>
  </si>
  <si>
    <t>2022-09-08</t>
  </si>
  <si>
    <t>2023-03-07</t>
  </si>
  <si>
    <t>2023-09-03</t>
  </si>
  <si>
    <t>2024-03-01</t>
  </si>
  <si>
    <t>2024-08-28</t>
  </si>
  <si>
    <t>client</t>
    <phoneticPr fontId="1"/>
  </si>
  <si>
    <t>status</t>
    <phoneticPr fontId="1"/>
  </si>
  <si>
    <t>client0</t>
    <phoneticPr fontId="1"/>
  </si>
  <si>
    <t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t>
  </si>
  <si>
    <t>keyvalues1</t>
    <phoneticPr fontId="1"/>
  </si>
  <si>
    <t>table3</t>
    <phoneticPr fontId="1"/>
  </si>
  <si>
    <t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_date":"2022-09-08","start_date":"2022-03-12","end_date":"2022-09-08","day_count_type":"ACT/360","amout":10000000,"fixed_rate":0.0011},{"payment _date":"2023-03-07","start_date":"2022-09-08","end_date":"2023-03-07","day_count_type":"ACT/360","amout":11000000,"fixed_rate":0.0012000000000000001},{"payment _date":"2023-09-03","start_date":"2023-03-07","end_date":"2023-09-03","day_count_type":"ACT/360","amout":11000000,"fixed_rate":0.0013000000000000002},{"payment _date":"2024-03-01","start_date":"2023-09-03","end_date":"2024-03-01","day_count_type":"ACT/360","amout":12000000,"fixed_rate":0.0014000000000000002},{"payment _date":"2024-08-28","start_date":"2024-03-01","end_date":"2024-08-28","day_count_type":"ACT/360","amout":12000000,"fixed_rate":0.0015000000000000002}]}}</t>
  </si>
  <si>
    <t/>
  </si>
  <si>
    <t>search</t>
    <phoneticPr fontId="1"/>
  </si>
  <si>
    <t>search1</t>
    <phoneticPr fontId="1"/>
  </si>
  <si>
    <t>search2</t>
    <phoneticPr fontId="1"/>
  </si>
  <si>
    <t>base uri</t>
    <phoneticPr fontId="1"/>
  </si>
  <si>
    <t>response</t>
    <phoneticPr fontId="1"/>
  </si>
  <si>
    <t>content</t>
    <phoneticPr fontId="1"/>
  </si>
  <si>
    <t>uri</t>
    <phoneticPr fontId="1"/>
  </si>
  <si>
    <t>GET</t>
    <phoneticPr fontId="1"/>
  </si>
  <si>
    <t>https://httpbin.org/</t>
  </si>
  <si>
    <t>http://localhost:80/</t>
    <phoneticPr fontId="1"/>
  </si>
  <si>
    <t>POST</t>
    <phoneticPr fontId="1"/>
  </si>
  <si>
    <t>docker run -p 80:80 kennethreitz/httpbin</t>
    <phoneticPr fontId="1"/>
  </si>
  <si>
    <t>user_agent</t>
  </si>
  <si>
    <t>user</t>
  </si>
  <si>
    <t>authorization.scheme</t>
  </si>
  <si>
    <t>authorization.parameter</t>
  </si>
  <si>
    <t>custom_headers.[0].name</t>
  </si>
  <si>
    <t>cname0</t>
  </si>
  <si>
    <t>custom_headers.[0].value</t>
  </si>
  <si>
    <t>value0</t>
  </si>
  <si>
    <t>Bearer</t>
    <phoneticPr fontId="1"/>
  </si>
  <si>
    <t>XXX11111222223333444444</t>
    <phoneticPr fontId="1"/>
  </si>
  <si>
    <t>authorization</t>
    <phoneticPr fontId="1"/>
  </si>
  <si>
    <t>strike</t>
    <phoneticPr fontId="1"/>
  </si>
  <si>
    <t>call_or_put</t>
    <phoneticPr fontId="1"/>
  </si>
  <si>
    <t>CALL</t>
    <phoneticPr fontId="1"/>
  </si>
  <si>
    <t>buy_or_sell</t>
    <phoneticPr fontId="1"/>
  </si>
  <si>
    <t>SELL</t>
    <phoneticPr fontId="1"/>
  </si>
  <si>
    <t>date</t>
    <phoneticPr fontId="1"/>
  </si>
  <si>
    <t>POST with JSON Text</t>
    <phoneticPr fontId="1"/>
  </si>
  <si>
    <t>POST with form value</t>
    <phoneticPr fontId="1"/>
  </si>
  <si>
    <t>POST with form value matrix</t>
    <phoneticPr fontId="1"/>
  </si>
  <si>
    <t>currency_pair.left</t>
    <phoneticPr fontId="1"/>
  </si>
  <si>
    <t>currency_pair.right</t>
    <phoneticPr fontId="1"/>
  </si>
  <si>
    <t>USD</t>
    <phoneticPr fontId="1"/>
  </si>
  <si>
    <t>JPY</t>
    <phoneticPr fontId="1"/>
  </si>
  <si>
    <t>GET with paramters</t>
    <phoneticPr fontId="1"/>
  </si>
  <si>
    <t>defunkt</t>
  </si>
  <si>
    <t>DELAY 10</t>
    <phoneticPr fontId="1"/>
  </si>
  <si>
    <t>id</t>
    <phoneticPr fontId="1"/>
  </si>
  <si>
    <t>socket</t>
    <phoneticPr fontId="1"/>
  </si>
  <si>
    <t>receive</t>
    <phoneticPr fontId="1"/>
  </si>
  <si>
    <t>send 0</t>
    <phoneticPr fontId="1"/>
  </si>
  <si>
    <t>send 1</t>
    <phoneticPr fontId="1"/>
  </si>
  <si>
    <t>client1</t>
  </si>
  <si>
    <t>client2</t>
  </si>
  <si>
    <t>client3</t>
  </si>
  <si>
    <t>client4</t>
  </si>
  <si>
    <t>message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</si>
</sst>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u/>
      <sz val="11"/>
      <color theme="10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2" borderId="0" xfId="0" applyFill="1">
      <alignment vertical="center"/>
    </xf>
    <xf numFmtId="0" fontId="3" fillId="0" borderId="0" xfId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f4ba9c1896ab425fab1f683958da126f">
      <tp>
        <v>2</v>
        <stp/>
        <stp>2be3b7cc-5f9c-4cc3-bb0c-62b0dae59bb0</stp>
        <tr r="G46" s="1"/>
      </tp>
    </main>
    <main first="rtdsrv.f4ba9c1896ab425fab1f683958da126f">
      <tp>
        <v>2</v>
        <stp/>
        <stp>d694bf05-37ed-44af-ad49-2626517a8d82</stp>
        <tr r="F6" s="4"/>
      </tp>
    </main>
    <main first="rtdsrv.f4ba9c1896ab425fab1f683958da126f">
      <tp>
        <v>2</v>
        <stp/>
        <stp>f58848c7-f87a-473a-9f92-d53e404dcdc9</stp>
        <tr r="G44" s="1"/>
      </tp>
      <tp>
        <v>2</v>
        <stp/>
        <stp>9ee880f3-8e3c-43ae-8b64-26780ccb9915</stp>
        <tr r="G32" s="1"/>
      </tp>
    </main>
    <main first="rtdsrv.f4ba9c1896ab425fab1f683958da126f">
      <tp>
        <v>1</v>
        <stp/>
        <stp>9467ea69-ebbc-47cb-b848-70b17ff94c38</stp>
        <tr r="G32" s="7"/>
      </tp>
    </main>
    <main first="rtdsrv.f4ba9c1896ab425fab1f683958da126f">
      <tp>
        <v>2</v>
        <stp/>
        <stp>0a6b5eb4-cfdd-4f07-b8cd-9e9c8177447f</stp>
        <tr r="G23" s="1"/>
      </tp>
    </main>
    <main first="rtdsrv.f4ba9c1896ab425fab1f683958da126f">
      <tp>
        <v>1</v>
        <stp/>
        <stp>8a5abb8c-8a94-40f0-8b65-99df4480ec8e</stp>
        <tr r="G57" s="7"/>
      </tp>
    </main>
    <main first="rtdsrv.f4ba9c1896ab425fab1f683958da126f">
      <tp>
        <v>2</v>
        <stp/>
        <stp>5fc3fc28-f191-4ba1-abcc-3a0aa34c1004</stp>
        <tr r="G50" s="4"/>
      </tp>
      <tp>
        <v>2</v>
        <stp/>
        <stp>016db79d-045f-4949-aa7e-ed92471db8ae</stp>
        <tr r="C10" s="6"/>
      </tp>
    </main>
    <main first="rtdsrv.f4ba9c1896ab425fab1f683958da126f">
      <tp>
        <v>2</v>
        <stp/>
        <stp>a691f9d2-6f23-42f0-8c4f-cd357828e173</stp>
        <tr r="D49" s="5"/>
      </tp>
    </main>
    <main first="rtdsrv.f4ba9c1896ab425fab1f683958da126f">
      <tp>
        <v>1</v>
        <stp/>
        <stp>abbb86f6-b194-497b-9b76-b0a5dfeb2ee3</stp>
        <tr r="G37" s="7"/>
      </tp>
    </main>
    <main first="rtdsrv.f4ba9c1896ab425fab1f683958da126f">
      <tp>
        <v>2</v>
        <stp/>
        <stp>e16a0766-46c5-4921-ac22-df8ea2db55f1</stp>
        <tr r="G40" s="1"/>
      </tp>
    </main>
    <main first="rtdsrv.f4ba9c1896ab425fab1f683958da126f">
      <tp>
        <v>2</v>
        <stp/>
        <stp>67095e9c-bcd5-4b19-872d-1a4e58797279</stp>
        <tr r="G33" s="4"/>
      </tp>
    </main>
    <main first="rtdsrv.f4ba9c1896ab425fab1f683958da126f">
      <tp>
        <v>1</v>
        <stp/>
        <stp>3ab5169b-1eb0-446c-aa08-5a8f43624791</stp>
        <tr r="G27" s="7"/>
      </tp>
    </main>
    <main first="rtdsrv.f4ba9c1896ab425fab1f683958da126f">
      <tp>
        <v>1</v>
        <stp/>
        <stp>1c4a3394-fd5c-4f15-8f39-f012bcc162f9</stp>
        <tr r="G54" s="7"/>
      </tp>
      <tp>
        <v>1</v>
        <stp/>
        <stp>e3d42dd5-3c46-480f-bbe0-649c7d900f7c</stp>
        <tr r="G28" s="7"/>
      </tp>
      <tp>
        <v>2</v>
        <stp/>
        <stp>1c1770f6-261b-424f-ab6e-40e7ef17365a</stp>
        <tr r="G26" s="1"/>
      </tp>
      <tp>
        <v>2</v>
        <stp/>
        <stp>c230e2e5-e1fd-4d35-8979-bae7f1c97f88</stp>
        <tr r="G31" s="1"/>
      </tp>
      <tp>
        <v>2</v>
        <stp/>
        <stp>63a081f2-ee1f-4fae-bdc7-c7cfd5ad9275</stp>
        <tr r="G43" s="4"/>
      </tp>
    </main>
    <main first="rtdsrv.f4ba9c1896ab425fab1f683958da126f">
      <tp>
        <v>2</v>
        <stp/>
        <stp>242bdd7a-bd35-4f87-bb8d-9647085d5be4</stp>
        <tr r="G21" s="1"/>
      </tp>
      <tp>
        <v>1</v>
        <stp/>
        <stp>d90c069f-a039-402f-82d2-98333aff2da4</stp>
        <tr r="G20" s="7"/>
      </tp>
      <tp>
        <v>2</v>
        <stp/>
        <stp>3ac91b4c-51a6-41b3-88cd-5afb47684add</stp>
        <tr r="G48" s="4"/>
      </tp>
      <tp>
        <v>2</v>
        <stp/>
        <stp>d15b13e9-7920-40cd-b6ed-71786f803220</stp>
        <tr r="G51" s="4"/>
      </tp>
    </main>
    <main first="rtdsrv.f4ba9c1896ab425fab1f683958da126f">
      <tp>
        <v>2</v>
        <stp/>
        <stp>d0dc5f2d-7d83-4fcf-9cd8-c82302814828</stp>
        <tr r="I42" s="4"/>
      </tp>
    </main>
    <main first="rtdsrv.f4ba9c1896ab425fab1f683958da126f">
      <tp>
        <v>1</v>
        <stp/>
        <stp>cffe90c3-21f4-475f-90b7-8fe8bc0e5312</stp>
        <tr r="G36" s="7"/>
      </tp>
    </main>
    <main first="rtdsrv.f4ba9c1896ab425fab1f683958da126f">
      <tp>
        <v>2</v>
        <stp/>
        <stp>c1f5529e-4815-4e38-b6d8-53aa46382881</stp>
        <tr r="G48" s="1"/>
      </tp>
    </main>
    <main first="rtdsrv.f4ba9c1896ab425fab1f683958da126f">
      <tp>
        <v>1</v>
        <stp/>
        <stp>9f18bcde-3690-4d5e-bf0e-bc9de529bbed</stp>
        <tr r="P29" s="7"/>
      </tp>
    </main>
    <main first="rtdsrv.f4ba9c1896ab425fab1f683958da126f">
      <tp>
        <v>1</v>
        <stp/>
        <stp>5e9d6388-d4dd-4897-96fb-347871a471e6</stp>
        <tr r="G39" s="7"/>
      </tp>
      <tp>
        <v>2</v>
        <stp/>
        <stp>dd8a3f9c-5c02-4e32-bbd0-0e2257257d45</stp>
        <tr r="G36" s="1"/>
      </tp>
      <tp>
        <v>10</v>
        <stp/>
        <stp>b3567a07-af60-4dda-980d-43a88549b341</stp>
        <tr r="G5" s="3"/>
      </tp>
      <tp>
        <v>2</v>
        <stp/>
        <stp>65eace07-e373-4933-a3dc-60f91304e65e</stp>
        <tr r="G19" s="4"/>
      </tp>
      <tp>
        <v>1</v>
        <stp/>
        <stp>dfe3f701-764c-454f-a3d4-d117360d1463</stp>
        <tr r="G48" s="7"/>
      </tp>
    </main>
    <main first="rtdsrv.f4ba9c1896ab425fab1f683958da126f">
      <tp>
        <v>2</v>
        <stp/>
        <stp>ea6d89a5-cf53-45f4-914e-93a959ddaf2d</stp>
        <tr r="D44" s="5"/>
      </tp>
    </main>
    <main first="rtdsrv.f4ba9c1896ab425fab1f683958da126f">
      <tp>
        <v>2</v>
        <stp/>
        <stp>2a2b758e-427b-4420-b988-297ad39bd6ba</stp>
        <tr r="G29" s="4"/>
      </tp>
      <tp>
        <v>1</v>
        <stp/>
        <stp>d673be0d-c99d-453a-983c-aa02bc157425</stp>
        <tr r="F5" s="3"/>
      </tp>
    </main>
    <main first="rtdsrv.f4ba9c1896ab425fab1f683958da126f">
      <tp>
        <v>2</v>
        <stp/>
        <stp>da9a8d3f-c6d1-4c73-b553-632793ed5437</stp>
        <tr r="D6" s="3"/>
      </tp>
    </main>
    <main first="rtdsrv.f4ba9c1896ab425fab1f683958da126f">
      <tp>
        <v>2</v>
        <stp/>
        <stp>68e75c14-51fa-4121-b1a5-785d271eee3c</stp>
        <tr r="G49" s="1"/>
      </tp>
    </main>
    <main first="rtdsrv.f4ba9c1896ab425fab1f683958da126f">
      <tp>
        <v>2</v>
        <stp/>
        <stp>51dec17d-25b1-4149-bf4f-a99040a8fb9b</stp>
        <tr r="G53" s="4"/>
      </tp>
      <tp>
        <v>2</v>
        <stp/>
        <stp>c784409c-042a-44cb-b4b4-62d902672c09</stp>
        <tr r="G38" s="4"/>
      </tp>
    </main>
    <main first="rtdsrv.f4ba9c1896ab425fab1f683958da126f">
      <tp>
        <v>2</v>
        <stp/>
        <stp>4ba71934-8f87-465e-bf19-d66cf6920c49</stp>
        <tr r="G55" s="1"/>
      </tp>
      <tp>
        <v>2</v>
        <stp/>
        <stp>1e86cd06-4c55-4cc0-97d1-f4d36d9fae1d</stp>
        <tr r="G52" s="1"/>
      </tp>
      <tp>
        <v>2</v>
        <stp/>
        <stp>402efd1f-480a-4af8-8e94-f78e2a01ac45</stp>
        <tr r="G46" s="4"/>
      </tp>
    </main>
    <main first="rtdsrv.f4ba9c1896ab425fab1f683958da126f">
      <tp>
        <v>2</v>
        <stp/>
        <stp>6d877cce-f653-4066-8231-5e37a17a9e4e</stp>
        <tr r="G45" s="4"/>
      </tp>
      <tp>
        <v>2</v>
        <stp/>
        <stp>e68a8ff0-1986-42b2-adf8-fe307c652f48</stp>
        <tr r="G24" s="1"/>
      </tp>
    </main>
    <main first="rtdsrv.f4ba9c1896ab425fab1f683958da126f">
      <tp>
        <v>2</v>
        <stp/>
        <stp>df050d6e-5669-49e9-b013-195aef63154c</stp>
        <tr r="G41" s="1"/>
      </tp>
    </main>
    <main first="rtdsrv.f4ba9c1896ab425fab1f683958da126f">
      <tp>
        <v>10</v>
        <stp/>
        <stp>dfc95e24-ae9c-4c8f-921d-14ad4e7a3168</stp>
        <tr r="G7" s="3"/>
      </tp>
      <tp>
        <v>2</v>
        <stp/>
        <stp>ddf4dd30-6ac6-4b6c-b8b4-00e0a3e91a18</stp>
        <tr r="G40" s="4"/>
      </tp>
    </main>
    <main first="rtdsrv.f4ba9c1896ab425fab1f683958da126f">
      <tp>
        <v>2</v>
        <stp/>
        <stp>14d74b96-862f-4dfc-b8c4-84697d4cad76</stp>
        <tr r="G22" s="1"/>
      </tp>
    </main>
    <main first="rtdsrv.f4ba9c1896ab425fab1f683958da126f">
      <tp>
        <v>2</v>
        <stp/>
        <stp>e7dd845d-695b-4744-93b1-1eff6d26389a</stp>
        <tr r="G47" s="1"/>
      </tp>
      <tp>
        <v>1</v>
        <stp/>
        <stp>0db93fa1-82c6-43f3-8f5a-7bb84327574a</stp>
        <tr r="G46" s="7"/>
      </tp>
      <tp>
        <v>1</v>
        <stp/>
        <stp>30454dd4-5fa3-4fde-be81-0ca3ca12edc2</stp>
        <tr r="G26" s="7"/>
      </tp>
    </main>
    <main first="rtdsrv.f4ba9c1896ab425fab1f683958da126f">
      <tp>
        <v>2</v>
        <stp/>
        <stp>ea26a4ea-6b0c-4ed6-b29b-e0f3b2e08515</stp>
        <tr r="D8" s="3"/>
      </tp>
      <tp>
        <v>1</v>
        <stp/>
        <stp>ef92d0c6-7bf8-4e43-8e85-f2193b9c9ad0</stp>
        <tr r="H5" s="3"/>
      </tp>
      <tp>
        <v>2</v>
        <stp/>
        <stp>01acccbd-2349-4ba1-819e-a207a46f850e</stp>
        <tr r="B5" s="5"/>
      </tp>
      <tp>
        <v>1</v>
        <stp/>
        <stp>adabd99d-e62f-441b-8d10-02b770942281</stp>
        <tr r="G51" s="7"/>
      </tp>
    </main>
    <main first="rtdsrv.f4ba9c1896ab425fab1f683958da126f">
      <tp>
        <v>2</v>
        <stp/>
        <stp>23a84cc7-9282-4a97-935b-40c1c11d3161</stp>
        <tr r="G27" s="4"/>
      </tp>
      <tp>
        <v>2</v>
        <stp/>
        <stp>9774264b-3ff0-45bb-aaf0-597e05adca32</stp>
        <tr r="G19" s="1"/>
      </tp>
    </main>
    <main first="rtdsrv.f4ba9c1896ab425fab1f683958da126f">
      <tp>
        <v>2</v>
        <stp/>
        <stp>1283d41a-529c-4561-b2c0-b8491bd9ac62</stp>
        <tr r="G51" s="1"/>
      </tp>
    </main>
    <main first="rtdsrv.f4ba9c1896ab425fab1f683958da126f">
      <tp>
        <v>1</v>
        <stp/>
        <stp>c443d228-ff74-42bc-af0e-7f231598980a</stp>
        <tr r="G19" s="7"/>
      </tp>
    </main>
    <main first="rtdsrv.f4ba9c1896ab425fab1f683958da126f">
      <tp>
        <v>2</v>
        <stp/>
        <stp>090381e0-074f-4b66-b044-e76b305d4d05</stp>
        <tr r="G41" s="4"/>
      </tp>
    </main>
    <main first="rtdsrv.f4ba9c1896ab425fab1f683958da126f">
      <tp>
        <v>1</v>
        <stp/>
        <stp>3a6b0f78-dbd1-4379-b1c9-504fb13faaf5</stp>
        <tr r="G43" s="7"/>
      </tp>
      <tp>
        <v>1</v>
        <stp/>
        <stp>35e1bed9-1341-4b3e-9922-2cbfa917e5a4</stp>
        <tr r="G41" s="7"/>
      </tp>
    </main>
    <main first="rtdsrv.f4ba9c1896ab425fab1f683958da126f">
      <tp>
        <v>2</v>
        <stp/>
        <stp>825f3351-444c-4ba4-8b9e-ce8b45b0c6f1</stp>
        <tr r="G37" s="1"/>
      </tp>
      <tp>
        <v>1</v>
        <stp/>
        <stp>a697eeff-ec2c-4394-a981-2f5846c8e452</stp>
        <tr r="G55" s="7"/>
      </tp>
      <tp>
        <v>2</v>
        <stp/>
        <stp>d9efc25d-804e-4598-b013-faa86ac9fd1d</stp>
        <tr r="G26" s="4"/>
      </tp>
    </main>
    <main first="rtdsrv.f4ba9c1896ab425fab1f683958da126f">
      <tp>
        <v>2</v>
        <stp/>
        <stp>a1e96d68-77c3-4754-85a9-d933a482dd69</stp>
        <tr r="G44" s="4"/>
      </tp>
    </main>
    <main first="rtdsrv.f4ba9c1896ab425fab1f683958da126f">
      <tp>
        <v>2</v>
        <stp/>
        <stp>55488d76-2478-4c50-8abd-329e095bfdfe</stp>
        <tr r="G30" s="4"/>
      </tp>
    </main>
    <main first="rtdsrv.f4ba9c1896ab425fab1f683958da126f">
      <tp>
        <v>2</v>
        <stp/>
        <stp>c8e0d8a7-46ee-4118-89be-0a911d8155ac</stp>
        <tr r="G42" s="1"/>
      </tp>
    </main>
    <main first="rtdsrv.f4ba9c1896ab425fab1f683958da126f">
      <tp>
        <v>2</v>
        <stp/>
        <stp>2e91b160-9f4d-476c-941d-fd63abd48f34</stp>
        <tr r="G52" s="4"/>
      </tp>
      <tp>
        <v>2</v>
        <stp/>
        <stp>229e3474-bf38-4bbd-8ce2-d8a130ead214</stp>
        <tr r="C2" s="2"/>
      </tp>
      <tp>
        <v>2</v>
        <stp/>
        <stp>89a6ae71-b944-4bab-b88b-e6eab90f240c</stp>
        <tr r="G23" s="4"/>
      </tp>
    </main>
    <main first="rtdsrv.f4ba9c1896ab425fab1f683958da126f">
      <tp>
        <v>2</v>
        <stp/>
        <stp>5eebc133-d02e-4928-a2c0-67730f9aee15</stp>
        <tr r="G37" s="4"/>
      </tp>
    </main>
    <main first="rtdsrv.f4ba9c1896ab425fab1f683958da126f">
      <tp>
        <v>10</v>
        <stp/>
        <stp>ae63fb78-0c56-4889-b1fa-441b06c16570</stp>
        <tr r="G4" s="3"/>
      </tp>
      <tp>
        <v>1</v>
        <stp/>
        <stp>0a05bd59-e6ca-4eb8-a1e0-c612df024283</stp>
        <tr r="G49" s="7"/>
      </tp>
      <tp>
        <v>2</v>
        <stp/>
        <stp>616c3994-34c9-4ecd-a270-3378801b8462</stp>
        <tr r="D39" s="5"/>
      </tp>
      <tp>
        <v>2</v>
        <stp/>
        <stp>ea1addb6-64d7-4a68-a85b-1d086f004c36</stp>
        <tr r="G39" s="4"/>
      </tp>
    </main>
    <main first="rtdsrv.f4ba9c1896ab425fab1f683958da126f">
      <tp>
        <v>2</v>
        <stp/>
        <stp>04f8bae6-359a-4990-aa77-a0367451499c</stp>
        <tr r="G39" s="1"/>
      </tp>
    </main>
    <main first="rtdsrv.f4ba9c1896ab425fab1f683958da126f">
      <tp>
        <v>1</v>
        <stp/>
        <stp>812eae9e-5f01-44ae-801f-292730d98a13</stp>
        <tr r="G22" s="7"/>
      </tp>
    </main>
    <main first="rtdsrv.f4ba9c1896ab425fab1f683958da126f">
      <tp>
        <v>2</v>
        <stp/>
        <stp>391ea7b2-d3e6-4fc5-bc40-8e441f5fe55d</stp>
        <tr r="G56" s="1"/>
      </tp>
      <tp>
        <v>1</v>
        <stp/>
        <stp>ca7aa457-7b7f-48c1-b706-a07926b198cf</stp>
        <tr r="G42" s="7"/>
      </tp>
      <tp>
        <v>2</v>
        <stp/>
        <stp>0cb5fd9e-61f2-4ef2-be1d-721309fa6d96</stp>
        <tr r="G56" s="4"/>
      </tp>
      <tp>
        <v>1</v>
        <stp/>
        <stp>9aa9f97c-5f75-4a33-ba46-407f37d43074</stp>
        <tr r="G21" s="7"/>
      </tp>
      <tp>
        <v>1</v>
        <stp/>
        <stp>a1a96bc5-5623-45ac-969b-e0fe2f4657fa</stp>
        <tr r="F1" s="7"/>
      </tp>
      <tp>
        <v>2</v>
        <stp/>
        <stp>192cda93-8d57-432d-b92f-cd6a96132930</stp>
        <tr r="F1" s="4"/>
      </tp>
    </main>
    <main first="rtdsrv.f4ba9c1896ab425fab1f683958da126f">
      <tp>
        <v>2</v>
        <stp/>
        <stp>33a8278a-2a51-4b94-bef8-50f3c8ef6198</stp>
        <tr r="G25" s="1"/>
      </tp>
      <tp>
        <v>2</v>
        <stp/>
        <stp>36e7d8c3-8b2a-4e70-8222-b95ce3450caa</stp>
        <tr r="G32" s="4"/>
      </tp>
    </main>
    <main first="rtdsrv.f4ba9c1896ab425fab1f683958da126f">
      <tp>
        <v>2</v>
        <stp/>
        <stp>c722bc01-26c5-4124-bec1-8b3feeb49442</stp>
        <tr r="D34" s="5"/>
      </tp>
      <tp>
        <v>1</v>
        <stp/>
        <stp>7d9dede7-5072-40bd-b282-e85e2a7462ab</stp>
        <tr r="G50" s="7"/>
      </tp>
    </main>
    <main first="rtdsrv.f4ba9c1896ab425fab1f683958da126f">
      <tp>
        <v>1</v>
        <stp/>
        <stp>2ca8c0dc-d9ee-438e-af3c-4fbef2565763</stp>
        <tr r="G25" s="7"/>
      </tp>
      <tp>
        <v>2</v>
        <stp/>
        <stp>b4310409-c8b1-4cce-b0af-26cf11a21be0</stp>
        <tr r="G53" s="1"/>
      </tp>
    </main>
    <main first="rtdsrv.f4ba9c1896ab425fab1f683958da126f">
      <tp>
        <v>2</v>
        <stp/>
        <stp>1497ee58-c603-4ca1-931b-5d7b20872e8a</stp>
        <tr r="G22" s="4"/>
      </tp>
    </main>
    <main first="rtdsrv.f4ba9c1896ab425fab1f683958da126f">
      <tp>
        <v>2</v>
        <stp/>
        <stp>a4e73e65-a5f0-4b33-9756-82f89a394fc6</stp>
        <tr r="F6" s="1"/>
      </tp>
      <tp>
        <v>2</v>
        <stp/>
        <stp>1d7afe08-d336-425c-9863-6bfad7b35fc9</stp>
        <tr r="G33" s="1"/>
      </tp>
      <tp>
        <v>2</v>
        <stp/>
        <stp>316feffe-7135-46bc-9eea-4fec430e2044</stp>
        <tr r="G42" s="4"/>
      </tp>
      <tp>
        <v>2</v>
        <stp/>
        <stp>f17e1dcf-4c12-48f0-ba6f-645b6e94c5b0</stp>
        <tr r="G30" s="1"/>
      </tp>
    </main>
    <main first="rtdsrv.f4ba9c1896ab425fab1f683958da126f">
      <tp>
        <v>1</v>
        <stp/>
        <stp>a9616158-062b-4d3f-8284-6956f9f29eb0</stp>
        <tr r="G38" s="7"/>
      </tp>
    </main>
    <main first="rtdsrv.f4ba9c1896ab425fab1f683958da126f">
      <tp>
        <v>2</v>
        <stp/>
        <stp>6d7bb067-5703-4f3e-9371-6ec10deba2c0</stp>
        <tr r="B2" s="6"/>
      </tp>
      <tp>
        <v>2</v>
        <stp/>
        <stp>3e890278-4ed4-4c0b-8539-9ac676b5fe13</stp>
        <tr r="G28" s="4"/>
      </tp>
      <tp>
        <v>2</v>
        <stp/>
        <stp>7b7a3b04-edaa-4b01-a96b-70f71709ce4e</stp>
        <tr r="G49" s="4"/>
      </tp>
    </main>
    <main first="rtdsrv.f4ba9c1896ab425fab1f683958da126f">
      <tp>
        <v>2</v>
        <stp/>
        <stp>a6680610-9bd6-4711-b95b-b887472f0269</stp>
        <tr r="I19" s="1"/>
      </tp>
      <tp>
        <v>2</v>
        <stp/>
        <stp>75b9e9b9-e837-4104-9fd2-5d9d2df7a9ae</stp>
        <tr r="G57" s="1"/>
      </tp>
      <tp>
        <v>1</v>
        <stp/>
        <stp>435ca0e7-e847-438a-8b56-73e8e0b1607a</stp>
        <tr r="F4" s="3"/>
      </tp>
    </main>
    <main first="rtdsrv.f4ba9c1896ab425fab1f683958da126f">
      <tp>
        <v>10</v>
        <stp/>
        <stp>7af11d18-4d44-46e6-b414-71da90264611</stp>
        <tr r="G8" s="3"/>
      </tp>
      <tp>
        <v>1</v>
        <stp/>
        <stp>252f0514-1b1a-4660-8af6-dc017a3d3d59</stp>
        <tr r="G47" s="7"/>
      </tp>
      <tp>
        <v>1</v>
        <stp/>
        <stp>6a694569-e2ac-4bc8-a378-1afaf8980f71</stp>
        <tr r="F8" s="3"/>
      </tp>
    </main>
    <main first="rtdsrv.f4ba9c1896ab425fab1f683958da126f">
      <tp>
        <v>2</v>
        <stp/>
        <stp>a12e66c9-a953-4abf-8f7f-8b19beeab1d9</stp>
        <tr r="D19" s="5"/>
      </tp>
    </main>
    <main first="rtdsrv.f4ba9c1896ab425fab1f683958da126f">
      <tp>
        <v>2</v>
        <stp/>
        <stp>bf2202a5-7571-417f-913b-72adb07505ed</stp>
        <tr r="I33" s="4"/>
      </tp>
      <tp>
        <v>1</v>
        <stp/>
        <stp>4636c452-d7fc-4e9b-8d07-edd04d83d26b</stp>
        <tr r="F7" s="3"/>
      </tp>
    </main>
    <main first="rtdsrv.f4ba9c1896ab425fab1f683958da126f">
      <tp>
        <v>2</v>
        <stp/>
        <stp>fefa2d7c-f8a7-42c5-af5a-963e83c2cd06</stp>
        <tr r="G50" s="1"/>
      </tp>
      <tp>
        <v>2</v>
        <stp/>
        <stp>f6614d69-8257-45a9-9a7e-84ec67975ab8</stp>
        <tr r="G21" s="4"/>
      </tp>
      <tp>
        <v>1</v>
        <stp/>
        <stp>9d7bb6cb-58eb-4d16-86f7-facc2dbad40a</stp>
        <tr r="G30" s="7"/>
      </tp>
      <tp>
        <v>10</v>
        <stp/>
        <stp>cd2b1687-8581-4360-ac8e-c015dd58c082</stp>
        <tr r="G6" s="3"/>
      </tp>
    </main>
    <main first="rtdsrv.f4ba9c1896ab425fab1f683958da126f">
      <tp>
        <v>1</v>
        <stp/>
        <stp>ae001d39-bf3e-48c2-9ca9-1f426caae354</stp>
        <tr r="I28" s="7"/>
      </tp>
      <tp>
        <v>2</v>
        <stp/>
        <stp>3f93fd70-de3b-43a6-9616-d42fcfe46571</stp>
        <tr r="G25" s="4"/>
      </tp>
    </main>
    <main first="rtdsrv.f4ba9c1896ab425fab1f683958da126f">
      <tp>
        <v>1</v>
        <stp/>
        <stp>ad01c38b-aca3-403f-9bd3-c261feecee43</stp>
        <tr r="G56" s="7"/>
      </tp>
      <tp>
        <v>2</v>
        <stp/>
        <stp>d59128dd-b3be-4156-ae3b-085ab125fe3e</stp>
        <tr r="D24" s="5"/>
      </tp>
    </main>
    <main first="rtdsrv.f4ba9c1896ab425fab1f683958da126f">
      <tp>
        <v>2</v>
        <stp/>
        <stp>44c0f58c-95a6-42c3-ae91-91dfc6f7a29b</stp>
        <tr r="G43" s="1"/>
      </tp>
      <tp>
        <v>2</v>
        <stp/>
        <stp>e6fe50e4-e01d-47c6-aeda-cc5eca398430</stp>
        <tr r="G54" s="1"/>
      </tp>
      <tp>
        <v>1</v>
        <stp/>
        <stp>4f8a435d-59fb-4f0b-bad1-b0fd1d93e58d</stp>
        <tr r="G34" s="7"/>
      </tp>
      <tp>
        <v>1</v>
        <stp/>
        <stp>9301a5b8-06c9-4d0a-8219-e359af333489</stp>
        <tr r="F6" s="3"/>
      </tp>
    </main>
    <main first="rtdsrv.f4ba9c1896ab425fab1f683958da126f">
      <tp>
        <v>2</v>
        <stp/>
        <stp>105cefc8-7a28-49fd-bce3-a681833adb00</stp>
        <tr r="G35" s="4"/>
      </tp>
    </main>
    <main first="rtdsrv.f4ba9c1896ab425fab1f683958da126f">
      <tp>
        <v>1</v>
        <stp/>
        <stp>fc2540f7-ab7b-4667-a7af-9f9b40750613</stp>
        <tr r="H4" s="3"/>
      </tp>
    </main>
    <main first="rtdsrv.f4ba9c1896ab425fab1f683958da126f">
      <tp>
        <v>2</v>
        <stp/>
        <stp>c894b07c-cac6-4809-9e7d-8bece13bc27b</stp>
        <tr r="I28" s="4"/>
      </tp>
    </main>
    <main first="rtdsrv.f4ba9c1896ab425fab1f683958da126f">
      <tp>
        <v>2</v>
        <stp/>
        <stp>a607bb27-2a4b-4887-a5a0-eef8f578fdbd</stp>
        <tr r="G47" s="4"/>
      </tp>
    </main>
    <main first="rtdsrv.f4ba9c1896ab425fab1f683958da126f">
      <tp>
        <v>1</v>
        <stp/>
        <stp>756293ef-218a-4106-befe-923fb6a90d66</stp>
        <tr r="G53" s="7"/>
      </tp>
      <tp>
        <v>2</v>
        <stp/>
        <stp>ada1a0f1-668b-422f-9da4-72419283ba12</stp>
        <tr r="G31" s="4"/>
      </tp>
      <tp>
        <v>2</v>
        <stp/>
        <stp>9e170313-e77d-4d57-8437-4e2c2ccc55ed</stp>
        <tr r="G24" s="4"/>
      </tp>
      <tp>
        <v>1</v>
        <stp/>
        <stp>cedededc-7a25-4258-aa5c-e378b533183a</stp>
        <tr r="P19" s="7"/>
      </tp>
    </main>
    <main first="rtdsrv.f4ba9c1896ab425fab1f683958da126f">
      <tp>
        <v>1</v>
        <stp/>
        <stp>3602b2f5-b16e-4ed6-af1c-89fe5e24e9cc</stp>
        <tr r="G52" s="7"/>
      </tp>
      <tp>
        <v>1</v>
        <stp/>
        <stp>3cf8c71e-0614-4cd6-bb43-b56ae276bd92</stp>
        <tr r="G24" s="7"/>
      </tp>
      <tp>
        <v>1</v>
        <stp/>
        <stp>180248f0-e5ed-4e40-9bb6-caff0af33242</stp>
        <tr r="G33" s="7"/>
      </tp>
    </main>
    <main first="rtdsrv.f4ba9c1896ab425fab1f683958da126f">
      <tp>
        <v>2</v>
        <stp/>
        <stp>7d6f5fac-ccc2-4ebc-981c-64b8964a449e</stp>
        <tr r="C6" s="6"/>
      </tp>
      <tp>
        <v>2</v>
        <stp/>
        <stp>4fd3c325-0f45-439b-b24d-bc746a4874bb</stp>
        <tr r="G20" s="1"/>
      </tp>
    </main>
    <main first="rtdsrv.f4ba9c1896ab425fab1f683958da126f">
      <tp>
        <v>1</v>
        <stp/>
        <stp>c50a0e51-80ca-4452-a9f8-e626f55af55e</stp>
        <tr r="G23" s="7"/>
      </tp>
    </main>
    <main first="rtdsrv.f4ba9c1896ab425fab1f683958da126f">
      <tp>
        <v>1</v>
        <stp/>
        <stp>e7b1dae2-86d9-4c36-a2e2-d82e699b1686</stp>
        <tr r="G35" s="7"/>
      </tp>
      <tp>
        <v>2</v>
        <stp/>
        <stp>d5b6ffa2-4d4b-4b12-bc1e-9a5e26a4d9e8</stp>
        <tr r="F1" s="1"/>
      </tp>
      <tp>
        <v>1</v>
        <stp/>
        <stp>abc6040f-6e7d-4193-a481-67e134401c65</stp>
        <tr r="H6" s="3"/>
      </tp>
      <tp>
        <v>2</v>
        <stp/>
        <stp>4972e148-5b43-438f-a4d0-ba04460e2c30</stp>
        <tr r="G54" s="4"/>
      </tp>
    </main>
    <main first="rtdsrv.f4ba9c1896ab425fab1f683958da126f">
      <tp>
        <v>2</v>
        <stp/>
        <stp>ec903706-831d-45c5-be05-de219501024c</stp>
        <tr r="P19" s="1"/>
      </tp>
      <tp>
        <v>2</v>
        <stp/>
        <stp>383b3f9a-aa07-4e6c-96c7-7f08e1bdfc4f</stp>
        <tr r="G55" s="4"/>
      </tp>
      <tp>
        <v>2</v>
        <stp/>
        <stp>aacaf4b4-25ce-412b-ba2e-96c66903b341</stp>
        <tr r="H5" s="5"/>
      </tp>
    </main>
    <main first="rtdsrv.f4ba9c1896ab425fab1f683958da126f">
      <tp>
        <v>1</v>
        <stp/>
        <stp>b030e2a6-ff0e-4a18-8b12-3b149a8abf73</stp>
        <tr r="G40" s="7"/>
      </tp>
    </main>
    <main first="rtdsrv.f4ba9c1896ab425fab1f683958da126f">
      <tp>
        <v>2</v>
        <stp/>
        <stp>b66fb909-fbb0-4057-9628-5c9987b55038</stp>
        <tr r="P29" s="1"/>
      </tp>
    </main>
    <main first="rtdsrv.f4ba9c1896ab425fab1f683958da126f">
      <tp>
        <v>1</v>
        <stp/>
        <stp>85349b08-905d-48ad-9739-eaa047954f4b</stp>
        <tr r="H7" s="3"/>
      </tp>
      <tp>
        <v>2</v>
        <stp/>
        <stp>73db43f4-de45-46ad-9f92-4f55ccfbe5f9</stp>
        <tr r="G45" s="1"/>
      </tp>
    </main>
    <main first="rtdsrv.f4ba9c1896ab425fab1f683958da126f">
      <tp>
        <v>1</v>
        <stp/>
        <stp>2e8480f2-2336-4028-bf5d-6e388cca3ec8</stp>
        <tr r="G31" s="7"/>
      </tp>
      <tp>
        <v>2</v>
        <stp/>
        <stp>c9a71c6a-d02d-4072-b276-441eb3d09568</stp>
        <tr r="I28" s="1"/>
      </tp>
      <tp>
        <v>2</v>
        <stp/>
        <stp>0152e211-9123-49c2-a45f-6b65ef02579f</stp>
        <tr r="G27" s="1"/>
      </tp>
      <tp>
        <v>1</v>
        <stp/>
        <stp>096e6448-cc12-4cfe-94e3-2fe7039c75f9</stp>
        <tr r="H8" s="3"/>
      </tp>
    </main>
    <main first="rtdsrv.f4ba9c1896ab425fab1f683958da126f">
      <tp>
        <v>2</v>
        <stp/>
        <stp>1acd0e1c-181c-43ab-8197-7acf379db6b5</stp>
        <tr r="I19" s="4"/>
        <tr r="I32" s="4"/>
      </tp>
    </main>
    <main first="rtdsrv.f4ba9c1896ab425fab1f683958da126f">
      <tp>
        <v>1</v>
        <stp/>
        <stp>868fcc1c-92b5-4caa-bc73-ff96a44cffc6</stp>
        <tr r="F6" s="7"/>
      </tp>
      <tp>
        <v>2</v>
        <stp/>
        <stp>64639453-44e7-4164-bbe4-cf4999c97445</stp>
        <tr r="G34" s="4"/>
      </tp>
      <tp>
        <v>1</v>
        <stp/>
        <stp>d74fd381-9b44-4154-8905-6a47db9044f2</stp>
        <tr r="G44" s="7"/>
      </tp>
      <tp>
        <v>2</v>
        <stp/>
        <stp>a25c4bc9-87d4-4ba8-a090-06dcce35345f</stp>
        <tr r="G20" s="4"/>
      </tp>
      <tp>
        <v>2</v>
        <stp/>
        <stp>334b0682-ceaa-4775-a942-feb7e93f34f8</stp>
        <tr r="G35" s="1"/>
      </tp>
    </main>
    <main first="rtdsrv.f4ba9c1896ab425fab1f683958da126f">
      <tp>
        <v>2</v>
        <stp/>
        <stp>521bee30-0845-42d6-ac8f-029345684a8c</stp>
        <tr r="D29" s="5"/>
      </tp>
    </main>
    <main first="rtdsrv.f4ba9c1896ab425fab1f683958da126f">
      <tp>
        <v>1</v>
        <stp/>
        <stp>69f6d58c-b172-4786-ab59-8fe79a456ee1</stp>
        <tr r="I19" s="7"/>
      </tp>
      <tp>
        <v>2</v>
        <stp/>
        <stp>2b819db3-e882-4f7e-b434-965b54e8c8e5</stp>
        <tr r="D5" s="3"/>
      </tp>
      <tp>
        <v>2</v>
        <stp/>
        <stp>c458900b-d942-4bcf-b59a-6abb1f20270b</stp>
        <tr r="D7" s="3"/>
      </tp>
    </main>
    <main first="rtdsrv.f4ba9c1896ab425fab1f683958da126f">
      <tp>
        <v>2</v>
        <stp/>
        <stp>48fcf2b5-c4b2-4267-b9b2-0e7500b7ce97</stp>
        <tr r="G36" s="4"/>
      </tp>
    </main>
    <main first="rtdsrv.f4ba9c1896ab425fab1f683958da126f">
      <tp>
        <v>2</v>
        <stp/>
        <stp>4eed2b52-efdb-40d1-b952-b49688ad0f3e</stp>
        <tr r="G38" s="1"/>
      </tp>
    </main>
    <main first="rtdsrv.f4ba9c1896ab425fab1f683958da126f">
      <tp>
        <v>2</v>
        <stp/>
        <stp>11a7c090-ca70-47cd-b281-429a7cf53c3c</stp>
        <tr r="D14" s="5"/>
      </tp>
    </main>
    <main first="rtdsrv.f4ba9c1896ab425fab1f683958da126f">
      <tp>
        <v>1</v>
        <stp/>
        <stp>b4ecc9da-54d8-4a71-842e-be3897eb8ef6</stp>
        <tr r="G45" s="7"/>
      </tp>
      <tp>
        <v>2</v>
        <stp/>
        <stp>190dd268-8ab0-4205-a2eb-7f4071a38819</stp>
        <tr r="I38" s="4"/>
      </tp>
      <tp>
        <v>2</v>
        <stp/>
        <stp>0b7f3807-56e3-44d1-9499-0f60f8a6b5b5</stp>
        <tr r="G34" s="1"/>
      </tp>
    </main>
    <main first="rtdsrv.f4ba9c1896ab425fab1f683958da126f">
      <tp>
        <v>2</v>
        <stp/>
        <stp>b71784b5-b538-4805-8a96-9a5da64356e0</stp>
        <tr r="D4" s="3"/>
      </tp>
      <tp>
        <v>2</v>
        <stp/>
        <stp>51a25fea-155d-4663-a2b4-f4fdd7bf882b</stp>
        <tr r="G28" s="1"/>
      </tp>
      <tp>
        <v>2</v>
        <stp/>
        <stp>150e8b86-69c3-407f-bdb4-4292fbacf879</stp>
        <tr r="G29" s="1"/>
      </tp>
      <tp>
        <v>1</v>
        <stp/>
        <stp>3f3c0cc7-aa6c-4f38-a44b-db959cf14df8</stp>
        <tr r="G29" s="7"/>
      </tp>
    </main>
    <main first="rtdsrv.f4ba9c1896ab425fab1f683958da126f">
      <tp>
        <v>2</v>
        <stp/>
        <stp>6e645932-b24d-4124-a9f0-fe330bbaafb2</stp>
        <tr r="G57" s="4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localhost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B3D96-2BED-447F-BDEB-F8DD83959477}">
  <dimension ref="B1:AS65"/>
  <sheetViews>
    <sheetView tabSelected="1" zoomScaleNormal="100" workbookViewId="0"/>
  </sheetViews>
  <sheetFormatPr defaultRowHeight="18.75" x14ac:dyDescent="0.4"/>
  <cols>
    <col min="1" max="1" width="2.25" customWidth="1"/>
    <col min="2" max="2" width="11" bestFit="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25.375" customWidth="1"/>
    <col min="17" max="17" width="54.625" bestFit="1" customWidth="1"/>
    <col min="18" max="18" width="7.375" customWidth="1"/>
    <col min="19" max="19" width="13.5" bestFit="1" customWidth="1"/>
    <col min="21" max="21" width="17" customWidth="1"/>
    <col min="22" max="22" width="10.125" bestFit="1" customWidth="1"/>
    <col min="23" max="23" width="9.5" bestFit="1" customWidth="1"/>
    <col min="24" max="24" width="15.5" bestFit="1" customWidth="1"/>
    <col min="25" max="25" width="9.5" bestFit="1" customWidth="1"/>
    <col min="26" max="26" width="9.875" bestFit="1" customWidth="1"/>
    <col min="30" max="30" width="40.75" customWidth="1"/>
    <col min="31" max="32" width="7.375" customWidth="1"/>
  </cols>
  <sheetData>
    <row r="1" spans="2:28" x14ac:dyDescent="0.4">
      <c r="E1" t="s">
        <v>27</v>
      </c>
      <c r="F1" t="str" cm="1">
        <f t="array" ref="F1">_xll.ExLibris.Json.CreateJsonObject(E3:F6)</f>
        <v>JsonObject:CB67B004-DF42-4274-A6E5-01505F60BA49</v>
      </c>
      <c r="K1" t="str">
        <f>EXLIBRIS_CONFIGURATION</f>
        <v>ExLibris.Core.ExLibrisConfiguration:4D8FC3D0-4486-44D9-9C53-69DA4FB920AF</v>
      </c>
    </row>
    <row r="2" spans="2:28" x14ac:dyDescent="0.4">
      <c r="B2" s="5" t="s">
        <v>70</v>
      </c>
      <c r="C2" s="5"/>
    </row>
    <row r="3" spans="2:28" x14ac:dyDescent="0.4">
      <c r="B3" s="6" t="s">
        <v>71</v>
      </c>
      <c r="C3" s="6">
        <f>COUNTIF(AG19:AI57,FALSE)</f>
        <v>0</v>
      </c>
      <c r="E3" t="s">
        <v>15</v>
      </c>
      <c r="F3" t="s">
        <v>17</v>
      </c>
    </row>
    <row r="4" spans="2:28" x14ac:dyDescent="0.4">
      <c r="B4" s="6" t="s">
        <v>72</v>
      </c>
      <c r="C4" s="6">
        <f>COUNTIF(AK20:AP26,FALSE)</f>
        <v>0</v>
      </c>
      <c r="E4" t="s">
        <v>19</v>
      </c>
      <c r="F4" t="s">
        <v>21</v>
      </c>
    </row>
    <row r="5" spans="2:28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8" x14ac:dyDescent="0.4">
      <c r="B6" s="6" t="s">
        <v>75</v>
      </c>
      <c r="C6" s="6">
        <f>COUNTIF(AK29:AP30,FALSE)</f>
        <v>0</v>
      </c>
      <c r="E6" t="s">
        <v>26</v>
      </c>
      <c r="F6" t="str" cm="1">
        <f t="array" ref="F6">_xll.ExLibris.Json.CreateJsonArray(E8:J14)</f>
        <v>JsonObject:AECB1F11-B17C-48CE-8946-F6D11AF0924F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v>
      </c>
    </row>
    <row r="7" spans="2:28" x14ac:dyDescent="0.4">
      <c r="B7" s="6" t="s">
        <v>104</v>
      </c>
      <c r="C7" s="6">
        <f>COUNTIF(AR19:AS21,FALSE)</f>
        <v>0</v>
      </c>
      <c r="L7" t="s">
        <v>74</v>
      </c>
      <c r="M7" t="s">
        <v>103</v>
      </c>
    </row>
    <row r="8" spans="2:28" x14ac:dyDescent="0.4">
      <c r="B8" s="6" t="s">
        <v>105</v>
      </c>
      <c r="C8" s="6">
        <f>COUNTIF(AR30:AS65,FALSE)</f>
        <v>0</v>
      </c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8" x14ac:dyDescent="0.4"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8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I9+1000000</f>
        <v>11000000</v>
      </c>
      <c r="J10" s="3">
        <v>1E-3</v>
      </c>
    </row>
    <row r="11" spans="2:28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4" si="3">I10+1000000</f>
        <v>12000000</v>
      </c>
      <c r="J11" s="3">
        <v>1E-3</v>
      </c>
    </row>
    <row r="12" spans="2:28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 t="shared" si="3"/>
        <v>13000000</v>
      </c>
      <c r="J12" s="3">
        <v>1E-3</v>
      </c>
    </row>
    <row r="13" spans="2:28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14000000</v>
      </c>
      <c r="J13" s="3">
        <v>1E-3</v>
      </c>
    </row>
    <row r="14" spans="2:28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 t="shared" si="3"/>
        <v>15000000</v>
      </c>
      <c r="J14" s="3">
        <v>1E-3</v>
      </c>
    </row>
    <row r="16" spans="2:28" s="4" customFormat="1" ht="18" x14ac:dyDescent="0.4">
      <c r="E16" s="4" t="s">
        <v>68</v>
      </c>
      <c r="S16" s="4" t="s">
        <v>69</v>
      </c>
      <c r="AB16" s="4" t="s">
        <v>70</v>
      </c>
    </row>
    <row r="18" spans="5:45" x14ac:dyDescent="0.4">
      <c r="E18" t="s">
        <v>29</v>
      </c>
      <c r="I18" t="s">
        <v>31</v>
      </c>
      <c r="S18" t="s">
        <v>28</v>
      </c>
      <c r="W18" t="s">
        <v>30</v>
      </c>
      <c r="AG18" t="s">
        <v>28</v>
      </c>
      <c r="AK18" t="s">
        <v>30</v>
      </c>
    </row>
    <row r="19" spans="5:45" x14ac:dyDescent="0.4">
      <c r="E19" t="str" cm="1">
        <f t="array" ref="E19:F57">_xll.ExLibris.Json.GetJsonKeyValues(F1)</f>
        <v>trade_code</v>
      </c>
      <c r="F19" t="str">
        <v>money_00001</v>
      </c>
      <c r="G19" t="str" cm="1">
        <f t="array" ref="G19">_xll.ExLibris.Json.GetJsonValue($F$1,E19)</f>
        <v>money_00001</v>
      </c>
      <c r="I19" t="str" cm="1">
        <f t="array" ref="I19">_xll.ExLibris.Json.GetJsonValue(F1,E6)</f>
        <v>JsonObject:5BB4F852-4485-461D-9526-E27C71573448</v>
      </c>
      <c r="P19" t="str" cm="1">
        <f t="array" ref="P19:Q27">_xll.ExLibris.Json.GetJsonKeyValues(F1,,3)</f>
        <v>trade_code</v>
      </c>
      <c r="Q19" t="str">
        <v>money_00001</v>
      </c>
      <c r="S19" t="s">
        <v>14</v>
      </c>
      <c r="T19" t="s">
        <v>16</v>
      </c>
      <c r="U19" t="s">
        <v>16</v>
      </c>
      <c r="AD19" t="s">
        <v>14</v>
      </c>
      <c r="AE19" t="s">
        <v>16</v>
      </c>
      <c r="AG19" t="b">
        <f t="shared" ref="AG19:AG57" si="4">E19=S19</f>
        <v>1</v>
      </c>
      <c r="AH19" t="b">
        <f t="shared" ref="AH19:AI57" si="5">E19=S19</f>
        <v>1</v>
      </c>
      <c r="AI19" t="b">
        <f t="shared" si="5"/>
        <v>1</v>
      </c>
      <c r="AR19" t="b">
        <f t="shared" ref="AR19:AS21" si="6">P19=AD19</f>
        <v>1</v>
      </c>
      <c r="AS19" t="b">
        <f t="shared" si="6"/>
        <v>1</v>
      </c>
    </row>
    <row r="20" spans="5:45" x14ac:dyDescent="0.4">
      <c r="E20" t="str">
        <v>couter_party</v>
      </c>
      <c r="F20" t="str">
        <v>CP00001</v>
      </c>
      <c r="G20" t="str" cm="1">
        <f t="array" ref="G20">_xll.ExLibris.Json.GetJsonValue($F$1,E20)</f>
        <v>CP00001</v>
      </c>
      <c r="I20" t="str" cm="1">
        <f t="array" ref="I20:N26">_xll.ExLibris.Json.GetJsonTableAsync(I19)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tr">
        <v>couter_party</v>
      </c>
      <c r="Q20" t="str">
        <v>CP00001</v>
      </c>
      <c r="S20" t="s">
        <v>18</v>
      </c>
      <c r="T20" t="s">
        <v>20</v>
      </c>
      <c r="U20" t="s">
        <v>20</v>
      </c>
      <c r="W20" t="s">
        <v>0</v>
      </c>
      <c r="X20" t="s">
        <v>2</v>
      </c>
      <c r="Y20" t="s">
        <v>4</v>
      </c>
      <c r="Z20" t="s">
        <v>6</v>
      </c>
      <c r="AA20" t="s">
        <v>10</v>
      </c>
      <c r="AB20" t="s">
        <v>12</v>
      </c>
      <c r="AD20" t="s">
        <v>18</v>
      </c>
      <c r="AE20" t="s">
        <v>20</v>
      </c>
      <c r="AG20" t="b">
        <f t="shared" si="4"/>
        <v>1</v>
      </c>
      <c r="AH20" t="b">
        <f t="shared" si="5"/>
        <v>1</v>
      </c>
      <c r="AI20" t="b">
        <f t="shared" si="5"/>
        <v>1</v>
      </c>
      <c r="AK20" t="b">
        <f t="shared" ref="AK20:AP26" si="7">I20=W20</f>
        <v>1</v>
      </c>
      <c r="AL20" t="b">
        <f t="shared" si="7"/>
        <v>1</v>
      </c>
      <c r="AM20" t="b">
        <f t="shared" si="7"/>
        <v>1</v>
      </c>
      <c r="AN20" t="b">
        <f t="shared" si="7"/>
        <v>1</v>
      </c>
      <c r="AO20" t="b">
        <f t="shared" si="7"/>
        <v>1</v>
      </c>
      <c r="AP20" t="b">
        <f t="shared" si="7"/>
        <v>1</v>
      </c>
      <c r="AR20" t="b">
        <f t="shared" si="6"/>
        <v>1</v>
      </c>
      <c r="AS20" t="b">
        <f t="shared" si="6"/>
        <v>1</v>
      </c>
    </row>
    <row r="21" spans="5:45" x14ac:dyDescent="0.4">
      <c r="E21" t="str">
        <v>fixed_leg.pay_or_recieve</v>
      </c>
      <c r="F21" t="str">
        <v>Receive</v>
      </c>
      <c r="G21" t="str" cm="1">
        <f t="array" ref="G21">_xll.ExLibris.Json.GetJsonValue($F$1,E21)</f>
        <v>Receive</v>
      </c>
      <c r="I21">
        <v>44632</v>
      </c>
      <c r="J21">
        <v>44452</v>
      </c>
      <c r="K21">
        <v>44632</v>
      </c>
      <c r="L21" t="str">
        <v>ACT/360</v>
      </c>
      <c r="M21">
        <v>10000000</v>
      </c>
      <c r="N21">
        <v>1E-3</v>
      </c>
      <c r="P21" t="str">
        <v>fixed_leg.pay_or_recieve</v>
      </c>
      <c r="Q21" t="str">
        <v>Receive</v>
      </c>
      <c r="S21" t="s">
        <v>22</v>
      </c>
      <c r="T21" t="s">
        <v>24</v>
      </c>
      <c r="U21" t="s">
        <v>24</v>
      </c>
      <c r="W21">
        <v>44632</v>
      </c>
      <c r="X21">
        <v>44452</v>
      </c>
      <c r="Y21">
        <v>44632</v>
      </c>
      <c r="Z21" t="s">
        <v>8</v>
      </c>
      <c r="AA21">
        <v>10000000</v>
      </c>
      <c r="AB21">
        <v>1E-3</v>
      </c>
      <c r="AD21" t="s">
        <v>22</v>
      </c>
      <c r="AE21" t="s">
        <v>24</v>
      </c>
      <c r="AG21" t="b">
        <f t="shared" si="4"/>
        <v>1</v>
      </c>
      <c r="AH21" t="b">
        <f t="shared" si="5"/>
        <v>1</v>
      </c>
      <c r="AI21" t="b">
        <f t="shared" si="5"/>
        <v>1</v>
      </c>
      <c r="AK21" t="b">
        <f t="shared" si="7"/>
        <v>1</v>
      </c>
      <c r="AL21" t="b">
        <f t="shared" si="7"/>
        <v>1</v>
      </c>
      <c r="AM21" t="b">
        <f t="shared" si="7"/>
        <v>1</v>
      </c>
      <c r="AN21" t="b">
        <f t="shared" si="7"/>
        <v>1</v>
      </c>
      <c r="AO21" t="b">
        <f t="shared" si="7"/>
        <v>1</v>
      </c>
      <c r="AP21" t="b">
        <f t="shared" si="7"/>
        <v>1</v>
      </c>
      <c r="AR21" t="b">
        <f t="shared" si="6"/>
        <v>1</v>
      </c>
      <c r="AS21" t="b">
        <f t="shared" si="6"/>
        <v>1</v>
      </c>
    </row>
    <row r="22" spans="5:45" x14ac:dyDescent="0.4">
      <c r="E22" t="str">
        <v>fixed_leg.cashflows.[0].payment _date</v>
      </c>
      <c r="F22">
        <v>44632</v>
      </c>
      <c r="G22" cm="1">
        <f t="array" ref="G22">_xll.ExLibris.Json.GetJsonValue($F$1,E22)</f>
        <v>44632</v>
      </c>
      <c r="I22">
        <v>44812</v>
      </c>
      <c r="J22">
        <v>44632</v>
      </c>
      <c r="K22">
        <v>44812</v>
      </c>
      <c r="L22" t="str">
        <v>ACT/360</v>
      </c>
      <c r="M22">
        <v>11000000</v>
      </c>
      <c r="N22">
        <v>1E-3</v>
      </c>
      <c r="P22" t="str">
        <v>fixed_leg.cashflows.[0]</v>
      </c>
      <c r="Q22" t="str">
        <v>JsonObject:B948AAA0-B5BB-4542-B156-5585B3EFCA7C</v>
      </c>
      <c r="S22" t="s">
        <v>32</v>
      </c>
      <c r="T22">
        <v>44632</v>
      </c>
      <c r="U22">
        <v>44632</v>
      </c>
      <c r="W22">
        <v>44812</v>
      </c>
      <c r="X22">
        <v>44632</v>
      </c>
      <c r="Y22">
        <v>44812</v>
      </c>
      <c r="Z22" t="s">
        <v>8</v>
      </c>
      <c r="AA22">
        <v>11000000</v>
      </c>
      <c r="AB22">
        <v>1E-3</v>
      </c>
      <c r="AG22" t="b">
        <f t="shared" si="4"/>
        <v>1</v>
      </c>
      <c r="AH22" t="b">
        <f t="shared" si="5"/>
        <v>1</v>
      </c>
      <c r="AI22" t="b">
        <f t="shared" si="5"/>
        <v>1</v>
      </c>
      <c r="AK22" t="b">
        <f t="shared" si="7"/>
        <v>1</v>
      </c>
      <c r="AL22" t="b">
        <f t="shared" si="7"/>
        <v>1</v>
      </c>
      <c r="AM22" t="b">
        <f t="shared" si="7"/>
        <v>1</v>
      </c>
      <c r="AN22" t="b">
        <f t="shared" si="7"/>
        <v>1</v>
      </c>
      <c r="AO22" t="b">
        <f t="shared" si="7"/>
        <v>1</v>
      </c>
      <c r="AP22" t="b">
        <f t="shared" si="7"/>
        <v>1</v>
      </c>
    </row>
    <row r="23" spans="5:45" x14ac:dyDescent="0.4">
      <c r="E23" t="str">
        <v>fixed_leg.cashflows.[0].start_date</v>
      </c>
      <c r="F23">
        <v>44452</v>
      </c>
      <c r="G23" cm="1">
        <f t="array" ref="G23">_xll.ExLibris.Json.GetJsonValue($F$1,E23)</f>
        <v>44452</v>
      </c>
      <c r="I23">
        <v>44992</v>
      </c>
      <c r="J23">
        <v>44812</v>
      </c>
      <c r="K23">
        <v>44992</v>
      </c>
      <c r="L23" t="str">
        <v>ACT/360</v>
      </c>
      <c r="M23">
        <v>12000000</v>
      </c>
      <c r="N23">
        <v>1E-3</v>
      </c>
      <c r="P23" t="str">
        <v>fixed_leg.cashflows.[1]</v>
      </c>
      <c r="Q23" t="str">
        <v>JsonObject:A9DB214C-438A-4D22-9505-CD223E980C03</v>
      </c>
      <c r="S23" t="s">
        <v>33</v>
      </c>
      <c r="T23">
        <v>44452</v>
      </c>
      <c r="U23">
        <v>44452</v>
      </c>
      <c r="W23">
        <v>44992</v>
      </c>
      <c r="X23">
        <v>44812</v>
      </c>
      <c r="Y23">
        <v>44992</v>
      </c>
      <c r="Z23" t="s">
        <v>8</v>
      </c>
      <c r="AA23">
        <v>12000000</v>
      </c>
      <c r="AB23">
        <v>1E-3</v>
      </c>
      <c r="AG23" t="b">
        <f t="shared" si="4"/>
        <v>1</v>
      </c>
      <c r="AH23" t="b">
        <f t="shared" si="5"/>
        <v>1</v>
      </c>
      <c r="AI23" t="b">
        <f t="shared" si="5"/>
        <v>1</v>
      </c>
      <c r="AK23" t="b">
        <f t="shared" si="7"/>
        <v>1</v>
      </c>
      <c r="AL23" t="b">
        <f t="shared" si="7"/>
        <v>1</v>
      </c>
      <c r="AM23" t="b">
        <f t="shared" si="7"/>
        <v>1</v>
      </c>
      <c r="AN23" t="b">
        <f t="shared" si="7"/>
        <v>1</v>
      </c>
      <c r="AO23" t="b">
        <f t="shared" si="7"/>
        <v>1</v>
      </c>
      <c r="AP23" t="b">
        <f t="shared" si="7"/>
        <v>1</v>
      </c>
    </row>
    <row r="24" spans="5:45" x14ac:dyDescent="0.4">
      <c r="E24" t="str">
        <v>fixed_leg.cashflows.[0].end_date</v>
      </c>
      <c r="F24">
        <v>44632</v>
      </c>
      <c r="G24" cm="1">
        <f t="array" ref="G24">_xll.ExLibris.Json.GetJsonValue($F$1,E24)</f>
        <v>44632</v>
      </c>
      <c r="I24">
        <v>45172</v>
      </c>
      <c r="J24">
        <v>44992</v>
      </c>
      <c r="K24">
        <v>45172</v>
      </c>
      <c r="L24" t="str">
        <v>ACT/360</v>
      </c>
      <c r="M24">
        <v>13000000</v>
      </c>
      <c r="N24">
        <v>1E-3</v>
      </c>
      <c r="P24" t="str">
        <v>fixed_leg.cashflows.[2]</v>
      </c>
      <c r="Q24" t="str">
        <v>JsonObject:293DF664-28C4-49CA-B84B-02C7ED3CFC68</v>
      </c>
      <c r="S24" t="s">
        <v>34</v>
      </c>
      <c r="T24">
        <v>44632</v>
      </c>
      <c r="U24">
        <v>44632</v>
      </c>
      <c r="W24">
        <v>45172</v>
      </c>
      <c r="X24">
        <v>44992</v>
      </c>
      <c r="Y24">
        <v>45172</v>
      </c>
      <c r="Z24" t="s">
        <v>8</v>
      </c>
      <c r="AA24">
        <v>13000000</v>
      </c>
      <c r="AB24">
        <v>1E-3</v>
      </c>
      <c r="AG24" t="b">
        <f t="shared" si="4"/>
        <v>1</v>
      </c>
      <c r="AH24" t="b">
        <f t="shared" si="5"/>
        <v>1</v>
      </c>
      <c r="AI24" t="b">
        <f t="shared" si="5"/>
        <v>1</v>
      </c>
      <c r="AK24" t="b">
        <f t="shared" si="7"/>
        <v>1</v>
      </c>
      <c r="AL24" t="b">
        <f t="shared" si="7"/>
        <v>1</v>
      </c>
      <c r="AM24" t="b">
        <f t="shared" si="7"/>
        <v>1</v>
      </c>
      <c r="AN24" t="b">
        <f t="shared" si="7"/>
        <v>1</v>
      </c>
      <c r="AO24" t="b">
        <f t="shared" si="7"/>
        <v>1</v>
      </c>
      <c r="AP24" t="b">
        <f t="shared" si="7"/>
        <v>1</v>
      </c>
    </row>
    <row r="25" spans="5:45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_xll.ExLibris.Json.GetJsonValue($F$1,E25)</f>
        <v>ACT/360</v>
      </c>
      <c r="I25">
        <v>45352</v>
      </c>
      <c r="J25">
        <v>45172</v>
      </c>
      <c r="K25">
        <v>45352</v>
      </c>
      <c r="L25" t="str">
        <v>ACT/360</v>
      </c>
      <c r="M25">
        <v>14000000</v>
      </c>
      <c r="N25">
        <v>1E-3</v>
      </c>
      <c r="P25" t="str">
        <v>fixed_leg.cashflows.[3]</v>
      </c>
      <c r="Q25" t="str">
        <v>JsonObject:AA92D4F3-5E0A-458B-8853-B682099E892C</v>
      </c>
      <c r="S25" t="s">
        <v>35</v>
      </c>
      <c r="T25" t="s">
        <v>8</v>
      </c>
      <c r="U25" t="s">
        <v>8</v>
      </c>
      <c r="W25">
        <v>45352</v>
      </c>
      <c r="X25">
        <v>45172</v>
      </c>
      <c r="Y25">
        <v>45352</v>
      </c>
      <c r="Z25" t="s">
        <v>8</v>
      </c>
      <c r="AA25">
        <v>14000000</v>
      </c>
      <c r="AB25">
        <v>1E-3</v>
      </c>
      <c r="AG25" t="b">
        <f t="shared" si="4"/>
        <v>1</v>
      </c>
      <c r="AH25" t="b">
        <f t="shared" si="5"/>
        <v>1</v>
      </c>
      <c r="AI25" t="b">
        <f t="shared" si="5"/>
        <v>1</v>
      </c>
      <c r="AK25" t="b">
        <f t="shared" si="7"/>
        <v>1</v>
      </c>
      <c r="AL25" t="b">
        <f t="shared" si="7"/>
        <v>1</v>
      </c>
      <c r="AM25" t="b">
        <f t="shared" si="7"/>
        <v>1</v>
      </c>
      <c r="AN25" t="b">
        <f t="shared" si="7"/>
        <v>1</v>
      </c>
      <c r="AO25" t="b">
        <f t="shared" si="7"/>
        <v>1</v>
      </c>
      <c r="AP25" t="b">
        <f t="shared" si="7"/>
        <v>1</v>
      </c>
    </row>
    <row r="26" spans="5:45" x14ac:dyDescent="0.4">
      <c r="E26" t="str">
        <v>fixed_leg.cashflows.[0].amout</v>
      </c>
      <c r="F26">
        <v>10000000</v>
      </c>
      <c r="G26" cm="1">
        <f t="array" ref="G26">_xll.ExLibris.Json.GetJsonValue($F$1,E26)</f>
        <v>10000000</v>
      </c>
      <c r="I26">
        <v>45532</v>
      </c>
      <c r="J26">
        <v>45352</v>
      </c>
      <c r="K26">
        <v>45532</v>
      </c>
      <c r="L26" t="str">
        <v>ACT/360</v>
      </c>
      <c r="M26">
        <v>15000000</v>
      </c>
      <c r="N26">
        <v>1E-3</v>
      </c>
      <c r="P26" t="str">
        <v>fixed_leg.cashflows.[4]</v>
      </c>
      <c r="Q26" t="str">
        <v>JsonObject:44051DAA-95BF-4338-8E08-38E6717E9DCB</v>
      </c>
      <c r="S26" t="s">
        <v>36</v>
      </c>
      <c r="T26">
        <v>10000000</v>
      </c>
      <c r="U26">
        <v>10000000</v>
      </c>
      <c r="W26">
        <v>45532</v>
      </c>
      <c r="X26">
        <v>45352</v>
      </c>
      <c r="Y26">
        <v>45532</v>
      </c>
      <c r="Z26" t="s">
        <v>8</v>
      </c>
      <c r="AA26">
        <v>15000000</v>
      </c>
      <c r="AB26">
        <v>1E-3</v>
      </c>
      <c r="AG26" t="b">
        <f t="shared" si="4"/>
        <v>1</v>
      </c>
      <c r="AH26" t="b">
        <f t="shared" si="5"/>
        <v>1</v>
      </c>
      <c r="AI26" t="b">
        <f t="shared" si="5"/>
        <v>1</v>
      </c>
      <c r="AK26" t="b">
        <f t="shared" si="7"/>
        <v>1</v>
      </c>
      <c r="AL26" t="b">
        <f t="shared" si="7"/>
        <v>1</v>
      </c>
      <c r="AM26" t="b">
        <f t="shared" si="7"/>
        <v>1</v>
      </c>
      <c r="AN26" t="b">
        <f t="shared" si="7"/>
        <v>1</v>
      </c>
      <c r="AO26" t="b">
        <f t="shared" si="7"/>
        <v>1</v>
      </c>
      <c r="AP26" t="b">
        <f t="shared" si="7"/>
        <v>1</v>
      </c>
    </row>
    <row r="27" spans="5:45" x14ac:dyDescent="0.4">
      <c r="E27" t="str">
        <v>fixed_leg.cashflows.[0].fixed_rate</v>
      </c>
      <c r="F27">
        <v>1E-3</v>
      </c>
      <c r="G27" cm="1">
        <f t="array" ref="G27">_xll.ExLibris.Json.GetJsonValue($F$1,E27)</f>
        <v>1E-3</v>
      </c>
      <c r="P27" t="str">
        <v>fixed_leg.cashflows.[5]</v>
      </c>
      <c r="Q27" t="str">
        <v>JsonObject:E1CC3CA2-2C60-4743-A301-B36290823556</v>
      </c>
      <c r="S27" t="s">
        <v>37</v>
      </c>
      <c r="T27">
        <v>1E-3</v>
      </c>
      <c r="U27">
        <v>1E-3</v>
      </c>
      <c r="AG27" t="b">
        <f t="shared" si="4"/>
        <v>1</v>
      </c>
      <c r="AH27" t="b">
        <f t="shared" si="5"/>
        <v>1</v>
      </c>
      <c r="AI27" t="b">
        <f t="shared" si="5"/>
        <v>1</v>
      </c>
    </row>
    <row r="28" spans="5:45" x14ac:dyDescent="0.4">
      <c r="E28" t="str">
        <v>fixed_leg.cashflows.[1].payment _date</v>
      </c>
      <c r="F28">
        <v>44812</v>
      </c>
      <c r="G28" cm="1">
        <f t="array" ref="G28">_xll.ExLibris.Json.GetJsonValue($F$1,E28)</f>
        <v>44812</v>
      </c>
      <c r="I28" t="str" cm="1">
        <f t="array" ref="I28">_xll.ExLibris.Json.GetJsonValue(I19,"[2]")</f>
        <v>JsonObject:D7E02D6B-FDAD-44D8-B107-3047C480A233</v>
      </c>
      <c r="S28" t="s">
        <v>38</v>
      </c>
      <c r="T28">
        <v>44812</v>
      </c>
      <c r="U28">
        <v>44812</v>
      </c>
      <c r="AG28" t="b">
        <f t="shared" si="4"/>
        <v>1</v>
      </c>
      <c r="AH28" t="b">
        <f t="shared" si="5"/>
        <v>1</v>
      </c>
      <c r="AI28" t="b">
        <f t="shared" si="5"/>
        <v>1</v>
      </c>
    </row>
    <row r="29" spans="5:45" x14ac:dyDescent="0.4">
      <c r="E29" t="str">
        <v>fixed_leg.cashflows.[1].start_date</v>
      </c>
      <c r="F29">
        <v>44632</v>
      </c>
      <c r="G29" cm="1">
        <f t="array" ref="G29">_xll.ExLibris.Json.GetJsonValue($F$1,E29)</f>
        <v>44632</v>
      </c>
      <c r="I29" t="str" cm="1">
        <f t="array" ref="I29:N30">_xll.ExLibris.Json.GetJsonTableAsync(I28)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tr" cm="1">
        <f t="array" ref="P29">_xll.ExLibris.Json.CreateJsonObject(P22:Q27)</f>
        <v>JsonObject:B44DD0D1-7934-4215-BA5E-B43ECF0A05E2</v>
      </c>
      <c r="S29" t="s">
        <v>39</v>
      </c>
      <c r="T29">
        <v>44632</v>
      </c>
      <c r="U29">
        <v>44632</v>
      </c>
      <c r="W29" t="s">
        <v>0</v>
      </c>
      <c r="X29" t="s">
        <v>2</v>
      </c>
      <c r="Y29" t="s">
        <v>4</v>
      </c>
      <c r="Z29" t="s">
        <v>6</v>
      </c>
      <c r="AA29" t="s">
        <v>10</v>
      </c>
      <c r="AB29" t="s">
        <v>12</v>
      </c>
      <c r="AG29" t="b">
        <f t="shared" si="4"/>
        <v>1</v>
      </c>
      <c r="AH29" t="b">
        <f t="shared" si="5"/>
        <v>1</v>
      </c>
      <c r="AI29" t="b">
        <f t="shared" si="5"/>
        <v>1</v>
      </c>
      <c r="AK29" t="b">
        <f t="shared" ref="AK29:AP30" si="8">I29=W29</f>
        <v>1</v>
      </c>
      <c r="AL29" t="b">
        <f t="shared" si="8"/>
        <v>1</v>
      </c>
      <c r="AM29" t="b">
        <f t="shared" si="8"/>
        <v>1</v>
      </c>
      <c r="AN29" t="b">
        <f t="shared" si="8"/>
        <v>1</v>
      </c>
      <c r="AO29" t="b">
        <f t="shared" si="8"/>
        <v>1</v>
      </c>
      <c r="AP29" t="b">
        <f t="shared" si="8"/>
        <v>1</v>
      </c>
    </row>
    <row r="30" spans="5:45" x14ac:dyDescent="0.4">
      <c r="E30" t="str">
        <v>fixed_leg.cashflows.[1].end_date</v>
      </c>
      <c r="F30">
        <v>44812</v>
      </c>
      <c r="G30" cm="1">
        <f t="array" ref="G30">_xll.ExLibris.Json.GetJsonValue($F$1,E30)</f>
        <v>44812</v>
      </c>
      <c r="I30">
        <v>44992</v>
      </c>
      <c r="J30">
        <v>44812</v>
      </c>
      <c r="K30">
        <v>44992</v>
      </c>
      <c r="L30" t="str">
        <v>ACT/360</v>
      </c>
      <c r="M30">
        <v>12000000</v>
      </c>
      <c r="N30">
        <v>1E-3</v>
      </c>
      <c r="P30" t="str" cm="1">
        <f t="array" ref="P30:Q65">_xll.ExLibris.Json.GetJsonKeyValuesAsync(P29)</f>
        <v>fixed_leg.cashflows.[0].payment _date</v>
      </c>
      <c r="Q30">
        <v>44632</v>
      </c>
      <c r="S30" t="s">
        <v>40</v>
      </c>
      <c r="T30">
        <v>44812</v>
      </c>
      <c r="U30">
        <v>44812</v>
      </c>
      <c r="W30">
        <v>44992</v>
      </c>
      <c r="X30">
        <v>44812</v>
      </c>
      <c r="Y30">
        <v>44992</v>
      </c>
      <c r="Z30" t="s">
        <v>8</v>
      </c>
      <c r="AA30">
        <v>12000000</v>
      </c>
      <c r="AB30">
        <v>1E-3</v>
      </c>
      <c r="AD30" t="s">
        <v>32</v>
      </c>
      <c r="AE30">
        <v>44632</v>
      </c>
      <c r="AG30" t="b">
        <f t="shared" si="4"/>
        <v>1</v>
      </c>
      <c r="AH30" t="b">
        <f t="shared" si="5"/>
        <v>1</v>
      </c>
      <c r="AI30" t="b">
        <f t="shared" si="5"/>
        <v>1</v>
      </c>
      <c r="AK30" t="b">
        <f t="shared" si="8"/>
        <v>1</v>
      </c>
      <c r="AL30" t="b">
        <f t="shared" si="8"/>
        <v>1</v>
      </c>
      <c r="AM30" t="b">
        <f t="shared" si="8"/>
        <v>1</v>
      </c>
      <c r="AN30" t="b">
        <f t="shared" si="8"/>
        <v>1</v>
      </c>
      <c r="AO30" t="b">
        <f t="shared" si="8"/>
        <v>1</v>
      </c>
      <c r="AP30" t="b">
        <f t="shared" si="8"/>
        <v>1</v>
      </c>
      <c r="AR30" t="b">
        <f t="shared" ref="AR30:AS64" si="9">P30=AD30</f>
        <v>1</v>
      </c>
      <c r="AS30" t="b">
        <f t="shared" si="9"/>
        <v>1</v>
      </c>
    </row>
    <row r="31" spans="5:45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_xll.ExLibris.Json.GetJsonValue($F$1,E31)</f>
        <v>ACT/360</v>
      </c>
      <c r="P31" t="str">
        <v>fixed_leg.cashflows.[0].start_date</v>
      </c>
      <c r="Q31">
        <v>44452</v>
      </c>
      <c r="S31" t="s">
        <v>41</v>
      </c>
      <c r="T31" t="s">
        <v>8</v>
      </c>
      <c r="U31" t="s">
        <v>8</v>
      </c>
      <c r="AD31" t="s">
        <v>33</v>
      </c>
      <c r="AE31">
        <v>44452</v>
      </c>
      <c r="AG31" t="b">
        <f t="shared" si="4"/>
        <v>1</v>
      </c>
      <c r="AH31" t="b">
        <f t="shared" si="5"/>
        <v>1</v>
      </c>
      <c r="AI31" t="b">
        <f t="shared" si="5"/>
        <v>1</v>
      </c>
      <c r="AR31" t="b">
        <f t="shared" si="9"/>
        <v>1</v>
      </c>
      <c r="AS31" t="b">
        <f t="shared" si="9"/>
        <v>1</v>
      </c>
    </row>
    <row r="32" spans="5:45" x14ac:dyDescent="0.4">
      <c r="E32" t="str">
        <v>fixed_leg.cashflows.[1].amout</v>
      </c>
      <c r="F32">
        <v>11000000</v>
      </c>
      <c r="G32" cm="1">
        <f t="array" ref="G32">_xll.ExLibris.Json.GetJsonValue($F$1,E32)</f>
        <v>11000000</v>
      </c>
      <c r="P32" t="str">
        <v>fixed_leg.cashflows.[0].end_date</v>
      </c>
      <c r="Q32">
        <v>44632</v>
      </c>
      <c r="S32" t="s">
        <v>42</v>
      </c>
      <c r="T32">
        <v>11000000</v>
      </c>
      <c r="U32">
        <v>11000000</v>
      </c>
      <c r="AD32" t="s">
        <v>34</v>
      </c>
      <c r="AE32">
        <v>44632</v>
      </c>
      <c r="AG32" t="b">
        <f t="shared" si="4"/>
        <v>1</v>
      </c>
      <c r="AH32" t="b">
        <f t="shared" si="5"/>
        <v>1</v>
      </c>
      <c r="AI32" t="b">
        <f t="shared" si="5"/>
        <v>1</v>
      </c>
      <c r="AR32" t="b">
        <f t="shared" si="9"/>
        <v>1</v>
      </c>
      <c r="AS32" t="b">
        <f t="shared" si="9"/>
        <v>1</v>
      </c>
    </row>
    <row r="33" spans="5:45" x14ac:dyDescent="0.4">
      <c r="E33" t="str">
        <v>fixed_leg.cashflows.[1].fixed_rate</v>
      </c>
      <c r="F33">
        <v>1E-3</v>
      </c>
      <c r="G33" cm="1">
        <f t="array" ref="G33">_xll.ExLibris.Json.GetJsonValue($F$1,E33)</f>
        <v>1E-3</v>
      </c>
      <c r="P33" t="str">
        <v>fixed_leg.cashflows.[0].day_count_type</v>
      </c>
      <c r="Q33" t="str">
        <v>ACT/360</v>
      </c>
      <c r="S33" t="s">
        <v>43</v>
      </c>
      <c r="T33">
        <v>1E-3</v>
      </c>
      <c r="U33">
        <v>1E-3</v>
      </c>
      <c r="AD33" t="s">
        <v>35</v>
      </c>
      <c r="AE33" t="s">
        <v>8</v>
      </c>
      <c r="AG33" t="b">
        <f t="shared" si="4"/>
        <v>1</v>
      </c>
      <c r="AH33" t="b">
        <f t="shared" si="5"/>
        <v>1</v>
      </c>
      <c r="AI33" t="b">
        <f t="shared" si="5"/>
        <v>1</v>
      </c>
      <c r="AR33" t="b">
        <f t="shared" si="9"/>
        <v>1</v>
      </c>
      <c r="AS33" t="b">
        <f t="shared" si="9"/>
        <v>1</v>
      </c>
    </row>
    <row r="34" spans="5:45" x14ac:dyDescent="0.4">
      <c r="E34" t="str">
        <v>fixed_leg.cashflows.[2].payment _date</v>
      </c>
      <c r="F34">
        <v>44992</v>
      </c>
      <c r="G34" cm="1">
        <f t="array" ref="G34">_xll.ExLibris.Json.GetJsonValue($F$1,E34)</f>
        <v>44992</v>
      </c>
      <c r="P34" t="str">
        <v>fixed_leg.cashflows.[0].amout</v>
      </c>
      <c r="Q34">
        <v>10000000</v>
      </c>
      <c r="S34" t="s">
        <v>44</v>
      </c>
      <c r="T34">
        <v>44992</v>
      </c>
      <c r="U34">
        <v>44992</v>
      </c>
      <c r="AD34" t="s">
        <v>36</v>
      </c>
      <c r="AE34">
        <v>10000000</v>
      </c>
      <c r="AG34" t="b">
        <f t="shared" si="4"/>
        <v>1</v>
      </c>
      <c r="AH34" t="b">
        <f t="shared" si="5"/>
        <v>1</v>
      </c>
      <c r="AI34" t="b">
        <f t="shared" si="5"/>
        <v>1</v>
      </c>
      <c r="AR34" t="b">
        <f t="shared" si="9"/>
        <v>1</v>
      </c>
      <c r="AS34" t="b">
        <f t="shared" si="9"/>
        <v>1</v>
      </c>
    </row>
    <row r="35" spans="5:45" x14ac:dyDescent="0.4">
      <c r="E35" t="str">
        <v>fixed_leg.cashflows.[2].start_date</v>
      </c>
      <c r="F35">
        <v>44812</v>
      </c>
      <c r="G35" cm="1">
        <f t="array" ref="G35">_xll.ExLibris.Json.GetJsonValue($F$1,E35)</f>
        <v>44812</v>
      </c>
      <c r="P35" t="str">
        <v>fixed_leg.cashflows.[0].fixed_rate</v>
      </c>
      <c r="Q35">
        <v>1E-3</v>
      </c>
      <c r="S35" t="s">
        <v>45</v>
      </c>
      <c r="T35">
        <v>44812</v>
      </c>
      <c r="U35">
        <v>44812</v>
      </c>
      <c r="AD35" t="s">
        <v>37</v>
      </c>
      <c r="AE35">
        <v>1E-3</v>
      </c>
      <c r="AG35" t="b">
        <f t="shared" si="4"/>
        <v>1</v>
      </c>
      <c r="AH35" t="b">
        <f t="shared" si="5"/>
        <v>1</v>
      </c>
      <c r="AI35" t="b">
        <f t="shared" si="5"/>
        <v>1</v>
      </c>
      <c r="AR35" t="b">
        <f t="shared" si="9"/>
        <v>1</v>
      </c>
      <c r="AS35" t="b">
        <f t="shared" si="9"/>
        <v>1</v>
      </c>
    </row>
    <row r="36" spans="5:45" x14ac:dyDescent="0.4">
      <c r="E36" t="str">
        <v>fixed_leg.cashflows.[2].end_date</v>
      </c>
      <c r="F36">
        <v>44992</v>
      </c>
      <c r="G36" cm="1">
        <f t="array" ref="G36">_xll.ExLibris.Json.GetJsonValue($F$1,E36)</f>
        <v>44992</v>
      </c>
      <c r="P36" t="str">
        <v>fixed_leg.cashflows.[1].payment _date</v>
      </c>
      <c r="Q36">
        <v>44812</v>
      </c>
      <c r="S36" t="s">
        <v>46</v>
      </c>
      <c r="T36">
        <v>44992</v>
      </c>
      <c r="U36">
        <v>44992</v>
      </c>
      <c r="AD36" t="s">
        <v>38</v>
      </c>
      <c r="AE36">
        <v>44812</v>
      </c>
      <c r="AG36" t="b">
        <f t="shared" si="4"/>
        <v>1</v>
      </c>
      <c r="AH36" t="b">
        <f t="shared" si="5"/>
        <v>1</v>
      </c>
      <c r="AI36" t="b">
        <f t="shared" si="5"/>
        <v>1</v>
      </c>
      <c r="AR36" t="b">
        <f t="shared" si="9"/>
        <v>1</v>
      </c>
      <c r="AS36" t="b">
        <f t="shared" si="9"/>
        <v>1</v>
      </c>
    </row>
    <row r="37" spans="5:45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_xll.ExLibris.Json.GetJsonValue($F$1,E37)</f>
        <v>ACT/360</v>
      </c>
      <c r="P37" t="str">
        <v>fixed_leg.cashflows.[1].start_date</v>
      </c>
      <c r="Q37">
        <v>44632</v>
      </c>
      <c r="S37" t="s">
        <v>47</v>
      </c>
      <c r="T37" t="s">
        <v>8</v>
      </c>
      <c r="U37" t="s">
        <v>8</v>
      </c>
      <c r="AD37" t="s">
        <v>39</v>
      </c>
      <c r="AE37">
        <v>44632</v>
      </c>
      <c r="AG37" t="b">
        <f t="shared" si="4"/>
        <v>1</v>
      </c>
      <c r="AH37" t="b">
        <f t="shared" si="5"/>
        <v>1</v>
      </c>
      <c r="AI37" t="b">
        <f t="shared" si="5"/>
        <v>1</v>
      </c>
      <c r="AR37" t="b">
        <f t="shared" si="9"/>
        <v>1</v>
      </c>
      <c r="AS37" t="b">
        <f t="shared" si="9"/>
        <v>1</v>
      </c>
    </row>
    <row r="38" spans="5:45" x14ac:dyDescent="0.4">
      <c r="E38" t="str">
        <v>fixed_leg.cashflows.[2].amout</v>
      </c>
      <c r="F38">
        <v>12000000</v>
      </c>
      <c r="G38" cm="1">
        <f t="array" ref="G38">_xll.ExLibris.Json.GetJsonValue($F$1,E38)</f>
        <v>12000000</v>
      </c>
      <c r="P38" t="str">
        <v>fixed_leg.cashflows.[1].end_date</v>
      </c>
      <c r="Q38">
        <v>44812</v>
      </c>
      <c r="S38" t="s">
        <v>48</v>
      </c>
      <c r="T38">
        <v>12000000</v>
      </c>
      <c r="U38">
        <v>12000000</v>
      </c>
      <c r="AD38" t="s">
        <v>40</v>
      </c>
      <c r="AE38">
        <v>44812</v>
      </c>
      <c r="AG38" t="b">
        <f t="shared" si="4"/>
        <v>1</v>
      </c>
      <c r="AH38" t="b">
        <f t="shared" si="5"/>
        <v>1</v>
      </c>
      <c r="AI38" t="b">
        <f t="shared" si="5"/>
        <v>1</v>
      </c>
      <c r="AR38" t="b">
        <f t="shared" si="9"/>
        <v>1</v>
      </c>
      <c r="AS38" t="b">
        <f t="shared" si="9"/>
        <v>1</v>
      </c>
    </row>
    <row r="39" spans="5:45" x14ac:dyDescent="0.4">
      <c r="E39" t="str">
        <v>fixed_leg.cashflows.[2].fixed_rate</v>
      </c>
      <c r="F39">
        <v>1E-3</v>
      </c>
      <c r="G39" cm="1">
        <f t="array" ref="G39">_xll.ExLibris.Json.GetJsonValue($F$1,E39)</f>
        <v>1E-3</v>
      </c>
      <c r="P39" t="str">
        <v>fixed_leg.cashflows.[1].day_count_type</v>
      </c>
      <c r="Q39" t="str">
        <v>ACT/360</v>
      </c>
      <c r="S39" t="s">
        <v>49</v>
      </c>
      <c r="T39">
        <v>1E-3</v>
      </c>
      <c r="U39">
        <v>1E-3</v>
      </c>
      <c r="AD39" t="s">
        <v>41</v>
      </c>
      <c r="AE39" t="s">
        <v>8</v>
      </c>
      <c r="AG39" t="b">
        <f t="shared" si="4"/>
        <v>1</v>
      </c>
      <c r="AH39" t="b">
        <f t="shared" si="5"/>
        <v>1</v>
      </c>
      <c r="AI39" t="b">
        <f t="shared" si="5"/>
        <v>1</v>
      </c>
      <c r="AR39" t="b">
        <f t="shared" si="9"/>
        <v>1</v>
      </c>
      <c r="AS39" t="b">
        <f t="shared" si="9"/>
        <v>1</v>
      </c>
    </row>
    <row r="40" spans="5:45" x14ac:dyDescent="0.4">
      <c r="E40" t="str">
        <v>fixed_leg.cashflows.[3].payment _date</v>
      </c>
      <c r="F40">
        <v>45172</v>
      </c>
      <c r="G40" cm="1">
        <f t="array" ref="G40">_xll.ExLibris.Json.GetJsonValue($F$1,E40)</f>
        <v>45172</v>
      </c>
      <c r="P40" t="str">
        <v>fixed_leg.cashflows.[1].amout</v>
      </c>
      <c r="Q40">
        <v>11000000</v>
      </c>
      <c r="S40" t="s">
        <v>50</v>
      </c>
      <c r="T40">
        <v>45172</v>
      </c>
      <c r="U40">
        <v>45172</v>
      </c>
      <c r="AD40" t="s">
        <v>42</v>
      </c>
      <c r="AE40">
        <v>11000000</v>
      </c>
      <c r="AG40" t="b">
        <f t="shared" si="4"/>
        <v>1</v>
      </c>
      <c r="AH40" t="b">
        <f t="shared" si="5"/>
        <v>1</v>
      </c>
      <c r="AI40" t="b">
        <f t="shared" si="5"/>
        <v>1</v>
      </c>
      <c r="AR40" t="b">
        <f t="shared" si="9"/>
        <v>1</v>
      </c>
      <c r="AS40" t="b">
        <f t="shared" si="9"/>
        <v>1</v>
      </c>
    </row>
    <row r="41" spans="5:45" x14ac:dyDescent="0.4">
      <c r="E41" t="str">
        <v>fixed_leg.cashflows.[3].start_date</v>
      </c>
      <c r="F41">
        <v>44992</v>
      </c>
      <c r="G41" cm="1">
        <f t="array" ref="G41">_xll.ExLibris.Json.GetJsonValue($F$1,E41)</f>
        <v>44992</v>
      </c>
      <c r="P41" t="str">
        <v>fixed_leg.cashflows.[1].fixed_rate</v>
      </c>
      <c r="Q41">
        <v>1E-3</v>
      </c>
      <c r="S41" t="s">
        <v>51</v>
      </c>
      <c r="T41">
        <v>44992</v>
      </c>
      <c r="U41">
        <v>44992</v>
      </c>
      <c r="AD41" t="s">
        <v>43</v>
      </c>
      <c r="AE41">
        <v>1E-3</v>
      </c>
      <c r="AG41" t="b">
        <f t="shared" si="4"/>
        <v>1</v>
      </c>
      <c r="AH41" t="b">
        <f t="shared" si="5"/>
        <v>1</v>
      </c>
      <c r="AI41" t="b">
        <f t="shared" si="5"/>
        <v>1</v>
      </c>
      <c r="AR41" t="b">
        <f t="shared" si="9"/>
        <v>1</v>
      </c>
      <c r="AS41" t="b">
        <f t="shared" si="9"/>
        <v>1</v>
      </c>
    </row>
    <row r="42" spans="5:45" x14ac:dyDescent="0.4">
      <c r="E42" t="str">
        <v>fixed_leg.cashflows.[3].end_date</v>
      </c>
      <c r="F42">
        <v>45172</v>
      </c>
      <c r="G42" cm="1">
        <f t="array" ref="G42">_xll.ExLibris.Json.GetJsonValue($F$1,E42)</f>
        <v>45172</v>
      </c>
      <c r="P42" t="str">
        <v>fixed_leg.cashflows.[2].payment _date</v>
      </c>
      <c r="Q42">
        <v>44992</v>
      </c>
      <c r="S42" t="s">
        <v>52</v>
      </c>
      <c r="T42">
        <v>45172</v>
      </c>
      <c r="U42">
        <v>45172</v>
      </c>
      <c r="AD42" t="s">
        <v>44</v>
      </c>
      <c r="AE42">
        <v>44992</v>
      </c>
      <c r="AG42" t="b">
        <f t="shared" si="4"/>
        <v>1</v>
      </c>
      <c r="AH42" t="b">
        <f t="shared" si="5"/>
        <v>1</v>
      </c>
      <c r="AI42" t="b">
        <f t="shared" si="5"/>
        <v>1</v>
      </c>
      <c r="AR42" t="b">
        <f t="shared" si="9"/>
        <v>1</v>
      </c>
      <c r="AS42" t="b">
        <f t="shared" si="9"/>
        <v>1</v>
      </c>
    </row>
    <row r="43" spans="5:45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_xll.ExLibris.Json.GetJsonValue($F$1,E43)</f>
        <v>ACT/360</v>
      </c>
      <c r="P43" t="str">
        <v>fixed_leg.cashflows.[2].start_date</v>
      </c>
      <c r="Q43">
        <v>44812</v>
      </c>
      <c r="S43" t="s">
        <v>53</v>
      </c>
      <c r="T43" t="s">
        <v>8</v>
      </c>
      <c r="U43" t="s">
        <v>8</v>
      </c>
      <c r="AD43" t="s">
        <v>45</v>
      </c>
      <c r="AE43">
        <v>44812</v>
      </c>
      <c r="AG43" t="b">
        <f t="shared" si="4"/>
        <v>1</v>
      </c>
      <c r="AH43" t="b">
        <f t="shared" si="5"/>
        <v>1</v>
      </c>
      <c r="AI43" t="b">
        <f t="shared" si="5"/>
        <v>1</v>
      </c>
      <c r="AR43" t="b">
        <f t="shared" si="9"/>
        <v>1</v>
      </c>
      <c r="AS43" t="b">
        <f t="shared" si="9"/>
        <v>1</v>
      </c>
    </row>
    <row r="44" spans="5:45" x14ac:dyDescent="0.4">
      <c r="E44" t="str">
        <v>fixed_leg.cashflows.[3].amout</v>
      </c>
      <c r="F44">
        <v>13000000</v>
      </c>
      <c r="G44" cm="1">
        <f t="array" ref="G44">_xll.ExLibris.Json.GetJsonValue($F$1,E44)</f>
        <v>13000000</v>
      </c>
      <c r="P44" t="str">
        <v>fixed_leg.cashflows.[2].end_date</v>
      </c>
      <c r="Q44">
        <v>44992</v>
      </c>
      <c r="S44" t="s">
        <v>54</v>
      </c>
      <c r="T44">
        <v>13000000</v>
      </c>
      <c r="U44">
        <v>13000000</v>
      </c>
      <c r="AD44" t="s">
        <v>46</v>
      </c>
      <c r="AE44">
        <v>44992</v>
      </c>
      <c r="AG44" t="b">
        <f t="shared" si="4"/>
        <v>1</v>
      </c>
      <c r="AH44" t="b">
        <f t="shared" si="5"/>
        <v>1</v>
      </c>
      <c r="AI44" t="b">
        <f t="shared" si="5"/>
        <v>1</v>
      </c>
      <c r="AR44" t="b">
        <f t="shared" si="9"/>
        <v>1</v>
      </c>
      <c r="AS44" t="b">
        <f t="shared" si="9"/>
        <v>1</v>
      </c>
    </row>
    <row r="45" spans="5:45" x14ac:dyDescent="0.4">
      <c r="E45" t="str">
        <v>fixed_leg.cashflows.[3].fixed_rate</v>
      </c>
      <c r="F45">
        <v>1E-3</v>
      </c>
      <c r="G45" cm="1">
        <f t="array" ref="G45">_xll.ExLibris.Json.GetJsonValue($F$1,E45)</f>
        <v>1E-3</v>
      </c>
      <c r="P45" t="str">
        <v>fixed_leg.cashflows.[2].day_count_type</v>
      </c>
      <c r="Q45" t="str">
        <v>ACT/360</v>
      </c>
      <c r="S45" t="s">
        <v>55</v>
      </c>
      <c r="T45">
        <v>1E-3</v>
      </c>
      <c r="U45">
        <v>1E-3</v>
      </c>
      <c r="AD45" t="s">
        <v>47</v>
      </c>
      <c r="AE45" t="s">
        <v>8</v>
      </c>
      <c r="AG45" t="b">
        <f t="shared" si="4"/>
        <v>1</v>
      </c>
      <c r="AH45" t="b">
        <f t="shared" si="5"/>
        <v>1</v>
      </c>
      <c r="AI45" t="b">
        <f t="shared" si="5"/>
        <v>1</v>
      </c>
      <c r="AR45" t="b">
        <f t="shared" si="9"/>
        <v>1</v>
      </c>
      <c r="AS45" t="b">
        <f t="shared" si="9"/>
        <v>1</v>
      </c>
    </row>
    <row r="46" spans="5:45" x14ac:dyDescent="0.4">
      <c r="E46" t="str">
        <v>fixed_leg.cashflows.[4].payment _date</v>
      </c>
      <c r="F46">
        <v>45352</v>
      </c>
      <c r="G46" cm="1">
        <f t="array" ref="G46">_xll.ExLibris.Json.GetJsonValue($F$1,E46)</f>
        <v>45352</v>
      </c>
      <c r="P46" t="str">
        <v>fixed_leg.cashflows.[2].amout</v>
      </c>
      <c r="Q46">
        <v>12000000</v>
      </c>
      <c r="S46" t="s">
        <v>56</v>
      </c>
      <c r="T46">
        <v>45352</v>
      </c>
      <c r="U46">
        <v>45352</v>
      </c>
      <c r="AD46" t="s">
        <v>48</v>
      </c>
      <c r="AE46">
        <v>12000000</v>
      </c>
      <c r="AG46" t="b">
        <f t="shared" si="4"/>
        <v>1</v>
      </c>
      <c r="AH46" t="b">
        <f t="shared" si="5"/>
        <v>1</v>
      </c>
      <c r="AI46" t="b">
        <f t="shared" si="5"/>
        <v>1</v>
      </c>
      <c r="AR46" t="b">
        <f t="shared" si="9"/>
        <v>1</v>
      </c>
      <c r="AS46" t="b">
        <f t="shared" si="9"/>
        <v>1</v>
      </c>
    </row>
    <row r="47" spans="5:45" x14ac:dyDescent="0.4">
      <c r="E47" t="str">
        <v>fixed_leg.cashflows.[4].start_date</v>
      </c>
      <c r="F47">
        <v>45172</v>
      </c>
      <c r="G47" cm="1">
        <f t="array" ref="G47">_xll.ExLibris.Json.GetJsonValue($F$1,E47)</f>
        <v>45172</v>
      </c>
      <c r="P47" t="str">
        <v>fixed_leg.cashflows.[2].fixed_rate</v>
      </c>
      <c r="Q47">
        <v>1E-3</v>
      </c>
      <c r="S47" t="s">
        <v>57</v>
      </c>
      <c r="T47">
        <v>45172</v>
      </c>
      <c r="U47">
        <v>45172</v>
      </c>
      <c r="AD47" t="s">
        <v>49</v>
      </c>
      <c r="AE47">
        <v>1E-3</v>
      </c>
      <c r="AG47" t="b">
        <f t="shared" si="4"/>
        <v>1</v>
      </c>
      <c r="AH47" t="b">
        <f t="shared" si="5"/>
        <v>1</v>
      </c>
      <c r="AI47" t="b">
        <f t="shared" si="5"/>
        <v>1</v>
      </c>
      <c r="AR47" t="b">
        <f t="shared" si="9"/>
        <v>1</v>
      </c>
      <c r="AS47" t="b">
        <f t="shared" si="9"/>
        <v>1</v>
      </c>
    </row>
    <row r="48" spans="5:45" x14ac:dyDescent="0.4">
      <c r="E48" t="str">
        <v>fixed_leg.cashflows.[4].end_date</v>
      </c>
      <c r="F48">
        <v>45352</v>
      </c>
      <c r="G48" cm="1">
        <f t="array" ref="G48">_xll.ExLibris.Json.GetJsonValue($F$1,E48)</f>
        <v>45352</v>
      </c>
      <c r="P48" t="str">
        <v>fixed_leg.cashflows.[3].payment _date</v>
      </c>
      <c r="Q48">
        <v>45172</v>
      </c>
      <c r="S48" t="s">
        <v>58</v>
      </c>
      <c r="T48">
        <v>45352</v>
      </c>
      <c r="U48">
        <v>45352</v>
      </c>
      <c r="AD48" t="s">
        <v>50</v>
      </c>
      <c r="AE48">
        <v>45172</v>
      </c>
      <c r="AG48" t="b">
        <f t="shared" si="4"/>
        <v>1</v>
      </c>
      <c r="AH48" t="b">
        <f t="shared" si="5"/>
        <v>1</v>
      </c>
      <c r="AI48" t="b">
        <f t="shared" si="5"/>
        <v>1</v>
      </c>
      <c r="AR48" t="b">
        <f t="shared" si="9"/>
        <v>1</v>
      </c>
      <c r="AS48" t="b">
        <f t="shared" si="9"/>
        <v>1</v>
      </c>
    </row>
    <row r="49" spans="5:45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_xll.ExLibris.Json.GetJsonValue($F$1,E49)</f>
        <v>ACT/360</v>
      </c>
      <c r="P49" t="str">
        <v>fixed_leg.cashflows.[3].start_date</v>
      </c>
      <c r="Q49">
        <v>44992</v>
      </c>
      <c r="S49" t="s">
        <v>59</v>
      </c>
      <c r="T49" t="s">
        <v>8</v>
      </c>
      <c r="U49" t="s">
        <v>8</v>
      </c>
      <c r="AD49" t="s">
        <v>51</v>
      </c>
      <c r="AE49">
        <v>44992</v>
      </c>
      <c r="AG49" t="b">
        <f t="shared" si="4"/>
        <v>1</v>
      </c>
      <c r="AH49" t="b">
        <f t="shared" si="5"/>
        <v>1</v>
      </c>
      <c r="AI49" t="b">
        <f t="shared" si="5"/>
        <v>1</v>
      </c>
      <c r="AR49" t="b">
        <f t="shared" si="9"/>
        <v>1</v>
      </c>
      <c r="AS49" t="b">
        <f t="shared" si="9"/>
        <v>1</v>
      </c>
    </row>
    <row r="50" spans="5:45" x14ac:dyDescent="0.4">
      <c r="E50" t="str">
        <v>fixed_leg.cashflows.[4].amout</v>
      </c>
      <c r="F50">
        <v>14000000</v>
      </c>
      <c r="G50" cm="1">
        <f t="array" ref="G50">_xll.ExLibris.Json.GetJsonValue($F$1,E50)</f>
        <v>14000000</v>
      </c>
      <c r="P50" t="str">
        <v>fixed_leg.cashflows.[3].end_date</v>
      </c>
      <c r="Q50">
        <v>45172</v>
      </c>
      <c r="S50" t="s">
        <v>60</v>
      </c>
      <c r="T50">
        <v>14000000</v>
      </c>
      <c r="U50">
        <v>14000000</v>
      </c>
      <c r="AD50" t="s">
        <v>52</v>
      </c>
      <c r="AE50">
        <v>45172</v>
      </c>
      <c r="AG50" t="b">
        <f t="shared" si="4"/>
        <v>1</v>
      </c>
      <c r="AH50" t="b">
        <f t="shared" si="5"/>
        <v>1</v>
      </c>
      <c r="AI50" t="b">
        <f t="shared" si="5"/>
        <v>1</v>
      </c>
      <c r="AR50" t="b">
        <f t="shared" si="9"/>
        <v>1</v>
      </c>
      <c r="AS50" t="b">
        <f t="shared" si="9"/>
        <v>1</v>
      </c>
    </row>
    <row r="51" spans="5:45" x14ac:dyDescent="0.4">
      <c r="E51" t="str">
        <v>fixed_leg.cashflows.[4].fixed_rate</v>
      </c>
      <c r="F51">
        <v>1E-3</v>
      </c>
      <c r="G51" cm="1">
        <f t="array" ref="G51">_xll.ExLibris.Json.GetJsonValue($F$1,E51)</f>
        <v>1E-3</v>
      </c>
      <c r="P51" t="str">
        <v>fixed_leg.cashflows.[3].day_count_type</v>
      </c>
      <c r="Q51" t="str">
        <v>ACT/360</v>
      </c>
      <c r="S51" t="s">
        <v>61</v>
      </c>
      <c r="T51">
        <v>1E-3</v>
      </c>
      <c r="U51">
        <v>1E-3</v>
      </c>
      <c r="AD51" t="s">
        <v>53</v>
      </c>
      <c r="AE51" t="s">
        <v>8</v>
      </c>
      <c r="AG51" t="b">
        <f t="shared" si="4"/>
        <v>1</v>
      </c>
      <c r="AH51" t="b">
        <f t="shared" si="5"/>
        <v>1</v>
      </c>
      <c r="AI51" t="b">
        <f t="shared" si="5"/>
        <v>1</v>
      </c>
      <c r="AR51" t="b">
        <f t="shared" si="9"/>
        <v>1</v>
      </c>
      <c r="AS51" t="b">
        <f t="shared" si="9"/>
        <v>1</v>
      </c>
    </row>
    <row r="52" spans="5:45" x14ac:dyDescent="0.4">
      <c r="E52" t="str">
        <v>fixed_leg.cashflows.[5].payment _date</v>
      </c>
      <c r="F52">
        <v>45532</v>
      </c>
      <c r="G52" cm="1">
        <f t="array" ref="G52">_xll.ExLibris.Json.GetJsonValue($F$1,E52)</f>
        <v>45532</v>
      </c>
      <c r="P52" t="str">
        <v>fixed_leg.cashflows.[3].amout</v>
      </c>
      <c r="Q52">
        <v>13000000</v>
      </c>
      <c r="S52" t="s">
        <v>62</v>
      </c>
      <c r="T52">
        <v>45532</v>
      </c>
      <c r="U52">
        <v>45532</v>
      </c>
      <c r="AD52" t="s">
        <v>54</v>
      </c>
      <c r="AE52">
        <v>13000000</v>
      </c>
      <c r="AG52" t="b">
        <f t="shared" si="4"/>
        <v>1</v>
      </c>
      <c r="AH52" t="b">
        <f t="shared" si="5"/>
        <v>1</v>
      </c>
      <c r="AI52" t="b">
        <f t="shared" si="5"/>
        <v>1</v>
      </c>
      <c r="AR52" t="b">
        <f t="shared" si="9"/>
        <v>1</v>
      </c>
      <c r="AS52" t="b">
        <f t="shared" si="9"/>
        <v>1</v>
      </c>
    </row>
    <row r="53" spans="5:45" x14ac:dyDescent="0.4">
      <c r="E53" t="str">
        <v>fixed_leg.cashflows.[5].start_date</v>
      </c>
      <c r="F53">
        <v>45352</v>
      </c>
      <c r="G53" cm="1">
        <f t="array" ref="G53">_xll.ExLibris.Json.GetJsonValue($F$1,E53)</f>
        <v>45352</v>
      </c>
      <c r="P53" t="str">
        <v>fixed_leg.cashflows.[3].fixed_rate</v>
      </c>
      <c r="Q53">
        <v>1E-3</v>
      </c>
      <c r="S53" t="s">
        <v>63</v>
      </c>
      <c r="T53">
        <v>45352</v>
      </c>
      <c r="U53">
        <v>45352</v>
      </c>
      <c r="AD53" t="s">
        <v>55</v>
      </c>
      <c r="AE53">
        <v>1E-3</v>
      </c>
      <c r="AG53" t="b">
        <f t="shared" si="4"/>
        <v>1</v>
      </c>
      <c r="AH53" t="b">
        <f t="shared" si="5"/>
        <v>1</v>
      </c>
      <c r="AI53" t="b">
        <f t="shared" si="5"/>
        <v>1</v>
      </c>
      <c r="AR53" t="b">
        <f t="shared" si="9"/>
        <v>1</v>
      </c>
      <c r="AS53" t="b">
        <f t="shared" si="9"/>
        <v>1</v>
      </c>
    </row>
    <row r="54" spans="5:45" x14ac:dyDescent="0.4">
      <c r="E54" t="str">
        <v>fixed_leg.cashflows.[5].end_date</v>
      </c>
      <c r="F54">
        <v>45532</v>
      </c>
      <c r="G54" cm="1">
        <f t="array" ref="G54">_xll.ExLibris.Json.GetJsonValue($F$1,E54)</f>
        <v>45532</v>
      </c>
      <c r="P54" t="str">
        <v>fixed_leg.cashflows.[4].payment _date</v>
      </c>
      <c r="Q54">
        <v>45352</v>
      </c>
      <c r="S54" t="s">
        <v>64</v>
      </c>
      <c r="T54">
        <v>45532</v>
      </c>
      <c r="U54">
        <v>45532</v>
      </c>
      <c r="AD54" t="s">
        <v>56</v>
      </c>
      <c r="AE54">
        <v>45352</v>
      </c>
      <c r="AG54" t="b">
        <f t="shared" si="4"/>
        <v>1</v>
      </c>
      <c r="AH54" t="b">
        <f t="shared" si="5"/>
        <v>1</v>
      </c>
      <c r="AI54" t="b">
        <f t="shared" si="5"/>
        <v>1</v>
      </c>
      <c r="AR54" t="b">
        <f t="shared" si="9"/>
        <v>1</v>
      </c>
      <c r="AS54" t="b">
        <f t="shared" si="9"/>
        <v>1</v>
      </c>
    </row>
    <row r="55" spans="5:45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_xll.ExLibris.Json.GetJsonValue($F$1,E55)</f>
        <v>ACT/360</v>
      </c>
      <c r="P55" t="str">
        <v>fixed_leg.cashflows.[4].start_date</v>
      </c>
      <c r="Q55">
        <v>45172</v>
      </c>
      <c r="S55" t="s">
        <v>65</v>
      </c>
      <c r="T55" t="s">
        <v>8</v>
      </c>
      <c r="U55" t="s">
        <v>8</v>
      </c>
      <c r="AD55" t="s">
        <v>57</v>
      </c>
      <c r="AE55">
        <v>45172</v>
      </c>
      <c r="AG55" t="b">
        <f t="shared" si="4"/>
        <v>1</v>
      </c>
      <c r="AH55" t="b">
        <f t="shared" si="5"/>
        <v>1</v>
      </c>
      <c r="AI55" t="b">
        <f t="shared" si="5"/>
        <v>1</v>
      </c>
      <c r="AR55" t="b">
        <f t="shared" si="9"/>
        <v>1</v>
      </c>
      <c r="AS55" t="b">
        <f t="shared" si="9"/>
        <v>1</v>
      </c>
    </row>
    <row r="56" spans="5:45" x14ac:dyDescent="0.4">
      <c r="E56" t="str">
        <v>fixed_leg.cashflows.[5].amout</v>
      </c>
      <c r="F56">
        <v>15000000</v>
      </c>
      <c r="G56" cm="1">
        <f t="array" ref="G56">_xll.ExLibris.Json.GetJsonValue($F$1,E56)</f>
        <v>15000000</v>
      </c>
      <c r="P56" t="str">
        <v>fixed_leg.cashflows.[4].end_date</v>
      </c>
      <c r="Q56">
        <v>45352</v>
      </c>
      <c r="S56" t="s">
        <v>66</v>
      </c>
      <c r="T56">
        <v>15000000</v>
      </c>
      <c r="U56">
        <v>15000000</v>
      </c>
      <c r="AD56" t="s">
        <v>58</v>
      </c>
      <c r="AE56">
        <v>45352</v>
      </c>
      <c r="AG56" t="b">
        <f t="shared" si="4"/>
        <v>1</v>
      </c>
      <c r="AH56" t="b">
        <f t="shared" si="5"/>
        <v>1</v>
      </c>
      <c r="AI56" t="b">
        <f t="shared" si="5"/>
        <v>1</v>
      </c>
      <c r="AR56" t="b">
        <f t="shared" si="9"/>
        <v>1</v>
      </c>
      <c r="AS56" t="b">
        <f t="shared" si="9"/>
        <v>1</v>
      </c>
    </row>
    <row r="57" spans="5:45" x14ac:dyDescent="0.4">
      <c r="E57" t="str">
        <v>fixed_leg.cashflows.[5].fixed_rate</v>
      </c>
      <c r="F57">
        <v>1E-3</v>
      </c>
      <c r="G57" cm="1">
        <f t="array" ref="G57">_xll.ExLibris.Json.GetJsonValue($F$1,E57)</f>
        <v>1E-3</v>
      </c>
      <c r="P57" t="str">
        <v>fixed_leg.cashflows.[4].day_count_type</v>
      </c>
      <c r="Q57" t="str">
        <v>ACT/360</v>
      </c>
      <c r="S57" t="s">
        <v>67</v>
      </c>
      <c r="T57">
        <v>1E-3</v>
      </c>
      <c r="U57">
        <v>1E-3</v>
      </c>
      <c r="AD57" t="s">
        <v>59</v>
      </c>
      <c r="AE57" t="s">
        <v>8</v>
      </c>
      <c r="AG57" t="b">
        <f t="shared" si="4"/>
        <v>1</v>
      </c>
      <c r="AH57" t="b">
        <f t="shared" si="5"/>
        <v>1</v>
      </c>
      <c r="AI57" t="b">
        <f t="shared" si="5"/>
        <v>1</v>
      </c>
      <c r="AR57" t="b">
        <f t="shared" si="9"/>
        <v>1</v>
      </c>
      <c r="AS57" t="b">
        <f t="shared" si="9"/>
        <v>1</v>
      </c>
    </row>
    <row r="58" spans="5:45" x14ac:dyDescent="0.4">
      <c r="P58" t="str">
        <v>fixed_leg.cashflows.[4].amout</v>
      </c>
      <c r="Q58">
        <v>14000000</v>
      </c>
      <c r="AD58" t="s">
        <v>60</v>
      </c>
      <c r="AE58">
        <v>14000000</v>
      </c>
      <c r="AR58" t="b">
        <f t="shared" si="9"/>
        <v>1</v>
      </c>
      <c r="AS58" t="b">
        <f t="shared" si="9"/>
        <v>1</v>
      </c>
    </row>
    <row r="59" spans="5:45" x14ac:dyDescent="0.4">
      <c r="P59" t="str">
        <v>fixed_leg.cashflows.[4].fixed_rate</v>
      </c>
      <c r="Q59">
        <v>1E-3</v>
      </c>
      <c r="AD59" t="s">
        <v>61</v>
      </c>
      <c r="AE59">
        <v>1E-3</v>
      </c>
      <c r="AR59" t="b">
        <f t="shared" si="9"/>
        <v>1</v>
      </c>
      <c r="AS59" t="b">
        <f t="shared" si="9"/>
        <v>1</v>
      </c>
    </row>
    <row r="60" spans="5:45" x14ac:dyDescent="0.4">
      <c r="P60" t="str">
        <v>fixed_leg.cashflows.[5].payment _date</v>
      </c>
      <c r="Q60">
        <v>45532</v>
      </c>
      <c r="AD60" t="s">
        <v>62</v>
      </c>
      <c r="AE60">
        <v>45532</v>
      </c>
      <c r="AR60" t="b">
        <f t="shared" si="9"/>
        <v>1</v>
      </c>
      <c r="AS60" t="b">
        <f t="shared" si="9"/>
        <v>1</v>
      </c>
    </row>
    <row r="61" spans="5:45" x14ac:dyDescent="0.4">
      <c r="P61" t="str">
        <v>fixed_leg.cashflows.[5].start_date</v>
      </c>
      <c r="Q61">
        <v>45352</v>
      </c>
      <c r="AD61" t="s">
        <v>63</v>
      </c>
      <c r="AE61">
        <v>45352</v>
      </c>
      <c r="AR61" t="b">
        <f t="shared" si="9"/>
        <v>1</v>
      </c>
      <c r="AS61" t="b">
        <f t="shared" si="9"/>
        <v>1</v>
      </c>
    </row>
    <row r="62" spans="5:45" x14ac:dyDescent="0.4">
      <c r="P62" t="str">
        <v>fixed_leg.cashflows.[5].end_date</v>
      </c>
      <c r="Q62">
        <v>45532</v>
      </c>
      <c r="AD62" t="s">
        <v>64</v>
      </c>
      <c r="AE62">
        <v>45532</v>
      </c>
      <c r="AR62" t="b">
        <f t="shared" si="9"/>
        <v>1</v>
      </c>
      <c r="AS62" t="b">
        <f t="shared" si="9"/>
        <v>1</v>
      </c>
    </row>
    <row r="63" spans="5:45" x14ac:dyDescent="0.4">
      <c r="P63" t="str">
        <v>fixed_leg.cashflows.[5].day_count_type</v>
      </c>
      <c r="Q63" t="str">
        <v>ACT/360</v>
      </c>
      <c r="AD63" t="s">
        <v>65</v>
      </c>
      <c r="AE63" t="s">
        <v>8</v>
      </c>
      <c r="AR63" t="b">
        <f t="shared" si="9"/>
        <v>1</v>
      </c>
      <c r="AS63" t="b">
        <f t="shared" si="9"/>
        <v>1</v>
      </c>
    </row>
    <row r="64" spans="5:45" x14ac:dyDescent="0.4">
      <c r="P64" t="str">
        <v>fixed_leg.cashflows.[5].amout</v>
      </c>
      <c r="Q64">
        <v>15000000</v>
      </c>
      <c r="AD64" t="s">
        <v>66</v>
      </c>
      <c r="AE64">
        <v>15000000</v>
      </c>
      <c r="AR64" t="b">
        <f t="shared" si="9"/>
        <v>1</v>
      </c>
      <c r="AS64" t="b">
        <f t="shared" si="9"/>
        <v>1</v>
      </c>
    </row>
    <row r="65" spans="16:45" x14ac:dyDescent="0.4">
      <c r="P65" t="str">
        <v>fixed_leg.cashflows.[5].fixed_rate</v>
      </c>
      <c r="Q65">
        <v>1E-3</v>
      </c>
      <c r="AD65" t="s">
        <v>67</v>
      </c>
      <c r="AE65">
        <v>1E-3</v>
      </c>
      <c r="AR65" t="b">
        <f>P65=AD65</f>
        <v>1</v>
      </c>
      <c r="AS65" t="b">
        <f>Q65=AE65</f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5E5E-1419-4F0D-AFC7-AD1DEAC9CE64}">
  <dimension ref="B1:AS65"/>
  <sheetViews>
    <sheetView zoomScaleNormal="100" workbookViewId="0"/>
  </sheetViews>
  <sheetFormatPr defaultRowHeight="18.75" x14ac:dyDescent="0.4"/>
  <cols>
    <col min="1" max="1" width="2.25" customWidth="1"/>
    <col min="2" max="2" width="11" bestFit="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23.875" customWidth="1"/>
    <col min="17" max="17" width="54.5" bestFit="1" customWidth="1"/>
    <col min="18" max="18" width="7.375" customWidth="1"/>
    <col min="19" max="19" width="13.5" bestFit="1" customWidth="1"/>
    <col min="21" max="21" width="17" customWidth="1"/>
    <col min="22" max="22" width="10.125" bestFit="1" customWidth="1"/>
    <col min="23" max="23" width="9.5" bestFit="1" customWidth="1"/>
    <col min="24" max="24" width="15.5" bestFit="1" customWidth="1"/>
    <col min="25" max="25" width="9.5" bestFit="1" customWidth="1"/>
    <col min="26" max="26" width="9.875" bestFit="1" customWidth="1"/>
    <col min="30" max="30" width="40.75" customWidth="1"/>
    <col min="31" max="32" width="7.375" customWidth="1"/>
  </cols>
  <sheetData>
    <row r="1" spans="2:28" x14ac:dyDescent="0.4">
      <c r="E1" t="s">
        <v>27</v>
      </c>
      <c r="F1" t="str" cm="1">
        <f t="array" ref="F1">_xll.ExLibris.Json.CreateJsonObjectAsync(E3:F6)</f>
        <v>JsonObject:5EDCF914-D9D3-44A6-A1B7-6C058A48DE65</v>
      </c>
      <c r="K1" t="str">
        <f>EXLIBRIS_CONFIGURATION</f>
        <v>ExLibris.Core.ExLibrisConfiguration:4D8FC3D0-4486-44D9-9C53-69DA4FB920AF</v>
      </c>
    </row>
    <row r="2" spans="2:28" x14ac:dyDescent="0.4">
      <c r="B2" s="5" t="s">
        <v>70</v>
      </c>
      <c r="C2" s="5"/>
    </row>
    <row r="3" spans="2:28" x14ac:dyDescent="0.4">
      <c r="B3" s="6" t="s">
        <v>71</v>
      </c>
      <c r="C3" s="6">
        <f>COUNTIF(AG19:AI57,FALSE)</f>
        <v>0</v>
      </c>
      <c r="E3" t="s">
        <v>15</v>
      </c>
      <c r="F3" t="s">
        <v>17</v>
      </c>
    </row>
    <row r="4" spans="2:28" x14ac:dyDescent="0.4">
      <c r="B4" s="6" t="s">
        <v>72</v>
      </c>
      <c r="C4" s="6">
        <f>COUNTIF(AK20:AP26,FALSE)</f>
        <v>0</v>
      </c>
      <c r="E4" t="s">
        <v>19</v>
      </c>
      <c r="F4" t="s">
        <v>21</v>
      </c>
    </row>
    <row r="5" spans="2:28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8" x14ac:dyDescent="0.4">
      <c r="B6" s="6" t="s">
        <v>75</v>
      </c>
      <c r="C6" s="6">
        <f>COUNTIF(AK29:AP30,FALSE)</f>
        <v>0</v>
      </c>
      <c r="E6" t="s">
        <v>26</v>
      </c>
      <c r="F6" t="str" cm="1">
        <f t="array" ref="F6">_xll.ExLibris.Json.CreateJsonArrayAsync(E8:J14)</f>
        <v>JsonObject:32D9EEF4-7DD4-4890-B6A3-19E895B5FE2C</v>
      </c>
      <c r="L6" t="s">
        <v>68</v>
      </c>
      <c r="M6" t="str" cm="1">
        <f t="array" ref="M6">_xll.ExLibris.Json.ShowJsonTextAsync(F1)</f>
        <v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v>
      </c>
    </row>
    <row r="7" spans="2:28" x14ac:dyDescent="0.4">
      <c r="B7" s="6" t="s">
        <v>104</v>
      </c>
      <c r="C7" s="6">
        <f>COUNTIF(AR19:AS21,FALSE)</f>
        <v>0</v>
      </c>
      <c r="L7" t="s">
        <v>74</v>
      </c>
      <c r="M7" t="s">
        <v>103</v>
      </c>
    </row>
    <row r="8" spans="2:28" x14ac:dyDescent="0.4">
      <c r="B8" s="6" t="s">
        <v>105</v>
      </c>
      <c r="C8" s="6">
        <f>COUNTIF(AR30:AS65,FALSE)</f>
        <v>0</v>
      </c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8" x14ac:dyDescent="0.4"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8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I9+1000000</f>
        <v>11000000</v>
      </c>
      <c r="J10" s="3">
        <v>1E-3</v>
      </c>
    </row>
    <row r="11" spans="2:28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4" si="3">I10+1000000</f>
        <v>12000000</v>
      </c>
      <c r="J11" s="3">
        <v>1E-3</v>
      </c>
    </row>
    <row r="12" spans="2:28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 t="shared" si="3"/>
        <v>13000000</v>
      </c>
      <c r="J12" s="3">
        <v>1E-3</v>
      </c>
    </row>
    <row r="13" spans="2:28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14000000</v>
      </c>
      <c r="J13" s="3">
        <v>1E-3</v>
      </c>
    </row>
    <row r="14" spans="2:28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 t="shared" si="3"/>
        <v>15000000</v>
      </c>
      <c r="J14" s="3">
        <v>1E-3</v>
      </c>
    </row>
    <row r="16" spans="2:28" s="4" customFormat="1" ht="18" x14ac:dyDescent="0.4">
      <c r="E16" s="4" t="s">
        <v>68</v>
      </c>
      <c r="S16" s="4" t="s">
        <v>69</v>
      </c>
      <c r="AB16" s="4" t="s">
        <v>70</v>
      </c>
    </row>
    <row r="18" spans="5:45" x14ac:dyDescent="0.4">
      <c r="E18" t="s">
        <v>29</v>
      </c>
      <c r="I18" t="s">
        <v>31</v>
      </c>
      <c r="S18" t="s">
        <v>28</v>
      </c>
      <c r="W18" t="s">
        <v>30</v>
      </c>
      <c r="AG18" t="s">
        <v>28</v>
      </c>
      <c r="AK18" t="s">
        <v>30</v>
      </c>
    </row>
    <row r="19" spans="5:45" x14ac:dyDescent="0.4">
      <c r="E19" t="str" cm="1">
        <f t="array" ref="E19:F57">_xll.ExLibris.Json.GetJsonKeyValuesAsync(F1)</f>
        <v>trade_code</v>
      </c>
      <c r="F19" t="str">
        <v>money_00001</v>
      </c>
      <c r="G19" t="str" cm="1">
        <f t="array" ref="G19">_xll.ExLibris.Json.GetJsonValueAsync($F$1,E19)</f>
        <v>money_00001</v>
      </c>
      <c r="I19" t="str" cm="1">
        <f t="array" ref="I19">_xll.ExLibris.Json.GetJsonValueAsync(F1,E6)</f>
        <v>JsonObject:0D1BDF74-27E5-4402-87DD-A592512A48B2</v>
      </c>
      <c r="P19" t="str" cm="1">
        <f t="array" ref="P19:Q27">_xll.ExLibris.Json.GetJsonKeyValuesAsync(F1,,3)</f>
        <v>trade_code</v>
      </c>
      <c r="Q19" t="str">
        <v>money_00001</v>
      </c>
      <c r="S19" t="s">
        <v>14</v>
      </c>
      <c r="T19" t="s">
        <v>16</v>
      </c>
      <c r="U19" t="s">
        <v>16</v>
      </c>
      <c r="AD19" t="s">
        <v>14</v>
      </c>
      <c r="AE19" t="s">
        <v>16</v>
      </c>
      <c r="AG19" t="b">
        <f t="shared" ref="AG19:AG57" si="4">E19=S19</f>
        <v>1</v>
      </c>
      <c r="AH19" t="b">
        <f t="shared" ref="AH19:AH57" si="5">E19=S19</f>
        <v>1</v>
      </c>
      <c r="AI19" t="b">
        <f t="shared" ref="AI19:AI57" si="6">F19=T19</f>
        <v>1</v>
      </c>
      <c r="AR19" t="b">
        <f t="shared" ref="AR19:AS21" si="7">P19=AD19</f>
        <v>1</v>
      </c>
      <c r="AS19" t="b">
        <f t="shared" si="7"/>
        <v>1</v>
      </c>
    </row>
    <row r="20" spans="5:45" x14ac:dyDescent="0.4">
      <c r="E20" t="str">
        <v>couter_party</v>
      </c>
      <c r="F20" t="str">
        <v>CP00001</v>
      </c>
      <c r="G20" t="str" cm="1">
        <f t="array" ref="G20">_xll.ExLibris.Json.GetJsonValueAsync($F$1,E20)</f>
        <v>CP00001</v>
      </c>
      <c r="I20" t="str" cm="1">
        <f t="array" ref="I20:N26">_xll.ExLibris.Json.GetJsonTableAsync(I19)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tr">
        <v>couter_party</v>
      </c>
      <c r="Q20" t="str">
        <v>CP00001</v>
      </c>
      <c r="S20" t="s">
        <v>18</v>
      </c>
      <c r="T20" t="s">
        <v>20</v>
      </c>
      <c r="U20" t="s">
        <v>20</v>
      </c>
      <c r="W20" t="s">
        <v>0</v>
      </c>
      <c r="X20" t="s">
        <v>2</v>
      </c>
      <c r="Y20" t="s">
        <v>4</v>
      </c>
      <c r="Z20" t="s">
        <v>6</v>
      </c>
      <c r="AA20" t="s">
        <v>10</v>
      </c>
      <c r="AB20" t="s">
        <v>12</v>
      </c>
      <c r="AD20" t="s">
        <v>18</v>
      </c>
      <c r="AE20" t="s">
        <v>20</v>
      </c>
      <c r="AG20" t="b">
        <f t="shared" si="4"/>
        <v>1</v>
      </c>
      <c r="AH20" t="b">
        <f t="shared" si="5"/>
        <v>1</v>
      </c>
      <c r="AI20" t="b">
        <f t="shared" si="6"/>
        <v>1</v>
      </c>
      <c r="AK20" t="b">
        <f t="shared" ref="AK20:AP26" si="8">I20=W20</f>
        <v>1</v>
      </c>
      <c r="AL20" t="b">
        <f t="shared" si="8"/>
        <v>1</v>
      </c>
      <c r="AM20" t="b">
        <f t="shared" si="8"/>
        <v>1</v>
      </c>
      <c r="AN20" t="b">
        <f t="shared" si="8"/>
        <v>1</v>
      </c>
      <c r="AO20" t="b">
        <f t="shared" si="8"/>
        <v>1</v>
      </c>
      <c r="AP20" t="b">
        <f t="shared" si="8"/>
        <v>1</v>
      </c>
      <c r="AR20" t="b">
        <f t="shared" si="7"/>
        <v>1</v>
      </c>
      <c r="AS20" t="b">
        <f t="shared" si="7"/>
        <v>1</v>
      </c>
    </row>
    <row r="21" spans="5:45" x14ac:dyDescent="0.4">
      <c r="E21" t="str">
        <v>fixed_leg.pay_or_recieve</v>
      </c>
      <c r="F21" t="str">
        <v>Receive</v>
      </c>
      <c r="G21" t="str" cm="1">
        <f t="array" ref="G21">_xll.ExLibris.Json.GetJsonValueAsync($F$1,E21)</f>
        <v>Receive</v>
      </c>
      <c r="I21">
        <v>44632</v>
      </c>
      <c r="J21">
        <v>44452</v>
      </c>
      <c r="K21">
        <v>44632</v>
      </c>
      <c r="L21" t="str">
        <v>ACT/360</v>
      </c>
      <c r="M21">
        <v>10000000</v>
      </c>
      <c r="N21">
        <v>1E-3</v>
      </c>
      <c r="P21" t="str">
        <v>fixed_leg.pay_or_recieve</v>
      </c>
      <c r="Q21" t="str">
        <v>Receive</v>
      </c>
      <c r="S21" t="s">
        <v>22</v>
      </c>
      <c r="T21" t="s">
        <v>24</v>
      </c>
      <c r="U21" t="s">
        <v>24</v>
      </c>
      <c r="W21">
        <v>44632</v>
      </c>
      <c r="X21">
        <v>44452</v>
      </c>
      <c r="Y21">
        <v>44632</v>
      </c>
      <c r="Z21" t="s">
        <v>8</v>
      </c>
      <c r="AA21">
        <v>10000000</v>
      </c>
      <c r="AB21">
        <v>1E-3</v>
      </c>
      <c r="AD21" t="s">
        <v>22</v>
      </c>
      <c r="AE21" t="s">
        <v>24</v>
      </c>
      <c r="AG21" t="b">
        <f t="shared" si="4"/>
        <v>1</v>
      </c>
      <c r="AH21" t="b">
        <f t="shared" si="5"/>
        <v>1</v>
      </c>
      <c r="AI21" t="b">
        <f t="shared" si="6"/>
        <v>1</v>
      </c>
      <c r="AK21" t="b">
        <f t="shared" si="8"/>
        <v>1</v>
      </c>
      <c r="AL21" t="b">
        <f t="shared" si="8"/>
        <v>1</v>
      </c>
      <c r="AM21" t="b">
        <f t="shared" si="8"/>
        <v>1</v>
      </c>
      <c r="AN21" t="b">
        <f t="shared" si="8"/>
        <v>1</v>
      </c>
      <c r="AO21" t="b">
        <f t="shared" si="8"/>
        <v>1</v>
      </c>
      <c r="AP21" t="b">
        <f t="shared" si="8"/>
        <v>1</v>
      </c>
      <c r="AR21" t="b">
        <f t="shared" si="7"/>
        <v>1</v>
      </c>
      <c r="AS21" t="b">
        <f t="shared" si="7"/>
        <v>1</v>
      </c>
    </row>
    <row r="22" spans="5:45" x14ac:dyDescent="0.4">
      <c r="E22" t="str">
        <v>fixed_leg.cashflows.[0].payment _date</v>
      </c>
      <c r="F22">
        <v>44632</v>
      </c>
      <c r="G22" cm="1">
        <f t="array" ref="G22">_xll.ExLibris.Json.GetJsonValueAsync($F$1,E22)</f>
        <v>44632</v>
      </c>
      <c r="I22">
        <v>44812</v>
      </c>
      <c r="J22">
        <v>44632</v>
      </c>
      <c r="K22">
        <v>44812</v>
      </c>
      <c r="L22" t="str">
        <v>ACT/360</v>
      </c>
      <c r="M22">
        <v>11000000</v>
      </c>
      <c r="N22">
        <v>1E-3</v>
      </c>
      <c r="P22" t="str">
        <v>fixed_leg.cashflows.[0]</v>
      </c>
      <c r="Q22" t="str">
        <v>JsonObject:A2136321-F059-4D0A-883D-F1F7C63CA03B</v>
      </c>
      <c r="S22" t="s">
        <v>32</v>
      </c>
      <c r="T22">
        <v>44632</v>
      </c>
      <c r="U22">
        <v>44632</v>
      </c>
      <c r="W22">
        <v>44812</v>
      </c>
      <c r="X22">
        <v>44632</v>
      </c>
      <c r="Y22">
        <v>44812</v>
      </c>
      <c r="Z22" t="s">
        <v>8</v>
      </c>
      <c r="AA22">
        <v>11000000</v>
      </c>
      <c r="AB22">
        <v>1E-3</v>
      </c>
      <c r="AG22" t="b">
        <f t="shared" si="4"/>
        <v>1</v>
      </c>
      <c r="AH22" t="b">
        <f t="shared" si="5"/>
        <v>1</v>
      </c>
      <c r="AI22" t="b">
        <f t="shared" si="6"/>
        <v>1</v>
      </c>
      <c r="AK22" t="b">
        <f t="shared" si="8"/>
        <v>1</v>
      </c>
      <c r="AL22" t="b">
        <f t="shared" si="8"/>
        <v>1</v>
      </c>
      <c r="AM22" t="b">
        <f t="shared" si="8"/>
        <v>1</v>
      </c>
      <c r="AN22" t="b">
        <f t="shared" si="8"/>
        <v>1</v>
      </c>
      <c r="AO22" t="b">
        <f t="shared" si="8"/>
        <v>1</v>
      </c>
      <c r="AP22" t="b">
        <f t="shared" si="8"/>
        <v>1</v>
      </c>
    </row>
    <row r="23" spans="5:45" x14ac:dyDescent="0.4">
      <c r="E23" t="str">
        <v>fixed_leg.cashflows.[0].start_date</v>
      </c>
      <c r="F23">
        <v>44452</v>
      </c>
      <c r="G23" cm="1">
        <f t="array" ref="G23">_xll.ExLibris.Json.GetJsonValueAsync($F$1,E23)</f>
        <v>44452</v>
      </c>
      <c r="I23">
        <v>44992</v>
      </c>
      <c r="J23">
        <v>44812</v>
      </c>
      <c r="K23">
        <v>44992</v>
      </c>
      <c r="L23" t="str">
        <v>ACT/360</v>
      </c>
      <c r="M23">
        <v>12000000</v>
      </c>
      <c r="N23">
        <v>1E-3</v>
      </c>
      <c r="P23" t="str">
        <v>fixed_leg.cashflows.[1]</v>
      </c>
      <c r="Q23" t="str">
        <v>JsonObject:253F8F13-DC13-44D5-AF90-0183860064C9</v>
      </c>
      <c r="S23" t="s">
        <v>33</v>
      </c>
      <c r="T23">
        <v>44452</v>
      </c>
      <c r="U23">
        <v>44452</v>
      </c>
      <c r="W23">
        <v>44992</v>
      </c>
      <c r="X23">
        <v>44812</v>
      </c>
      <c r="Y23">
        <v>44992</v>
      </c>
      <c r="Z23" t="s">
        <v>8</v>
      </c>
      <c r="AA23">
        <v>12000000</v>
      </c>
      <c r="AB23">
        <v>1E-3</v>
      </c>
      <c r="AG23" t="b">
        <f t="shared" si="4"/>
        <v>1</v>
      </c>
      <c r="AH23" t="b">
        <f t="shared" si="5"/>
        <v>1</v>
      </c>
      <c r="AI23" t="b">
        <f t="shared" si="6"/>
        <v>1</v>
      </c>
      <c r="AK23" t="b">
        <f t="shared" si="8"/>
        <v>1</v>
      </c>
      <c r="AL23" t="b">
        <f t="shared" si="8"/>
        <v>1</v>
      </c>
      <c r="AM23" t="b">
        <f t="shared" si="8"/>
        <v>1</v>
      </c>
      <c r="AN23" t="b">
        <f t="shared" si="8"/>
        <v>1</v>
      </c>
      <c r="AO23" t="b">
        <f t="shared" si="8"/>
        <v>1</v>
      </c>
      <c r="AP23" t="b">
        <f t="shared" si="8"/>
        <v>1</v>
      </c>
    </row>
    <row r="24" spans="5:45" x14ac:dyDescent="0.4">
      <c r="E24" t="str">
        <v>fixed_leg.cashflows.[0].end_date</v>
      </c>
      <c r="F24">
        <v>44632</v>
      </c>
      <c r="G24" cm="1">
        <f t="array" ref="G24">_xll.ExLibris.Json.GetJsonValueAsync($F$1,E24)</f>
        <v>44632</v>
      </c>
      <c r="I24">
        <v>45172</v>
      </c>
      <c r="J24">
        <v>44992</v>
      </c>
      <c r="K24">
        <v>45172</v>
      </c>
      <c r="L24" t="str">
        <v>ACT/360</v>
      </c>
      <c r="M24">
        <v>13000000</v>
      </c>
      <c r="N24">
        <v>1E-3</v>
      </c>
      <c r="P24" t="str">
        <v>fixed_leg.cashflows.[2]</v>
      </c>
      <c r="Q24" t="str">
        <v>JsonObject:4A8F6EAA-6BBA-4DF9-81E0-3B15FFE00E99</v>
      </c>
      <c r="S24" t="s">
        <v>34</v>
      </c>
      <c r="T24">
        <v>44632</v>
      </c>
      <c r="U24">
        <v>44632</v>
      </c>
      <c r="W24">
        <v>45172</v>
      </c>
      <c r="X24">
        <v>44992</v>
      </c>
      <c r="Y24">
        <v>45172</v>
      </c>
      <c r="Z24" t="s">
        <v>8</v>
      </c>
      <c r="AA24">
        <v>13000000</v>
      </c>
      <c r="AB24">
        <v>1E-3</v>
      </c>
      <c r="AG24" t="b">
        <f t="shared" si="4"/>
        <v>1</v>
      </c>
      <c r="AH24" t="b">
        <f t="shared" si="5"/>
        <v>1</v>
      </c>
      <c r="AI24" t="b">
        <f t="shared" si="6"/>
        <v>1</v>
      </c>
      <c r="AK24" t="b">
        <f t="shared" si="8"/>
        <v>1</v>
      </c>
      <c r="AL24" t="b">
        <f t="shared" si="8"/>
        <v>1</v>
      </c>
      <c r="AM24" t="b">
        <f t="shared" si="8"/>
        <v>1</v>
      </c>
      <c r="AN24" t="b">
        <f t="shared" si="8"/>
        <v>1</v>
      </c>
      <c r="AO24" t="b">
        <f t="shared" si="8"/>
        <v>1</v>
      </c>
      <c r="AP24" t="b">
        <f t="shared" si="8"/>
        <v>1</v>
      </c>
    </row>
    <row r="25" spans="5:45" x14ac:dyDescent="0.4">
      <c r="E25" t="str">
        <v>fixed_leg.cashflows.[0].day_count_type</v>
      </c>
      <c r="F25" t="str">
        <v>ACT/360</v>
      </c>
      <c r="G25" t="str" cm="1">
        <f t="array" ref="G25">_xll.ExLibris.Json.GetJsonValueAsync($F$1,E25)</f>
        <v>ACT/360</v>
      </c>
      <c r="I25">
        <v>45352</v>
      </c>
      <c r="J25">
        <v>45172</v>
      </c>
      <c r="K25">
        <v>45352</v>
      </c>
      <c r="L25" t="str">
        <v>ACT/360</v>
      </c>
      <c r="M25">
        <v>14000000</v>
      </c>
      <c r="N25">
        <v>1E-3</v>
      </c>
      <c r="P25" t="str">
        <v>fixed_leg.cashflows.[3]</v>
      </c>
      <c r="Q25" t="str">
        <v>JsonObject:C2491B40-0A3A-42B7-903B-066693AC3C41</v>
      </c>
      <c r="S25" t="s">
        <v>35</v>
      </c>
      <c r="T25" t="s">
        <v>8</v>
      </c>
      <c r="U25" t="s">
        <v>8</v>
      </c>
      <c r="W25">
        <v>45352</v>
      </c>
      <c r="X25">
        <v>45172</v>
      </c>
      <c r="Y25">
        <v>45352</v>
      </c>
      <c r="Z25" t="s">
        <v>8</v>
      </c>
      <c r="AA25">
        <v>14000000</v>
      </c>
      <c r="AB25">
        <v>1E-3</v>
      </c>
      <c r="AG25" t="b">
        <f t="shared" si="4"/>
        <v>1</v>
      </c>
      <c r="AH25" t="b">
        <f t="shared" si="5"/>
        <v>1</v>
      </c>
      <c r="AI25" t="b">
        <f t="shared" si="6"/>
        <v>1</v>
      </c>
      <c r="AK25" t="b">
        <f t="shared" si="8"/>
        <v>1</v>
      </c>
      <c r="AL25" t="b">
        <f t="shared" si="8"/>
        <v>1</v>
      </c>
      <c r="AM25" t="b">
        <f t="shared" si="8"/>
        <v>1</v>
      </c>
      <c r="AN25" t="b">
        <f t="shared" si="8"/>
        <v>1</v>
      </c>
      <c r="AO25" t="b">
        <f t="shared" si="8"/>
        <v>1</v>
      </c>
      <c r="AP25" t="b">
        <f t="shared" si="8"/>
        <v>1</v>
      </c>
    </row>
    <row r="26" spans="5:45" x14ac:dyDescent="0.4">
      <c r="E26" t="str">
        <v>fixed_leg.cashflows.[0].amout</v>
      </c>
      <c r="F26">
        <v>10000000</v>
      </c>
      <c r="G26" cm="1">
        <f t="array" ref="G26">_xll.ExLibris.Json.GetJsonValueAsync($F$1,E26)</f>
        <v>10000000</v>
      </c>
      <c r="I26">
        <v>45532</v>
      </c>
      <c r="J26">
        <v>45352</v>
      </c>
      <c r="K26">
        <v>45532</v>
      </c>
      <c r="L26" t="str">
        <v>ACT/360</v>
      </c>
      <c r="M26">
        <v>15000000</v>
      </c>
      <c r="N26">
        <v>1E-3</v>
      </c>
      <c r="P26" t="str">
        <v>fixed_leg.cashflows.[4]</v>
      </c>
      <c r="Q26" t="str">
        <v>JsonObject:C712D24D-0E1F-4C96-A6E7-713465D84A26</v>
      </c>
      <c r="S26" t="s">
        <v>36</v>
      </c>
      <c r="T26">
        <v>10000000</v>
      </c>
      <c r="U26">
        <v>10000000</v>
      </c>
      <c r="W26">
        <v>45532</v>
      </c>
      <c r="X26">
        <v>45352</v>
      </c>
      <c r="Y26">
        <v>45532</v>
      </c>
      <c r="Z26" t="s">
        <v>8</v>
      </c>
      <c r="AA26">
        <v>15000000</v>
      </c>
      <c r="AB26">
        <v>1E-3</v>
      </c>
      <c r="AG26" t="b">
        <f t="shared" si="4"/>
        <v>1</v>
      </c>
      <c r="AH26" t="b">
        <f t="shared" si="5"/>
        <v>1</v>
      </c>
      <c r="AI26" t="b">
        <f t="shared" si="6"/>
        <v>1</v>
      </c>
      <c r="AK26" t="b">
        <f t="shared" si="8"/>
        <v>1</v>
      </c>
      <c r="AL26" t="b">
        <f t="shared" si="8"/>
        <v>1</v>
      </c>
      <c r="AM26" t="b">
        <f t="shared" si="8"/>
        <v>1</v>
      </c>
      <c r="AN26" t="b">
        <f t="shared" si="8"/>
        <v>1</v>
      </c>
      <c r="AO26" t="b">
        <f t="shared" si="8"/>
        <v>1</v>
      </c>
      <c r="AP26" t="b">
        <f t="shared" si="8"/>
        <v>1</v>
      </c>
    </row>
    <row r="27" spans="5:45" x14ac:dyDescent="0.4">
      <c r="E27" t="str">
        <v>fixed_leg.cashflows.[0].fixed_rate</v>
      </c>
      <c r="F27">
        <v>1E-3</v>
      </c>
      <c r="G27" cm="1">
        <f t="array" ref="G27">_xll.ExLibris.Json.GetJsonValueAsync($F$1,E27)</f>
        <v>1E-3</v>
      </c>
      <c r="P27" t="str">
        <v>fixed_leg.cashflows.[5]</v>
      </c>
      <c r="Q27" t="str">
        <v>JsonObject:2BB00D20-203D-483A-8B20-601EE00221AB</v>
      </c>
      <c r="S27" t="s">
        <v>37</v>
      </c>
      <c r="T27">
        <v>1E-3</v>
      </c>
      <c r="U27">
        <v>1E-3</v>
      </c>
      <c r="AG27" t="b">
        <f t="shared" si="4"/>
        <v>1</v>
      </c>
      <c r="AH27" t="b">
        <f t="shared" si="5"/>
        <v>1</v>
      </c>
      <c r="AI27" t="b">
        <f t="shared" si="6"/>
        <v>1</v>
      </c>
    </row>
    <row r="28" spans="5:45" x14ac:dyDescent="0.4">
      <c r="E28" t="str">
        <v>fixed_leg.cashflows.[1].payment _date</v>
      </c>
      <c r="F28">
        <v>44812</v>
      </c>
      <c r="G28" cm="1">
        <f t="array" ref="G28">_xll.ExLibris.Json.GetJsonValueAsync($F$1,E28)</f>
        <v>44812</v>
      </c>
      <c r="I28" t="str" cm="1">
        <f t="array" ref="I28">_xll.ExLibris.Json.GetJsonValueAsync(I19,"[2]")</f>
        <v>JsonObject:4BC2E5F2-1055-40EB-9E60-90A76B95EEE3</v>
      </c>
      <c r="S28" t="s">
        <v>38</v>
      </c>
      <c r="T28">
        <v>44812</v>
      </c>
      <c r="U28">
        <v>44812</v>
      </c>
      <c r="AG28" t="b">
        <f t="shared" si="4"/>
        <v>1</v>
      </c>
      <c r="AH28" t="b">
        <f t="shared" si="5"/>
        <v>1</v>
      </c>
      <c r="AI28" t="b">
        <f t="shared" si="6"/>
        <v>1</v>
      </c>
    </row>
    <row r="29" spans="5:45" x14ac:dyDescent="0.4">
      <c r="E29" t="str">
        <v>fixed_leg.cashflows.[1].start_date</v>
      </c>
      <c r="F29">
        <v>44632</v>
      </c>
      <c r="G29" cm="1">
        <f t="array" ref="G29">_xll.ExLibris.Json.GetJsonValueAsync($F$1,E29)</f>
        <v>44632</v>
      </c>
      <c r="I29" t="str" cm="1">
        <f t="array" ref="I29:N30">_xll.ExLibris.Json.GetJsonTableAsync(I28)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tr" cm="1">
        <f t="array" ref="P29">_xll.ExLibris.Json.CreateJsonObjectAsync(P22:Q27)</f>
        <v>JsonObject:4B9447EE-186B-41B8-B400-16F73DC6E8A0</v>
      </c>
      <c r="S29" t="s">
        <v>39</v>
      </c>
      <c r="T29">
        <v>44632</v>
      </c>
      <c r="U29">
        <v>44632</v>
      </c>
      <c r="W29" t="s">
        <v>0</v>
      </c>
      <c r="X29" t="s">
        <v>2</v>
      </c>
      <c r="Y29" t="s">
        <v>4</v>
      </c>
      <c r="Z29" t="s">
        <v>6</v>
      </c>
      <c r="AA29" t="s">
        <v>10</v>
      </c>
      <c r="AB29" t="s">
        <v>12</v>
      </c>
      <c r="AG29" t="b">
        <f t="shared" si="4"/>
        <v>1</v>
      </c>
      <c r="AH29" t="b">
        <f t="shared" si="5"/>
        <v>1</v>
      </c>
      <c r="AI29" t="b">
        <f t="shared" si="6"/>
        <v>1</v>
      </c>
      <c r="AK29" t="b">
        <f t="shared" ref="AK29:AP30" si="9">I29=W29</f>
        <v>1</v>
      </c>
      <c r="AL29" t="b">
        <f t="shared" si="9"/>
        <v>1</v>
      </c>
      <c r="AM29" t="b">
        <f t="shared" si="9"/>
        <v>1</v>
      </c>
      <c r="AN29" t="b">
        <f t="shared" si="9"/>
        <v>1</v>
      </c>
      <c r="AO29" t="b">
        <f t="shared" si="9"/>
        <v>1</v>
      </c>
      <c r="AP29" t="b">
        <f t="shared" si="9"/>
        <v>1</v>
      </c>
    </row>
    <row r="30" spans="5:45" x14ac:dyDescent="0.4">
      <c r="E30" t="str">
        <v>fixed_leg.cashflows.[1].end_date</v>
      </c>
      <c r="F30">
        <v>44812</v>
      </c>
      <c r="G30" cm="1">
        <f t="array" ref="G30">_xll.ExLibris.Json.GetJsonValueAsync($F$1,E30)</f>
        <v>44812</v>
      </c>
      <c r="I30">
        <v>44992</v>
      </c>
      <c r="J30">
        <v>44812</v>
      </c>
      <c r="K30">
        <v>44992</v>
      </c>
      <c r="L30" t="str">
        <v>ACT/360</v>
      </c>
      <c r="M30">
        <v>12000000</v>
      </c>
      <c r="N30">
        <v>1E-3</v>
      </c>
      <c r="P30" t="str" cm="1">
        <f t="array" ref="P30:Q65">_xll.ExLibris.Json.GetJsonKeyValuesAsync(P29)</f>
        <v>fixed_leg.cashflows.[0].payment _date</v>
      </c>
      <c r="Q30">
        <v>44632</v>
      </c>
      <c r="S30" t="s">
        <v>40</v>
      </c>
      <c r="T30">
        <v>44812</v>
      </c>
      <c r="U30">
        <v>44812</v>
      </c>
      <c r="W30">
        <v>44992</v>
      </c>
      <c r="X30">
        <v>44812</v>
      </c>
      <c r="Y30">
        <v>44992</v>
      </c>
      <c r="Z30" t="s">
        <v>8</v>
      </c>
      <c r="AA30">
        <v>12000000</v>
      </c>
      <c r="AB30">
        <v>1E-3</v>
      </c>
      <c r="AD30" t="s">
        <v>32</v>
      </c>
      <c r="AE30">
        <v>44632</v>
      </c>
      <c r="AG30" t="b">
        <f t="shared" si="4"/>
        <v>1</v>
      </c>
      <c r="AH30" t="b">
        <f t="shared" si="5"/>
        <v>1</v>
      </c>
      <c r="AI30" t="b">
        <f t="shared" si="6"/>
        <v>1</v>
      </c>
      <c r="AK30" t="b">
        <f t="shared" si="9"/>
        <v>1</v>
      </c>
      <c r="AL30" t="b">
        <f t="shared" si="9"/>
        <v>1</v>
      </c>
      <c r="AM30" t="b">
        <f t="shared" si="9"/>
        <v>1</v>
      </c>
      <c r="AN30" t="b">
        <f t="shared" si="9"/>
        <v>1</v>
      </c>
      <c r="AO30" t="b">
        <f t="shared" si="9"/>
        <v>1</v>
      </c>
      <c r="AP30" t="b">
        <f t="shared" si="9"/>
        <v>1</v>
      </c>
      <c r="AR30" t="b">
        <f t="shared" ref="AR30:AR64" si="10">P30=AD30</f>
        <v>1</v>
      </c>
      <c r="AS30" t="b">
        <f t="shared" ref="AS30:AS64" si="11">Q30=AE30</f>
        <v>1</v>
      </c>
    </row>
    <row r="31" spans="5:45" x14ac:dyDescent="0.4">
      <c r="E31" t="str">
        <v>fixed_leg.cashflows.[1].day_count_type</v>
      </c>
      <c r="F31" t="str">
        <v>ACT/360</v>
      </c>
      <c r="G31" t="str" cm="1">
        <f t="array" ref="G31">_xll.ExLibris.Json.GetJsonValueAsync($F$1,E31)</f>
        <v>ACT/360</v>
      </c>
      <c r="P31" t="str">
        <v>fixed_leg.cashflows.[0].start_date</v>
      </c>
      <c r="Q31">
        <v>44452</v>
      </c>
      <c r="S31" t="s">
        <v>41</v>
      </c>
      <c r="T31" t="s">
        <v>8</v>
      </c>
      <c r="U31" t="s">
        <v>8</v>
      </c>
      <c r="AD31" t="s">
        <v>33</v>
      </c>
      <c r="AE31">
        <v>44452</v>
      </c>
      <c r="AG31" t="b">
        <f t="shared" si="4"/>
        <v>1</v>
      </c>
      <c r="AH31" t="b">
        <f t="shared" si="5"/>
        <v>1</v>
      </c>
      <c r="AI31" t="b">
        <f t="shared" si="6"/>
        <v>1</v>
      </c>
      <c r="AR31" t="b">
        <f t="shared" si="10"/>
        <v>1</v>
      </c>
      <c r="AS31" t="b">
        <f t="shared" si="11"/>
        <v>1</v>
      </c>
    </row>
    <row r="32" spans="5:45" x14ac:dyDescent="0.4">
      <c r="E32" t="str">
        <v>fixed_leg.cashflows.[1].amout</v>
      </c>
      <c r="F32">
        <v>11000000</v>
      </c>
      <c r="G32" cm="1">
        <f t="array" ref="G32">_xll.ExLibris.Json.GetJsonValueAsync($F$1,E32)</f>
        <v>11000000</v>
      </c>
      <c r="P32" t="str">
        <v>fixed_leg.cashflows.[0].end_date</v>
      </c>
      <c r="Q32">
        <v>44632</v>
      </c>
      <c r="S32" t="s">
        <v>42</v>
      </c>
      <c r="T32">
        <v>11000000</v>
      </c>
      <c r="U32">
        <v>11000000</v>
      </c>
      <c r="AD32" t="s">
        <v>34</v>
      </c>
      <c r="AE32">
        <v>44632</v>
      </c>
      <c r="AG32" t="b">
        <f t="shared" si="4"/>
        <v>1</v>
      </c>
      <c r="AH32" t="b">
        <f t="shared" si="5"/>
        <v>1</v>
      </c>
      <c r="AI32" t="b">
        <f t="shared" si="6"/>
        <v>1</v>
      </c>
      <c r="AR32" t="b">
        <f t="shared" si="10"/>
        <v>1</v>
      </c>
      <c r="AS32" t="b">
        <f t="shared" si="11"/>
        <v>1</v>
      </c>
    </row>
    <row r="33" spans="5:45" x14ac:dyDescent="0.4">
      <c r="E33" t="str">
        <v>fixed_leg.cashflows.[1].fixed_rate</v>
      </c>
      <c r="F33">
        <v>1E-3</v>
      </c>
      <c r="G33" cm="1">
        <f t="array" ref="G33">_xll.ExLibris.Json.GetJsonValueAsync($F$1,E33)</f>
        <v>1E-3</v>
      </c>
      <c r="P33" t="str">
        <v>fixed_leg.cashflows.[0].day_count_type</v>
      </c>
      <c r="Q33" t="str">
        <v>ACT/360</v>
      </c>
      <c r="S33" t="s">
        <v>43</v>
      </c>
      <c r="T33">
        <v>1E-3</v>
      </c>
      <c r="U33">
        <v>1E-3</v>
      </c>
      <c r="AD33" t="s">
        <v>35</v>
      </c>
      <c r="AE33" t="s">
        <v>8</v>
      </c>
      <c r="AG33" t="b">
        <f t="shared" si="4"/>
        <v>1</v>
      </c>
      <c r="AH33" t="b">
        <f t="shared" si="5"/>
        <v>1</v>
      </c>
      <c r="AI33" t="b">
        <f t="shared" si="6"/>
        <v>1</v>
      </c>
      <c r="AR33" t="b">
        <f t="shared" si="10"/>
        <v>1</v>
      </c>
      <c r="AS33" t="b">
        <f t="shared" si="11"/>
        <v>1</v>
      </c>
    </row>
    <row r="34" spans="5:45" x14ac:dyDescent="0.4">
      <c r="E34" t="str">
        <v>fixed_leg.cashflows.[2].payment _date</v>
      </c>
      <c r="F34">
        <v>44992</v>
      </c>
      <c r="G34" cm="1">
        <f t="array" ref="G34">_xll.ExLibris.Json.GetJsonValueAsync($F$1,E34)</f>
        <v>44992</v>
      </c>
      <c r="P34" t="str">
        <v>fixed_leg.cashflows.[0].amout</v>
      </c>
      <c r="Q34">
        <v>10000000</v>
      </c>
      <c r="S34" t="s">
        <v>44</v>
      </c>
      <c r="T34">
        <v>44992</v>
      </c>
      <c r="U34">
        <v>44992</v>
      </c>
      <c r="AD34" t="s">
        <v>36</v>
      </c>
      <c r="AE34">
        <v>10000000</v>
      </c>
      <c r="AG34" t="b">
        <f t="shared" si="4"/>
        <v>1</v>
      </c>
      <c r="AH34" t="b">
        <f t="shared" si="5"/>
        <v>1</v>
      </c>
      <c r="AI34" t="b">
        <f t="shared" si="6"/>
        <v>1</v>
      </c>
      <c r="AR34" t="b">
        <f t="shared" si="10"/>
        <v>1</v>
      </c>
      <c r="AS34" t="b">
        <f t="shared" si="11"/>
        <v>1</v>
      </c>
    </row>
    <row r="35" spans="5:45" x14ac:dyDescent="0.4">
      <c r="E35" t="str">
        <v>fixed_leg.cashflows.[2].start_date</v>
      </c>
      <c r="F35">
        <v>44812</v>
      </c>
      <c r="G35" cm="1">
        <f t="array" ref="G35">_xll.ExLibris.Json.GetJsonValueAsync($F$1,E35)</f>
        <v>44812</v>
      </c>
      <c r="P35" t="str">
        <v>fixed_leg.cashflows.[0].fixed_rate</v>
      </c>
      <c r="Q35">
        <v>1E-3</v>
      </c>
      <c r="S35" t="s">
        <v>45</v>
      </c>
      <c r="T35">
        <v>44812</v>
      </c>
      <c r="U35">
        <v>44812</v>
      </c>
      <c r="AD35" t="s">
        <v>37</v>
      </c>
      <c r="AE35">
        <v>1E-3</v>
      </c>
      <c r="AG35" t="b">
        <f t="shared" si="4"/>
        <v>1</v>
      </c>
      <c r="AH35" t="b">
        <f t="shared" si="5"/>
        <v>1</v>
      </c>
      <c r="AI35" t="b">
        <f t="shared" si="6"/>
        <v>1</v>
      </c>
      <c r="AR35" t="b">
        <f t="shared" si="10"/>
        <v>1</v>
      </c>
      <c r="AS35" t="b">
        <f t="shared" si="11"/>
        <v>1</v>
      </c>
    </row>
    <row r="36" spans="5:45" x14ac:dyDescent="0.4">
      <c r="E36" t="str">
        <v>fixed_leg.cashflows.[2].end_date</v>
      </c>
      <c r="F36">
        <v>44992</v>
      </c>
      <c r="G36" cm="1">
        <f t="array" ref="G36">_xll.ExLibris.Json.GetJsonValueAsync($F$1,E36)</f>
        <v>44992</v>
      </c>
      <c r="P36" t="str">
        <v>fixed_leg.cashflows.[1].payment _date</v>
      </c>
      <c r="Q36">
        <v>44812</v>
      </c>
      <c r="S36" t="s">
        <v>46</v>
      </c>
      <c r="T36">
        <v>44992</v>
      </c>
      <c r="U36">
        <v>44992</v>
      </c>
      <c r="AD36" t="s">
        <v>38</v>
      </c>
      <c r="AE36">
        <v>44812</v>
      </c>
      <c r="AG36" t="b">
        <f t="shared" si="4"/>
        <v>1</v>
      </c>
      <c r="AH36" t="b">
        <f t="shared" si="5"/>
        <v>1</v>
      </c>
      <c r="AI36" t="b">
        <f t="shared" si="6"/>
        <v>1</v>
      </c>
      <c r="AR36" t="b">
        <f t="shared" si="10"/>
        <v>1</v>
      </c>
      <c r="AS36" t="b">
        <f t="shared" si="11"/>
        <v>1</v>
      </c>
    </row>
    <row r="37" spans="5:45" x14ac:dyDescent="0.4">
      <c r="E37" t="str">
        <v>fixed_leg.cashflows.[2].day_count_type</v>
      </c>
      <c r="F37" t="str">
        <v>ACT/360</v>
      </c>
      <c r="G37" t="str" cm="1">
        <f t="array" ref="G37">_xll.ExLibris.Json.GetJsonValueAsync($F$1,E37)</f>
        <v>ACT/360</v>
      </c>
      <c r="P37" t="str">
        <v>fixed_leg.cashflows.[1].start_date</v>
      </c>
      <c r="Q37">
        <v>44632</v>
      </c>
      <c r="S37" t="s">
        <v>47</v>
      </c>
      <c r="T37" t="s">
        <v>8</v>
      </c>
      <c r="U37" t="s">
        <v>8</v>
      </c>
      <c r="AD37" t="s">
        <v>39</v>
      </c>
      <c r="AE37">
        <v>44632</v>
      </c>
      <c r="AG37" t="b">
        <f t="shared" si="4"/>
        <v>1</v>
      </c>
      <c r="AH37" t="b">
        <f t="shared" si="5"/>
        <v>1</v>
      </c>
      <c r="AI37" t="b">
        <f t="shared" si="6"/>
        <v>1</v>
      </c>
      <c r="AR37" t="b">
        <f t="shared" si="10"/>
        <v>1</v>
      </c>
      <c r="AS37" t="b">
        <f t="shared" si="11"/>
        <v>1</v>
      </c>
    </row>
    <row r="38" spans="5:45" x14ac:dyDescent="0.4">
      <c r="E38" t="str">
        <v>fixed_leg.cashflows.[2].amout</v>
      </c>
      <c r="F38">
        <v>12000000</v>
      </c>
      <c r="G38" cm="1">
        <f t="array" ref="G38">_xll.ExLibris.Json.GetJsonValueAsync($F$1,E38)</f>
        <v>12000000</v>
      </c>
      <c r="P38" t="str">
        <v>fixed_leg.cashflows.[1].end_date</v>
      </c>
      <c r="Q38">
        <v>44812</v>
      </c>
      <c r="S38" t="s">
        <v>48</v>
      </c>
      <c r="T38">
        <v>12000000</v>
      </c>
      <c r="U38">
        <v>12000000</v>
      </c>
      <c r="AD38" t="s">
        <v>40</v>
      </c>
      <c r="AE38">
        <v>44812</v>
      </c>
      <c r="AG38" t="b">
        <f t="shared" si="4"/>
        <v>1</v>
      </c>
      <c r="AH38" t="b">
        <f t="shared" si="5"/>
        <v>1</v>
      </c>
      <c r="AI38" t="b">
        <f t="shared" si="6"/>
        <v>1</v>
      </c>
      <c r="AR38" t="b">
        <f t="shared" si="10"/>
        <v>1</v>
      </c>
      <c r="AS38" t="b">
        <f t="shared" si="11"/>
        <v>1</v>
      </c>
    </row>
    <row r="39" spans="5:45" x14ac:dyDescent="0.4">
      <c r="E39" t="str">
        <v>fixed_leg.cashflows.[2].fixed_rate</v>
      </c>
      <c r="F39">
        <v>1E-3</v>
      </c>
      <c r="G39" cm="1">
        <f t="array" ref="G39">_xll.ExLibris.Json.GetJsonValueAsync($F$1,E39)</f>
        <v>1E-3</v>
      </c>
      <c r="P39" t="str">
        <v>fixed_leg.cashflows.[1].day_count_type</v>
      </c>
      <c r="Q39" t="str">
        <v>ACT/360</v>
      </c>
      <c r="S39" t="s">
        <v>49</v>
      </c>
      <c r="T39">
        <v>1E-3</v>
      </c>
      <c r="U39">
        <v>1E-3</v>
      </c>
      <c r="AD39" t="s">
        <v>41</v>
      </c>
      <c r="AE39" t="s">
        <v>8</v>
      </c>
      <c r="AG39" t="b">
        <f t="shared" si="4"/>
        <v>1</v>
      </c>
      <c r="AH39" t="b">
        <f t="shared" si="5"/>
        <v>1</v>
      </c>
      <c r="AI39" t="b">
        <f t="shared" si="6"/>
        <v>1</v>
      </c>
      <c r="AR39" t="b">
        <f t="shared" si="10"/>
        <v>1</v>
      </c>
      <c r="AS39" t="b">
        <f t="shared" si="11"/>
        <v>1</v>
      </c>
    </row>
    <row r="40" spans="5:45" x14ac:dyDescent="0.4">
      <c r="E40" t="str">
        <v>fixed_leg.cashflows.[3].payment _date</v>
      </c>
      <c r="F40">
        <v>45172</v>
      </c>
      <c r="G40" cm="1">
        <f t="array" ref="G40">_xll.ExLibris.Json.GetJsonValueAsync($F$1,E40)</f>
        <v>45172</v>
      </c>
      <c r="P40" t="str">
        <v>fixed_leg.cashflows.[1].amout</v>
      </c>
      <c r="Q40">
        <v>11000000</v>
      </c>
      <c r="S40" t="s">
        <v>50</v>
      </c>
      <c r="T40">
        <v>45172</v>
      </c>
      <c r="U40">
        <v>45172</v>
      </c>
      <c r="AD40" t="s">
        <v>42</v>
      </c>
      <c r="AE40">
        <v>11000000</v>
      </c>
      <c r="AG40" t="b">
        <f t="shared" si="4"/>
        <v>1</v>
      </c>
      <c r="AH40" t="b">
        <f t="shared" si="5"/>
        <v>1</v>
      </c>
      <c r="AI40" t="b">
        <f t="shared" si="6"/>
        <v>1</v>
      </c>
      <c r="AR40" t="b">
        <f t="shared" si="10"/>
        <v>1</v>
      </c>
      <c r="AS40" t="b">
        <f t="shared" si="11"/>
        <v>1</v>
      </c>
    </row>
    <row r="41" spans="5:45" x14ac:dyDescent="0.4">
      <c r="E41" t="str">
        <v>fixed_leg.cashflows.[3].start_date</v>
      </c>
      <c r="F41">
        <v>44992</v>
      </c>
      <c r="G41" cm="1">
        <f t="array" ref="G41">_xll.ExLibris.Json.GetJsonValueAsync($F$1,E41)</f>
        <v>44992</v>
      </c>
      <c r="P41" t="str">
        <v>fixed_leg.cashflows.[1].fixed_rate</v>
      </c>
      <c r="Q41">
        <v>1E-3</v>
      </c>
      <c r="S41" t="s">
        <v>51</v>
      </c>
      <c r="T41">
        <v>44992</v>
      </c>
      <c r="U41">
        <v>44992</v>
      </c>
      <c r="AD41" t="s">
        <v>43</v>
      </c>
      <c r="AE41">
        <v>1E-3</v>
      </c>
      <c r="AG41" t="b">
        <f t="shared" si="4"/>
        <v>1</v>
      </c>
      <c r="AH41" t="b">
        <f t="shared" si="5"/>
        <v>1</v>
      </c>
      <c r="AI41" t="b">
        <f t="shared" si="6"/>
        <v>1</v>
      </c>
      <c r="AR41" t="b">
        <f t="shared" si="10"/>
        <v>1</v>
      </c>
      <c r="AS41" t="b">
        <f t="shared" si="11"/>
        <v>1</v>
      </c>
    </row>
    <row r="42" spans="5:45" x14ac:dyDescent="0.4">
      <c r="E42" t="str">
        <v>fixed_leg.cashflows.[3].end_date</v>
      </c>
      <c r="F42">
        <v>45172</v>
      </c>
      <c r="G42" cm="1">
        <f t="array" ref="G42">_xll.ExLibris.Json.GetJsonValueAsync($F$1,E42)</f>
        <v>45172</v>
      </c>
      <c r="P42" t="str">
        <v>fixed_leg.cashflows.[2].payment _date</v>
      </c>
      <c r="Q42">
        <v>44992</v>
      </c>
      <c r="S42" t="s">
        <v>52</v>
      </c>
      <c r="T42">
        <v>45172</v>
      </c>
      <c r="U42">
        <v>45172</v>
      </c>
      <c r="AD42" t="s">
        <v>44</v>
      </c>
      <c r="AE42">
        <v>44992</v>
      </c>
      <c r="AG42" t="b">
        <f t="shared" si="4"/>
        <v>1</v>
      </c>
      <c r="AH42" t="b">
        <f t="shared" si="5"/>
        <v>1</v>
      </c>
      <c r="AI42" t="b">
        <f t="shared" si="6"/>
        <v>1</v>
      </c>
      <c r="AR42" t="b">
        <f t="shared" si="10"/>
        <v>1</v>
      </c>
      <c r="AS42" t="b">
        <f t="shared" si="11"/>
        <v>1</v>
      </c>
    </row>
    <row r="43" spans="5:45" x14ac:dyDescent="0.4">
      <c r="E43" t="str">
        <v>fixed_leg.cashflows.[3].day_count_type</v>
      </c>
      <c r="F43" t="str">
        <v>ACT/360</v>
      </c>
      <c r="G43" t="str" cm="1">
        <f t="array" ref="G43">_xll.ExLibris.Json.GetJsonValueAsync($F$1,E43)</f>
        <v>ACT/360</v>
      </c>
      <c r="P43" t="str">
        <v>fixed_leg.cashflows.[2].start_date</v>
      </c>
      <c r="Q43">
        <v>44812</v>
      </c>
      <c r="S43" t="s">
        <v>53</v>
      </c>
      <c r="T43" t="s">
        <v>8</v>
      </c>
      <c r="U43" t="s">
        <v>8</v>
      </c>
      <c r="AD43" t="s">
        <v>45</v>
      </c>
      <c r="AE43">
        <v>44812</v>
      </c>
      <c r="AG43" t="b">
        <f t="shared" si="4"/>
        <v>1</v>
      </c>
      <c r="AH43" t="b">
        <f t="shared" si="5"/>
        <v>1</v>
      </c>
      <c r="AI43" t="b">
        <f t="shared" si="6"/>
        <v>1</v>
      </c>
      <c r="AR43" t="b">
        <f t="shared" si="10"/>
        <v>1</v>
      </c>
      <c r="AS43" t="b">
        <f t="shared" si="11"/>
        <v>1</v>
      </c>
    </row>
    <row r="44" spans="5:45" x14ac:dyDescent="0.4">
      <c r="E44" t="str">
        <v>fixed_leg.cashflows.[3].amout</v>
      </c>
      <c r="F44">
        <v>13000000</v>
      </c>
      <c r="G44" cm="1">
        <f t="array" ref="G44">_xll.ExLibris.Json.GetJsonValueAsync($F$1,E44)</f>
        <v>13000000</v>
      </c>
      <c r="P44" t="str">
        <v>fixed_leg.cashflows.[2].end_date</v>
      </c>
      <c r="Q44">
        <v>44992</v>
      </c>
      <c r="S44" t="s">
        <v>54</v>
      </c>
      <c r="T44">
        <v>13000000</v>
      </c>
      <c r="U44">
        <v>13000000</v>
      </c>
      <c r="AD44" t="s">
        <v>46</v>
      </c>
      <c r="AE44">
        <v>44992</v>
      </c>
      <c r="AG44" t="b">
        <f t="shared" si="4"/>
        <v>1</v>
      </c>
      <c r="AH44" t="b">
        <f t="shared" si="5"/>
        <v>1</v>
      </c>
      <c r="AI44" t="b">
        <f t="shared" si="6"/>
        <v>1</v>
      </c>
      <c r="AR44" t="b">
        <f t="shared" si="10"/>
        <v>1</v>
      </c>
      <c r="AS44" t="b">
        <f t="shared" si="11"/>
        <v>1</v>
      </c>
    </row>
    <row r="45" spans="5:45" x14ac:dyDescent="0.4">
      <c r="E45" t="str">
        <v>fixed_leg.cashflows.[3].fixed_rate</v>
      </c>
      <c r="F45">
        <v>1E-3</v>
      </c>
      <c r="G45" cm="1">
        <f t="array" ref="G45">_xll.ExLibris.Json.GetJsonValueAsync($F$1,E45)</f>
        <v>1E-3</v>
      </c>
      <c r="P45" t="str">
        <v>fixed_leg.cashflows.[2].day_count_type</v>
      </c>
      <c r="Q45" t="str">
        <v>ACT/360</v>
      </c>
      <c r="S45" t="s">
        <v>55</v>
      </c>
      <c r="T45">
        <v>1E-3</v>
      </c>
      <c r="U45">
        <v>1E-3</v>
      </c>
      <c r="AD45" t="s">
        <v>47</v>
      </c>
      <c r="AE45" t="s">
        <v>8</v>
      </c>
      <c r="AG45" t="b">
        <f t="shared" si="4"/>
        <v>1</v>
      </c>
      <c r="AH45" t="b">
        <f t="shared" si="5"/>
        <v>1</v>
      </c>
      <c r="AI45" t="b">
        <f t="shared" si="6"/>
        <v>1</v>
      </c>
      <c r="AR45" t="b">
        <f t="shared" si="10"/>
        <v>1</v>
      </c>
      <c r="AS45" t="b">
        <f t="shared" si="11"/>
        <v>1</v>
      </c>
    </row>
    <row r="46" spans="5:45" x14ac:dyDescent="0.4">
      <c r="E46" t="str">
        <v>fixed_leg.cashflows.[4].payment _date</v>
      </c>
      <c r="F46">
        <v>45352</v>
      </c>
      <c r="G46" cm="1">
        <f t="array" ref="G46">_xll.ExLibris.Json.GetJsonValueAsync($F$1,E46)</f>
        <v>45352</v>
      </c>
      <c r="P46" t="str">
        <v>fixed_leg.cashflows.[2].amout</v>
      </c>
      <c r="Q46">
        <v>12000000</v>
      </c>
      <c r="S46" t="s">
        <v>56</v>
      </c>
      <c r="T46">
        <v>45352</v>
      </c>
      <c r="U46">
        <v>45352</v>
      </c>
      <c r="AD46" t="s">
        <v>48</v>
      </c>
      <c r="AE46">
        <v>12000000</v>
      </c>
      <c r="AG46" t="b">
        <f t="shared" si="4"/>
        <v>1</v>
      </c>
      <c r="AH46" t="b">
        <f t="shared" si="5"/>
        <v>1</v>
      </c>
      <c r="AI46" t="b">
        <f t="shared" si="6"/>
        <v>1</v>
      </c>
      <c r="AR46" t="b">
        <f t="shared" si="10"/>
        <v>1</v>
      </c>
      <c r="AS46" t="b">
        <f t="shared" si="11"/>
        <v>1</v>
      </c>
    </row>
    <row r="47" spans="5:45" x14ac:dyDescent="0.4">
      <c r="E47" t="str">
        <v>fixed_leg.cashflows.[4].start_date</v>
      </c>
      <c r="F47">
        <v>45172</v>
      </c>
      <c r="G47" cm="1">
        <f t="array" ref="G47">_xll.ExLibris.Json.GetJsonValueAsync($F$1,E47)</f>
        <v>45172</v>
      </c>
      <c r="P47" t="str">
        <v>fixed_leg.cashflows.[2].fixed_rate</v>
      </c>
      <c r="Q47">
        <v>1E-3</v>
      </c>
      <c r="S47" t="s">
        <v>57</v>
      </c>
      <c r="T47">
        <v>45172</v>
      </c>
      <c r="U47">
        <v>45172</v>
      </c>
      <c r="AD47" t="s">
        <v>49</v>
      </c>
      <c r="AE47">
        <v>1E-3</v>
      </c>
      <c r="AG47" t="b">
        <f t="shared" si="4"/>
        <v>1</v>
      </c>
      <c r="AH47" t="b">
        <f t="shared" si="5"/>
        <v>1</v>
      </c>
      <c r="AI47" t="b">
        <f t="shared" si="6"/>
        <v>1</v>
      </c>
      <c r="AR47" t="b">
        <f t="shared" si="10"/>
        <v>1</v>
      </c>
      <c r="AS47" t="b">
        <f t="shared" si="11"/>
        <v>1</v>
      </c>
    </row>
    <row r="48" spans="5:45" x14ac:dyDescent="0.4">
      <c r="E48" t="str">
        <v>fixed_leg.cashflows.[4].end_date</v>
      </c>
      <c r="F48">
        <v>45352</v>
      </c>
      <c r="G48" cm="1">
        <f t="array" ref="G48">_xll.ExLibris.Json.GetJsonValueAsync($F$1,E48)</f>
        <v>45352</v>
      </c>
      <c r="P48" t="str">
        <v>fixed_leg.cashflows.[3].payment _date</v>
      </c>
      <c r="Q48">
        <v>45172</v>
      </c>
      <c r="S48" t="s">
        <v>58</v>
      </c>
      <c r="T48">
        <v>45352</v>
      </c>
      <c r="U48">
        <v>45352</v>
      </c>
      <c r="AD48" t="s">
        <v>50</v>
      </c>
      <c r="AE48">
        <v>45172</v>
      </c>
      <c r="AG48" t="b">
        <f t="shared" si="4"/>
        <v>1</v>
      </c>
      <c r="AH48" t="b">
        <f t="shared" si="5"/>
        <v>1</v>
      </c>
      <c r="AI48" t="b">
        <f t="shared" si="6"/>
        <v>1</v>
      </c>
      <c r="AR48" t="b">
        <f t="shared" si="10"/>
        <v>1</v>
      </c>
      <c r="AS48" t="b">
        <f t="shared" si="11"/>
        <v>1</v>
      </c>
    </row>
    <row r="49" spans="5:45" x14ac:dyDescent="0.4">
      <c r="E49" t="str">
        <v>fixed_leg.cashflows.[4].day_count_type</v>
      </c>
      <c r="F49" t="str">
        <v>ACT/360</v>
      </c>
      <c r="G49" t="str" cm="1">
        <f t="array" ref="G49">_xll.ExLibris.Json.GetJsonValueAsync($F$1,E49)</f>
        <v>ACT/360</v>
      </c>
      <c r="P49" t="str">
        <v>fixed_leg.cashflows.[3].start_date</v>
      </c>
      <c r="Q49">
        <v>44992</v>
      </c>
      <c r="S49" t="s">
        <v>59</v>
      </c>
      <c r="T49" t="s">
        <v>8</v>
      </c>
      <c r="U49" t="s">
        <v>8</v>
      </c>
      <c r="AD49" t="s">
        <v>51</v>
      </c>
      <c r="AE49">
        <v>44992</v>
      </c>
      <c r="AG49" t="b">
        <f t="shared" si="4"/>
        <v>1</v>
      </c>
      <c r="AH49" t="b">
        <f t="shared" si="5"/>
        <v>1</v>
      </c>
      <c r="AI49" t="b">
        <f t="shared" si="6"/>
        <v>1</v>
      </c>
      <c r="AR49" t="b">
        <f t="shared" si="10"/>
        <v>1</v>
      </c>
      <c r="AS49" t="b">
        <f t="shared" si="11"/>
        <v>1</v>
      </c>
    </row>
    <row r="50" spans="5:45" x14ac:dyDescent="0.4">
      <c r="E50" t="str">
        <v>fixed_leg.cashflows.[4].amout</v>
      </c>
      <c r="F50">
        <v>14000000</v>
      </c>
      <c r="G50" cm="1">
        <f t="array" ref="G50">_xll.ExLibris.Json.GetJsonValueAsync($F$1,E50)</f>
        <v>14000000</v>
      </c>
      <c r="P50" t="str">
        <v>fixed_leg.cashflows.[3].end_date</v>
      </c>
      <c r="Q50">
        <v>45172</v>
      </c>
      <c r="S50" t="s">
        <v>60</v>
      </c>
      <c r="T50">
        <v>14000000</v>
      </c>
      <c r="U50">
        <v>14000000</v>
      </c>
      <c r="AD50" t="s">
        <v>52</v>
      </c>
      <c r="AE50">
        <v>45172</v>
      </c>
      <c r="AG50" t="b">
        <f t="shared" si="4"/>
        <v>1</v>
      </c>
      <c r="AH50" t="b">
        <f t="shared" si="5"/>
        <v>1</v>
      </c>
      <c r="AI50" t="b">
        <f t="shared" si="6"/>
        <v>1</v>
      </c>
      <c r="AR50" t="b">
        <f t="shared" si="10"/>
        <v>1</v>
      </c>
      <c r="AS50" t="b">
        <f t="shared" si="11"/>
        <v>1</v>
      </c>
    </row>
    <row r="51" spans="5:45" x14ac:dyDescent="0.4">
      <c r="E51" t="str">
        <v>fixed_leg.cashflows.[4].fixed_rate</v>
      </c>
      <c r="F51">
        <v>1E-3</v>
      </c>
      <c r="G51" cm="1">
        <f t="array" ref="G51">_xll.ExLibris.Json.GetJsonValueAsync($F$1,E51)</f>
        <v>1E-3</v>
      </c>
      <c r="P51" t="str">
        <v>fixed_leg.cashflows.[3].day_count_type</v>
      </c>
      <c r="Q51" t="str">
        <v>ACT/360</v>
      </c>
      <c r="S51" t="s">
        <v>61</v>
      </c>
      <c r="T51">
        <v>1E-3</v>
      </c>
      <c r="U51">
        <v>1E-3</v>
      </c>
      <c r="AD51" t="s">
        <v>53</v>
      </c>
      <c r="AE51" t="s">
        <v>8</v>
      </c>
      <c r="AG51" t="b">
        <f t="shared" si="4"/>
        <v>1</v>
      </c>
      <c r="AH51" t="b">
        <f t="shared" si="5"/>
        <v>1</v>
      </c>
      <c r="AI51" t="b">
        <f t="shared" si="6"/>
        <v>1</v>
      </c>
      <c r="AR51" t="b">
        <f t="shared" si="10"/>
        <v>1</v>
      </c>
      <c r="AS51" t="b">
        <f t="shared" si="11"/>
        <v>1</v>
      </c>
    </row>
    <row r="52" spans="5:45" x14ac:dyDescent="0.4">
      <c r="E52" t="str">
        <v>fixed_leg.cashflows.[5].payment _date</v>
      </c>
      <c r="F52">
        <v>45532</v>
      </c>
      <c r="G52" cm="1">
        <f t="array" ref="G52">_xll.ExLibris.Json.GetJsonValueAsync($F$1,E52)</f>
        <v>45532</v>
      </c>
      <c r="P52" t="str">
        <v>fixed_leg.cashflows.[3].amout</v>
      </c>
      <c r="Q52">
        <v>13000000</v>
      </c>
      <c r="S52" t="s">
        <v>62</v>
      </c>
      <c r="T52">
        <v>45532</v>
      </c>
      <c r="U52">
        <v>45532</v>
      </c>
      <c r="AD52" t="s">
        <v>54</v>
      </c>
      <c r="AE52">
        <v>13000000</v>
      </c>
      <c r="AG52" t="b">
        <f t="shared" si="4"/>
        <v>1</v>
      </c>
      <c r="AH52" t="b">
        <f t="shared" si="5"/>
        <v>1</v>
      </c>
      <c r="AI52" t="b">
        <f t="shared" si="6"/>
        <v>1</v>
      </c>
      <c r="AR52" t="b">
        <f t="shared" si="10"/>
        <v>1</v>
      </c>
      <c r="AS52" t="b">
        <f t="shared" si="11"/>
        <v>1</v>
      </c>
    </row>
    <row r="53" spans="5:45" x14ac:dyDescent="0.4">
      <c r="E53" t="str">
        <v>fixed_leg.cashflows.[5].start_date</v>
      </c>
      <c r="F53">
        <v>45352</v>
      </c>
      <c r="G53" cm="1">
        <f t="array" ref="G53">_xll.ExLibris.Json.GetJsonValueAsync($F$1,E53)</f>
        <v>45352</v>
      </c>
      <c r="P53" t="str">
        <v>fixed_leg.cashflows.[3].fixed_rate</v>
      </c>
      <c r="Q53">
        <v>1E-3</v>
      </c>
      <c r="S53" t="s">
        <v>63</v>
      </c>
      <c r="T53">
        <v>45352</v>
      </c>
      <c r="U53">
        <v>45352</v>
      </c>
      <c r="AD53" t="s">
        <v>55</v>
      </c>
      <c r="AE53">
        <v>1E-3</v>
      </c>
      <c r="AG53" t="b">
        <f t="shared" si="4"/>
        <v>1</v>
      </c>
      <c r="AH53" t="b">
        <f t="shared" si="5"/>
        <v>1</v>
      </c>
      <c r="AI53" t="b">
        <f t="shared" si="6"/>
        <v>1</v>
      </c>
      <c r="AR53" t="b">
        <f t="shared" si="10"/>
        <v>1</v>
      </c>
      <c r="AS53" t="b">
        <f t="shared" si="11"/>
        <v>1</v>
      </c>
    </row>
    <row r="54" spans="5:45" x14ac:dyDescent="0.4">
      <c r="E54" t="str">
        <v>fixed_leg.cashflows.[5].end_date</v>
      </c>
      <c r="F54">
        <v>45532</v>
      </c>
      <c r="G54" cm="1">
        <f t="array" ref="G54">_xll.ExLibris.Json.GetJsonValueAsync($F$1,E54)</f>
        <v>45532</v>
      </c>
      <c r="P54" t="str">
        <v>fixed_leg.cashflows.[4].payment _date</v>
      </c>
      <c r="Q54">
        <v>45352</v>
      </c>
      <c r="S54" t="s">
        <v>64</v>
      </c>
      <c r="T54">
        <v>45532</v>
      </c>
      <c r="U54">
        <v>45532</v>
      </c>
      <c r="AD54" t="s">
        <v>56</v>
      </c>
      <c r="AE54">
        <v>45352</v>
      </c>
      <c r="AG54" t="b">
        <f t="shared" si="4"/>
        <v>1</v>
      </c>
      <c r="AH54" t="b">
        <f t="shared" si="5"/>
        <v>1</v>
      </c>
      <c r="AI54" t="b">
        <f t="shared" si="6"/>
        <v>1</v>
      </c>
      <c r="AR54" t="b">
        <f t="shared" si="10"/>
        <v>1</v>
      </c>
      <c r="AS54" t="b">
        <f t="shared" si="11"/>
        <v>1</v>
      </c>
    </row>
    <row r="55" spans="5:45" x14ac:dyDescent="0.4">
      <c r="E55" t="str">
        <v>fixed_leg.cashflows.[5].day_count_type</v>
      </c>
      <c r="F55" t="str">
        <v>ACT/360</v>
      </c>
      <c r="G55" t="str" cm="1">
        <f t="array" ref="G55">_xll.ExLibris.Json.GetJsonValueAsync($F$1,E55)</f>
        <v>ACT/360</v>
      </c>
      <c r="P55" t="str">
        <v>fixed_leg.cashflows.[4].start_date</v>
      </c>
      <c r="Q55">
        <v>45172</v>
      </c>
      <c r="S55" t="s">
        <v>65</v>
      </c>
      <c r="T55" t="s">
        <v>8</v>
      </c>
      <c r="U55" t="s">
        <v>8</v>
      </c>
      <c r="AD55" t="s">
        <v>57</v>
      </c>
      <c r="AE55">
        <v>45172</v>
      </c>
      <c r="AG55" t="b">
        <f t="shared" si="4"/>
        <v>1</v>
      </c>
      <c r="AH55" t="b">
        <f t="shared" si="5"/>
        <v>1</v>
      </c>
      <c r="AI55" t="b">
        <f t="shared" si="6"/>
        <v>1</v>
      </c>
      <c r="AR55" t="b">
        <f t="shared" si="10"/>
        <v>1</v>
      </c>
      <c r="AS55" t="b">
        <f t="shared" si="11"/>
        <v>1</v>
      </c>
    </row>
    <row r="56" spans="5:45" x14ac:dyDescent="0.4">
      <c r="E56" t="str">
        <v>fixed_leg.cashflows.[5].amout</v>
      </c>
      <c r="F56">
        <v>15000000</v>
      </c>
      <c r="G56" cm="1">
        <f t="array" ref="G56">_xll.ExLibris.Json.GetJsonValueAsync($F$1,E56)</f>
        <v>15000000</v>
      </c>
      <c r="P56" t="str">
        <v>fixed_leg.cashflows.[4].end_date</v>
      </c>
      <c r="Q56">
        <v>45352</v>
      </c>
      <c r="S56" t="s">
        <v>66</v>
      </c>
      <c r="T56">
        <v>15000000</v>
      </c>
      <c r="U56">
        <v>15000000</v>
      </c>
      <c r="AD56" t="s">
        <v>58</v>
      </c>
      <c r="AE56">
        <v>45352</v>
      </c>
      <c r="AG56" t="b">
        <f t="shared" si="4"/>
        <v>1</v>
      </c>
      <c r="AH56" t="b">
        <f t="shared" si="5"/>
        <v>1</v>
      </c>
      <c r="AI56" t="b">
        <f t="shared" si="6"/>
        <v>1</v>
      </c>
      <c r="AR56" t="b">
        <f t="shared" si="10"/>
        <v>1</v>
      </c>
      <c r="AS56" t="b">
        <f t="shared" si="11"/>
        <v>1</v>
      </c>
    </row>
    <row r="57" spans="5:45" x14ac:dyDescent="0.4">
      <c r="E57" t="str">
        <v>fixed_leg.cashflows.[5].fixed_rate</v>
      </c>
      <c r="F57">
        <v>1E-3</v>
      </c>
      <c r="G57" cm="1">
        <f t="array" ref="G57">_xll.ExLibris.Json.GetJsonValueAsync($F$1,E57)</f>
        <v>1E-3</v>
      </c>
      <c r="P57" t="str">
        <v>fixed_leg.cashflows.[4].day_count_type</v>
      </c>
      <c r="Q57" t="str">
        <v>ACT/360</v>
      </c>
      <c r="S57" t="s">
        <v>67</v>
      </c>
      <c r="T57">
        <v>1E-3</v>
      </c>
      <c r="U57">
        <v>1E-3</v>
      </c>
      <c r="AD57" t="s">
        <v>59</v>
      </c>
      <c r="AE57" t="s">
        <v>8</v>
      </c>
      <c r="AG57" t="b">
        <f t="shared" si="4"/>
        <v>1</v>
      </c>
      <c r="AH57" t="b">
        <f t="shared" si="5"/>
        <v>1</v>
      </c>
      <c r="AI57" t="b">
        <f t="shared" si="6"/>
        <v>1</v>
      </c>
      <c r="AR57" t="b">
        <f t="shared" si="10"/>
        <v>1</v>
      </c>
      <c r="AS57" t="b">
        <f t="shared" si="11"/>
        <v>1</v>
      </c>
    </row>
    <row r="58" spans="5:45" x14ac:dyDescent="0.4">
      <c r="P58" t="str">
        <v>fixed_leg.cashflows.[4].amout</v>
      </c>
      <c r="Q58">
        <v>14000000</v>
      </c>
      <c r="AD58" t="s">
        <v>60</v>
      </c>
      <c r="AE58">
        <v>14000000</v>
      </c>
      <c r="AR58" t="b">
        <f t="shared" si="10"/>
        <v>1</v>
      </c>
      <c r="AS58" t="b">
        <f t="shared" si="11"/>
        <v>1</v>
      </c>
    </row>
    <row r="59" spans="5:45" x14ac:dyDescent="0.4">
      <c r="P59" t="str">
        <v>fixed_leg.cashflows.[4].fixed_rate</v>
      </c>
      <c r="Q59">
        <v>1E-3</v>
      </c>
      <c r="AD59" t="s">
        <v>61</v>
      </c>
      <c r="AE59">
        <v>1E-3</v>
      </c>
      <c r="AR59" t="b">
        <f t="shared" si="10"/>
        <v>1</v>
      </c>
      <c r="AS59" t="b">
        <f t="shared" si="11"/>
        <v>1</v>
      </c>
    </row>
    <row r="60" spans="5:45" x14ac:dyDescent="0.4">
      <c r="P60" t="str">
        <v>fixed_leg.cashflows.[5].payment _date</v>
      </c>
      <c r="Q60">
        <v>45532</v>
      </c>
      <c r="AD60" t="s">
        <v>62</v>
      </c>
      <c r="AE60">
        <v>45532</v>
      </c>
      <c r="AR60" t="b">
        <f t="shared" si="10"/>
        <v>1</v>
      </c>
      <c r="AS60" t="b">
        <f t="shared" si="11"/>
        <v>1</v>
      </c>
    </row>
    <row r="61" spans="5:45" x14ac:dyDescent="0.4">
      <c r="P61" t="str">
        <v>fixed_leg.cashflows.[5].start_date</v>
      </c>
      <c r="Q61">
        <v>45352</v>
      </c>
      <c r="AD61" t="s">
        <v>63</v>
      </c>
      <c r="AE61">
        <v>45352</v>
      </c>
      <c r="AR61" t="b">
        <f t="shared" si="10"/>
        <v>1</v>
      </c>
      <c r="AS61" t="b">
        <f t="shared" si="11"/>
        <v>1</v>
      </c>
    </row>
    <row r="62" spans="5:45" x14ac:dyDescent="0.4">
      <c r="P62" t="str">
        <v>fixed_leg.cashflows.[5].end_date</v>
      </c>
      <c r="Q62">
        <v>45532</v>
      </c>
      <c r="AD62" t="s">
        <v>64</v>
      </c>
      <c r="AE62">
        <v>45532</v>
      </c>
      <c r="AR62" t="b">
        <f t="shared" si="10"/>
        <v>1</v>
      </c>
      <c r="AS62" t="b">
        <f t="shared" si="11"/>
        <v>1</v>
      </c>
    </row>
    <row r="63" spans="5:45" x14ac:dyDescent="0.4">
      <c r="P63" t="str">
        <v>fixed_leg.cashflows.[5].day_count_type</v>
      </c>
      <c r="Q63" t="str">
        <v>ACT/360</v>
      </c>
      <c r="AD63" t="s">
        <v>65</v>
      </c>
      <c r="AE63" t="s">
        <v>8</v>
      </c>
      <c r="AR63" t="b">
        <f t="shared" si="10"/>
        <v>1</v>
      </c>
      <c r="AS63" t="b">
        <f t="shared" si="11"/>
        <v>1</v>
      </c>
    </row>
    <row r="64" spans="5:45" x14ac:dyDescent="0.4">
      <c r="P64" t="str">
        <v>fixed_leg.cashflows.[5].amout</v>
      </c>
      <c r="Q64">
        <v>15000000</v>
      </c>
      <c r="AD64" t="s">
        <v>66</v>
      </c>
      <c r="AE64">
        <v>15000000</v>
      </c>
      <c r="AR64" t="b">
        <f t="shared" si="10"/>
        <v>1</v>
      </c>
      <c r="AS64" t="b">
        <f t="shared" si="11"/>
        <v>1</v>
      </c>
    </row>
    <row r="65" spans="16:45" x14ac:dyDescent="0.4">
      <c r="P65" t="str">
        <v>fixed_leg.cashflows.[5].fixed_rate</v>
      </c>
      <c r="Q65">
        <v>1E-3</v>
      </c>
      <c r="AD65" t="s">
        <v>67</v>
      </c>
      <c r="AE65">
        <v>1E-3</v>
      </c>
      <c r="AR65" t="b">
        <f>P65=AD65</f>
        <v>1</v>
      </c>
      <c r="AS65" t="b">
        <f>Q65=AE65</f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ED89E-C884-4680-AA73-D86C4BBD7CCE}">
  <dimension ref="B1:AJ57"/>
  <sheetViews>
    <sheetView zoomScaleNormal="100" workbookViewId="0"/>
  </sheetViews>
  <sheetFormatPr defaultRowHeight="18.75" x14ac:dyDescent="0.4"/>
  <cols>
    <col min="1" max="1" width="2.25" customWidth="1"/>
    <col min="2" max="2" width="1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13.5" bestFit="1" customWidth="1"/>
    <col min="18" max="18" width="17" customWidth="1"/>
    <col min="19" max="19" width="10.125" bestFit="1" customWidth="1"/>
    <col min="20" max="20" width="9.5" bestFit="1" customWidth="1"/>
    <col min="21" max="21" width="15.5" bestFit="1" customWidth="1"/>
    <col min="22" max="22" width="9.5" bestFit="1" customWidth="1"/>
    <col min="23" max="23" width="9.875" bestFit="1" customWidth="1"/>
  </cols>
  <sheetData>
    <row r="1" spans="2:25" x14ac:dyDescent="0.4">
      <c r="E1" t="s">
        <v>27</v>
      </c>
      <c r="F1" t="str" cm="1">
        <f t="array" ref="F1">_xll.ExLibris.Json.CreateJsonObjectAsync(E3:F6, EXLIBRIS_CONFIGURATION)</f>
        <v>JsonObject:C5C4A3A5-024B-4AF3-BB6F-AB44C6FD7104</v>
      </c>
      <c r="K1" t="str">
        <f>EXLIBRIS_CONFIGURATION</f>
        <v>ExLibris.Core.ExLibrisConfiguration:4D8FC3D0-4486-44D9-9C53-69DA4FB920AF</v>
      </c>
    </row>
    <row r="2" spans="2:25" x14ac:dyDescent="0.4">
      <c r="B2" s="5" t="s">
        <v>70</v>
      </c>
      <c r="C2" s="5"/>
    </row>
    <row r="3" spans="2:25" x14ac:dyDescent="0.4">
      <c r="B3" s="6" t="s">
        <v>71</v>
      </c>
      <c r="C3" s="6">
        <f>COUNTIF(AA19:AC57,FALSE)</f>
        <v>0</v>
      </c>
      <c r="E3" t="s">
        <v>15</v>
      </c>
      <c r="F3" t="s">
        <v>17</v>
      </c>
    </row>
    <row r="4" spans="2:25" x14ac:dyDescent="0.4">
      <c r="B4" s="6" t="s">
        <v>72</v>
      </c>
      <c r="C4" s="6">
        <f>COUNTIF(AE20:AJ26,FALSE)</f>
        <v>0</v>
      </c>
      <c r="E4" t="s">
        <v>19</v>
      </c>
      <c r="F4" t="s">
        <v>21</v>
      </c>
    </row>
    <row r="5" spans="2:25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5" x14ac:dyDescent="0.4">
      <c r="B6" s="6" t="s">
        <v>75</v>
      </c>
      <c r="C6" s="6">
        <f>COUNTIF(AE29:AJ30,FALSE)</f>
        <v>0</v>
      </c>
      <c r="E6" t="s">
        <v>26</v>
      </c>
      <c r="F6" t="str" cm="1">
        <f t="array" ref="F6">_xll.ExLibris.Json.CreateJsonArrayAsync(E8:J14, EXLIBRIS_CONFIGURATION)</f>
        <v>JsonObject:522A08EB-A66A-4B6E-83D5-DCDB0DB5238F</v>
      </c>
      <c r="L6" t="s">
        <v>68</v>
      </c>
      <c r="M6" t="str" cm="1">
        <f t="array" ref="M6">_xll.ExLibris.Json.ShowJsonTextAsync(F1)</f>
        <v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_date":"2022-09-08","start_date":"2022-03-12","end_date":"2022-09-08","day_count_type":"ACT/360","amout":10000000,"fixed_rate":0.0011},{"payment _date":"2023-03-07","start_date":"2022-09-08","end_date":"2023-03-07","day_count_type":"ACT/360","amout":11000000,"fixed_rate":0.0012000000000000001},{"payment _date":"2023-09-03","start_date":"2023-03-07","end_date":"2023-09-03","day_count_type":"ACT/360","amout":11000000,"fixed_rate":0.0013000000000000002},{"payment _date":"2024-03-01","start_date":"2023-09-03","end_date":"2024-03-01","day_count_type":"ACT/360","amout":12000000,"fixed_rate":0.0014000000000000002},{"payment _date":"2024-08-28","start_date":"2024-03-01","end_date":"2024-08-28","day_count_type":"ACT/360","amout":12000000,"fixed_rate":0.0015000000000000002}]}}</v>
      </c>
    </row>
    <row r="7" spans="2:25" x14ac:dyDescent="0.4">
      <c r="B7" s="6" t="s">
        <v>108</v>
      </c>
      <c r="C7" s="6">
        <f>COUNTIF(AE34:AJ36,FALSE)</f>
        <v>0</v>
      </c>
      <c r="L7" t="s">
        <v>74</v>
      </c>
      <c r="M7" t="s">
        <v>106</v>
      </c>
    </row>
    <row r="8" spans="2:25" x14ac:dyDescent="0.4">
      <c r="B8" s="6" t="s">
        <v>109</v>
      </c>
      <c r="C8" s="6">
        <f>COUNTIF(AE39:AJ40,FALSE)</f>
        <v>0</v>
      </c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5" x14ac:dyDescent="0.4">
      <c r="B9" s="6" t="s">
        <v>110</v>
      </c>
      <c r="C9" s="6">
        <f>COUNTIF(AE43,FALSE)</f>
        <v>0</v>
      </c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5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</f>
        <v>10000000</v>
      </c>
      <c r="J10" s="3">
        <f>J9+0.0001</f>
        <v>1.1000000000000001E-3</v>
      </c>
    </row>
    <row r="11" spans="2:25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3" si="3">I10+1000000</f>
        <v>11000000</v>
      </c>
      <c r="J11" s="3">
        <f t="shared" ref="J11:J14" si="4">J10+0.0001</f>
        <v>1.2000000000000001E-3</v>
      </c>
    </row>
    <row r="12" spans="2:25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>I11</f>
        <v>11000000</v>
      </c>
      <c r="J12" s="3">
        <f t="shared" si="4"/>
        <v>1.3000000000000002E-3</v>
      </c>
    </row>
    <row r="13" spans="2:25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12000000</v>
      </c>
      <c r="J13" s="3">
        <f t="shared" si="4"/>
        <v>1.4000000000000002E-3</v>
      </c>
    </row>
    <row r="14" spans="2:25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>I13</f>
        <v>12000000</v>
      </c>
      <c r="J14" s="3">
        <f t="shared" si="4"/>
        <v>1.5000000000000002E-3</v>
      </c>
    </row>
    <row r="16" spans="2:25" s="4" customFormat="1" ht="18" x14ac:dyDescent="0.4">
      <c r="E16" s="4" t="s">
        <v>68</v>
      </c>
      <c r="P16" s="4" t="s">
        <v>69</v>
      </c>
      <c r="Y16" s="4" t="s">
        <v>70</v>
      </c>
    </row>
    <row r="18" spans="5:36" x14ac:dyDescent="0.4">
      <c r="E18" t="s">
        <v>29</v>
      </c>
      <c r="I18" t="s">
        <v>31</v>
      </c>
      <c r="P18" t="s">
        <v>28</v>
      </c>
      <c r="T18" t="s">
        <v>30</v>
      </c>
      <c r="AA18" t="s">
        <v>28</v>
      </c>
      <c r="AE18" t="s">
        <v>30</v>
      </c>
    </row>
    <row r="19" spans="5:36" x14ac:dyDescent="0.4">
      <c r="E19" t="str" cm="1">
        <f t="array" ref="E19:F57">_xll.ExLibris.Json.GetJsonKeyValuesAsync(F1, EXLIBRIS_CONFIGURATION)</f>
        <v>trade_code</v>
      </c>
      <c r="F19" t="str">
        <v>money_00001</v>
      </c>
      <c r="G19" t="str" cm="1">
        <f t="array" ref="G19">_xll.ExLibris.Json.GetJsonValueAsync($F$1,E19, EXLIBRIS_CONFIGURATION)</f>
        <v>money_00001</v>
      </c>
      <c r="I19" t="str" cm="1">
        <f t="array" ref="I19">_xll.ExLibris.Json.GetJsonValueAsync(F1,E6, EXLIBRIS_CONFIGURATION)</f>
        <v>JsonObject:9B608B7D-B01F-4879-B7F7-E56BD0BD9D50</v>
      </c>
      <c r="P19" t="s">
        <v>14</v>
      </c>
      <c r="Q19" t="s">
        <v>16</v>
      </c>
      <c r="R19" t="s">
        <v>16</v>
      </c>
      <c r="AA19" t="b">
        <f t="shared" ref="AA19:AA57" si="5">E19=P19</f>
        <v>1</v>
      </c>
      <c r="AB19" t="b">
        <f t="shared" ref="AB19:AC57" si="6">E19=P19</f>
        <v>1</v>
      </c>
      <c r="AC19" t="b">
        <f t="shared" si="6"/>
        <v>1</v>
      </c>
    </row>
    <row r="20" spans="5:36" x14ac:dyDescent="0.4">
      <c r="E20" t="str">
        <v>couter_party</v>
      </c>
      <c r="F20" t="str">
        <v>CP00001</v>
      </c>
      <c r="G20" t="str" cm="1">
        <f t="array" ref="G20">_xll.ExLibris.Json.GetJsonValueAsync($F$1,E20, EXLIBRIS_CONFIGURATION)</f>
        <v>CP00001</v>
      </c>
      <c r="I20" t="str" cm="1">
        <f t="array" ref="I20:N26">_xll.ExLibris.Json.GetJsonTableAsync(I19, EXLIBRIS_CONFIGURATION)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">
        <v>18</v>
      </c>
      <c r="Q20" t="s">
        <v>20</v>
      </c>
      <c r="R20" t="s">
        <v>20</v>
      </c>
      <c r="T20" t="s">
        <v>0</v>
      </c>
      <c r="U20" t="s">
        <v>2</v>
      </c>
      <c r="V20" t="s">
        <v>4</v>
      </c>
      <c r="W20" t="s">
        <v>6</v>
      </c>
      <c r="X20" t="s">
        <v>10</v>
      </c>
      <c r="Y20" t="s">
        <v>12</v>
      </c>
      <c r="AA20" t="b">
        <f t="shared" si="5"/>
        <v>1</v>
      </c>
      <c r="AB20" t="b">
        <f t="shared" si="6"/>
        <v>1</v>
      </c>
      <c r="AC20" t="b">
        <f t="shared" si="6"/>
        <v>1</v>
      </c>
      <c r="AE20" t="b">
        <f t="shared" ref="AE20:AJ26" si="7">I20=T20</f>
        <v>1</v>
      </c>
      <c r="AF20" t="b">
        <f t="shared" si="7"/>
        <v>1</v>
      </c>
      <c r="AG20" t="b">
        <f t="shared" si="7"/>
        <v>1</v>
      </c>
      <c r="AH20" t="b">
        <f t="shared" si="7"/>
        <v>1</v>
      </c>
      <c r="AI20" t="b">
        <f t="shared" si="7"/>
        <v>1</v>
      </c>
      <c r="AJ20" t="b">
        <f t="shared" si="7"/>
        <v>1</v>
      </c>
    </row>
    <row r="21" spans="5:36" x14ac:dyDescent="0.4">
      <c r="E21" t="str">
        <v>fixed_leg.pay_or_recieve</v>
      </c>
      <c r="F21" t="str">
        <v>Receive</v>
      </c>
      <c r="G21" t="str" cm="1">
        <f t="array" ref="G21">_xll.ExLibris.Json.GetJsonValueAsync($F$1,E21, EXLIBRIS_CONFIGURATION)</f>
        <v>Receive</v>
      </c>
      <c r="I21" t="str">
        <v>2022-03-12</v>
      </c>
      <c r="J21" t="str">
        <v>2021-09-13</v>
      </c>
      <c r="K21" t="str">
        <v>2022-03-12</v>
      </c>
      <c r="L21" t="str">
        <v>ACT/360</v>
      </c>
      <c r="M21">
        <v>10000000</v>
      </c>
      <c r="N21">
        <v>1E-3</v>
      </c>
      <c r="P21" t="s">
        <v>22</v>
      </c>
      <c r="Q21" t="s">
        <v>24</v>
      </c>
      <c r="R21" t="s">
        <v>24</v>
      </c>
      <c r="T21" t="s">
        <v>93</v>
      </c>
      <c r="U21" t="s">
        <v>94</v>
      </c>
      <c r="V21" t="s">
        <v>93</v>
      </c>
      <c r="W21" t="s">
        <v>8</v>
      </c>
      <c r="X21">
        <v>10000000</v>
      </c>
      <c r="Y21">
        <v>1E-3</v>
      </c>
      <c r="AA21" t="b">
        <f t="shared" si="5"/>
        <v>1</v>
      </c>
      <c r="AB21" t="b">
        <f t="shared" si="6"/>
        <v>1</v>
      </c>
      <c r="AC21" t="b">
        <f t="shared" si="6"/>
        <v>1</v>
      </c>
      <c r="AE21" t="b">
        <f t="shared" si="7"/>
        <v>1</v>
      </c>
      <c r="AF21" t="b">
        <f t="shared" si="7"/>
        <v>1</v>
      </c>
      <c r="AG21" t="b">
        <f t="shared" si="7"/>
        <v>1</v>
      </c>
      <c r="AH21" t="b">
        <f t="shared" si="7"/>
        <v>1</v>
      </c>
      <c r="AI21" t="b">
        <f t="shared" si="7"/>
        <v>1</v>
      </c>
      <c r="AJ21" t="b">
        <f t="shared" si="7"/>
        <v>1</v>
      </c>
    </row>
    <row r="22" spans="5:36" x14ac:dyDescent="0.4">
      <c r="E22" t="str">
        <v>fixed_leg.cashflows.[0].payment _date</v>
      </c>
      <c r="F22" t="str">
        <v>2022-03-12</v>
      </c>
      <c r="G22" t="str" cm="1">
        <f t="array" ref="G22">_xll.ExLibris.Json.GetJsonValueAsync($F$1,E22, EXLIBRIS_CONFIGURATION)</f>
        <v>2022-03-12</v>
      </c>
      <c r="I22" t="str">
        <v>2022-09-08</v>
      </c>
      <c r="J22" t="str">
        <v>2022-03-12</v>
      </c>
      <c r="K22" t="str">
        <v>2022-09-08</v>
      </c>
      <c r="L22" t="str">
        <v>ACT/360</v>
      </c>
      <c r="M22">
        <v>10000000</v>
      </c>
      <c r="N22">
        <v>1.1000000000000001E-3</v>
      </c>
      <c r="P22" t="s">
        <v>32</v>
      </c>
      <c r="Q22" t="s">
        <v>93</v>
      </c>
      <c r="R22" t="s">
        <v>93</v>
      </c>
      <c r="T22" t="s">
        <v>95</v>
      </c>
      <c r="U22" t="s">
        <v>93</v>
      </c>
      <c r="V22" t="s">
        <v>95</v>
      </c>
      <c r="W22" t="s">
        <v>8</v>
      </c>
      <c r="X22">
        <v>10000000</v>
      </c>
      <c r="Y22">
        <v>1.1000000000000001E-3</v>
      </c>
      <c r="AA22" t="b">
        <f t="shared" si="5"/>
        <v>1</v>
      </c>
      <c r="AB22" t="b">
        <f t="shared" si="6"/>
        <v>1</v>
      </c>
      <c r="AC22" t="b">
        <f t="shared" si="6"/>
        <v>1</v>
      </c>
      <c r="AE22" t="b">
        <f t="shared" si="7"/>
        <v>1</v>
      </c>
      <c r="AF22" t="b">
        <f t="shared" si="7"/>
        <v>1</v>
      </c>
      <c r="AG22" t="b">
        <f t="shared" si="7"/>
        <v>1</v>
      </c>
      <c r="AH22" t="b">
        <f t="shared" si="7"/>
        <v>1</v>
      </c>
      <c r="AI22" t="b">
        <f t="shared" si="7"/>
        <v>1</v>
      </c>
      <c r="AJ22" t="b">
        <f t="shared" si="7"/>
        <v>1</v>
      </c>
    </row>
    <row r="23" spans="5:36" x14ac:dyDescent="0.4">
      <c r="E23" t="str">
        <v>fixed_leg.cashflows.[0].start_date</v>
      </c>
      <c r="F23" t="str">
        <v>2021-09-13</v>
      </c>
      <c r="G23" t="str" cm="1">
        <f t="array" ref="G23">_xll.ExLibris.Json.GetJsonValueAsync($F$1,E23, EXLIBRIS_CONFIGURATION)</f>
        <v>2021-09-13</v>
      </c>
      <c r="I23" t="str">
        <v>2023-03-07</v>
      </c>
      <c r="J23" t="str">
        <v>2022-09-08</v>
      </c>
      <c r="K23" t="str">
        <v>2023-03-07</v>
      </c>
      <c r="L23" t="str">
        <v>ACT/360</v>
      </c>
      <c r="M23">
        <v>11000000</v>
      </c>
      <c r="N23">
        <v>1.2000000000000001E-3</v>
      </c>
      <c r="P23" t="s">
        <v>33</v>
      </c>
      <c r="Q23" t="s">
        <v>94</v>
      </c>
      <c r="R23" t="s">
        <v>94</v>
      </c>
      <c r="T23" t="s">
        <v>96</v>
      </c>
      <c r="U23" t="s">
        <v>95</v>
      </c>
      <c r="V23" t="s">
        <v>96</v>
      </c>
      <c r="W23" t="s">
        <v>8</v>
      </c>
      <c r="X23">
        <v>11000000</v>
      </c>
      <c r="Y23">
        <v>1.2000000000000001E-3</v>
      </c>
      <c r="AA23" t="b">
        <f t="shared" si="5"/>
        <v>1</v>
      </c>
      <c r="AB23" t="b">
        <f t="shared" si="6"/>
        <v>1</v>
      </c>
      <c r="AC23" t="b">
        <f t="shared" si="6"/>
        <v>1</v>
      </c>
      <c r="AE23" t="b">
        <f t="shared" si="7"/>
        <v>1</v>
      </c>
      <c r="AF23" t="b">
        <f t="shared" si="7"/>
        <v>1</v>
      </c>
      <c r="AG23" t="b">
        <f t="shared" si="7"/>
        <v>1</v>
      </c>
      <c r="AH23" t="b">
        <f t="shared" si="7"/>
        <v>1</v>
      </c>
      <c r="AI23" t="b">
        <f t="shared" si="7"/>
        <v>1</v>
      </c>
      <c r="AJ23" t="b">
        <f t="shared" si="7"/>
        <v>1</v>
      </c>
    </row>
    <row r="24" spans="5:36" x14ac:dyDescent="0.4">
      <c r="E24" t="str">
        <v>fixed_leg.cashflows.[0].end_date</v>
      </c>
      <c r="F24" t="str">
        <v>2022-03-12</v>
      </c>
      <c r="G24" t="str" cm="1">
        <f t="array" ref="G24">_xll.ExLibris.Json.GetJsonValueAsync($F$1,E24, EXLIBRIS_CONFIGURATION)</f>
        <v>2022-03-12</v>
      </c>
      <c r="I24" t="str">
        <v>2023-09-03</v>
      </c>
      <c r="J24" t="str">
        <v>2023-03-07</v>
      </c>
      <c r="K24" t="str">
        <v>2023-09-03</v>
      </c>
      <c r="L24" t="str">
        <v>ACT/360</v>
      </c>
      <c r="M24">
        <v>11000000</v>
      </c>
      <c r="N24">
        <v>1.3000000000000002E-3</v>
      </c>
      <c r="P24" t="s">
        <v>34</v>
      </c>
      <c r="Q24" t="s">
        <v>93</v>
      </c>
      <c r="R24" t="s">
        <v>93</v>
      </c>
      <c r="T24" t="s">
        <v>97</v>
      </c>
      <c r="U24" t="s">
        <v>96</v>
      </c>
      <c r="V24" t="s">
        <v>97</v>
      </c>
      <c r="W24" t="s">
        <v>8</v>
      </c>
      <c r="X24">
        <v>11000000</v>
      </c>
      <c r="Y24">
        <v>1.3000000000000002E-3</v>
      </c>
      <c r="AA24" t="b">
        <f t="shared" si="5"/>
        <v>1</v>
      </c>
      <c r="AB24" t="b">
        <f t="shared" si="6"/>
        <v>1</v>
      </c>
      <c r="AC24" t="b">
        <f t="shared" si="6"/>
        <v>1</v>
      </c>
      <c r="AE24" t="b">
        <f t="shared" si="7"/>
        <v>1</v>
      </c>
      <c r="AF24" t="b">
        <f t="shared" si="7"/>
        <v>1</v>
      </c>
      <c r="AG24" t="b">
        <f t="shared" si="7"/>
        <v>1</v>
      </c>
      <c r="AH24" t="b">
        <f t="shared" si="7"/>
        <v>1</v>
      </c>
      <c r="AI24" t="b">
        <f t="shared" si="7"/>
        <v>1</v>
      </c>
      <c r="AJ24" t="b">
        <f t="shared" si="7"/>
        <v>1</v>
      </c>
    </row>
    <row r="25" spans="5:36" x14ac:dyDescent="0.4">
      <c r="E25" t="str">
        <v>fixed_leg.cashflows.[0].day_count_type</v>
      </c>
      <c r="F25" t="str">
        <v>ACT/360</v>
      </c>
      <c r="G25" t="str" cm="1">
        <f t="array" ref="G25">_xll.ExLibris.Json.GetJsonValueAsync($F$1,E25, EXLIBRIS_CONFIGURATION)</f>
        <v>ACT/360</v>
      </c>
      <c r="I25" t="str">
        <v>2024-03-01</v>
      </c>
      <c r="J25" t="str">
        <v>2023-09-03</v>
      </c>
      <c r="K25" t="str">
        <v>2024-03-01</v>
      </c>
      <c r="L25" t="str">
        <v>ACT/360</v>
      </c>
      <c r="M25">
        <v>12000000</v>
      </c>
      <c r="N25">
        <v>1.4000000000000002E-3</v>
      </c>
      <c r="P25" t="s">
        <v>35</v>
      </c>
      <c r="Q25" t="s">
        <v>8</v>
      </c>
      <c r="R25" t="s">
        <v>8</v>
      </c>
      <c r="T25" t="s">
        <v>98</v>
      </c>
      <c r="U25" t="s">
        <v>97</v>
      </c>
      <c r="V25" t="s">
        <v>98</v>
      </c>
      <c r="W25" t="s">
        <v>8</v>
      </c>
      <c r="X25">
        <v>12000000</v>
      </c>
      <c r="Y25">
        <v>1.4000000000000002E-3</v>
      </c>
      <c r="AA25" t="b">
        <f t="shared" si="5"/>
        <v>1</v>
      </c>
      <c r="AB25" t="b">
        <f t="shared" si="6"/>
        <v>1</v>
      </c>
      <c r="AC25" t="b">
        <f t="shared" si="6"/>
        <v>1</v>
      </c>
      <c r="AE25" t="b">
        <f t="shared" si="7"/>
        <v>1</v>
      </c>
      <c r="AF25" t="b">
        <f t="shared" si="7"/>
        <v>1</v>
      </c>
      <c r="AG25" t="b">
        <f t="shared" si="7"/>
        <v>1</v>
      </c>
      <c r="AH25" t="b">
        <f t="shared" si="7"/>
        <v>1</v>
      </c>
      <c r="AI25" t="b">
        <f t="shared" si="7"/>
        <v>1</v>
      </c>
      <c r="AJ25" t="b">
        <f t="shared" si="7"/>
        <v>1</v>
      </c>
    </row>
    <row r="26" spans="5:36" x14ac:dyDescent="0.4">
      <c r="E26" t="str">
        <v>fixed_leg.cashflows.[0].amout</v>
      </c>
      <c r="F26">
        <v>10000000</v>
      </c>
      <c r="G26" cm="1">
        <f t="array" ref="G26">_xll.ExLibris.Json.GetJsonValueAsync($F$1,E26, EXLIBRIS_CONFIGURATION)</f>
        <v>10000000</v>
      </c>
      <c r="I26" t="str">
        <v>2024-08-28</v>
      </c>
      <c r="J26" t="str">
        <v>2024-03-01</v>
      </c>
      <c r="K26" t="str">
        <v>2024-08-28</v>
      </c>
      <c r="L26" t="str">
        <v>ACT/360</v>
      </c>
      <c r="M26">
        <v>12000000</v>
      </c>
      <c r="N26">
        <v>1.5000000000000002E-3</v>
      </c>
      <c r="P26" t="s">
        <v>36</v>
      </c>
      <c r="Q26">
        <v>10000000</v>
      </c>
      <c r="R26">
        <v>10000000</v>
      </c>
      <c r="T26" t="s">
        <v>99</v>
      </c>
      <c r="U26" t="s">
        <v>98</v>
      </c>
      <c r="V26" t="s">
        <v>99</v>
      </c>
      <c r="W26" t="s">
        <v>8</v>
      </c>
      <c r="X26">
        <v>12000000</v>
      </c>
      <c r="Y26">
        <v>1.5000000000000002E-3</v>
      </c>
      <c r="AA26" t="b">
        <f t="shared" si="5"/>
        <v>1</v>
      </c>
      <c r="AB26" t="b">
        <f t="shared" si="6"/>
        <v>1</v>
      </c>
      <c r="AC26" t="b">
        <f t="shared" si="6"/>
        <v>1</v>
      </c>
      <c r="AE26" t="b">
        <f t="shared" si="7"/>
        <v>1</v>
      </c>
      <c r="AF26" t="b">
        <f t="shared" si="7"/>
        <v>1</v>
      </c>
      <c r="AG26" t="b">
        <f t="shared" si="7"/>
        <v>1</v>
      </c>
      <c r="AH26" t="b">
        <f t="shared" si="7"/>
        <v>1</v>
      </c>
      <c r="AI26" t="b">
        <f t="shared" si="7"/>
        <v>1</v>
      </c>
      <c r="AJ26" t="b">
        <f t="shared" si="7"/>
        <v>1</v>
      </c>
    </row>
    <row r="27" spans="5:36" x14ac:dyDescent="0.4">
      <c r="E27" t="str">
        <v>fixed_leg.cashflows.[0].fixed_rate</v>
      </c>
      <c r="F27">
        <v>1E-3</v>
      </c>
      <c r="G27" cm="1">
        <f t="array" ref="G27">_xll.ExLibris.Json.GetJsonValueAsync($F$1,E27, EXLIBRIS_CONFIGURATION)</f>
        <v>1E-3</v>
      </c>
      <c r="P27" t="s">
        <v>37</v>
      </c>
      <c r="Q27">
        <v>1E-3</v>
      </c>
      <c r="R27">
        <v>1E-3</v>
      </c>
      <c r="AA27" t="b">
        <f t="shared" si="5"/>
        <v>1</v>
      </c>
      <c r="AB27" t="b">
        <f t="shared" si="6"/>
        <v>1</v>
      </c>
      <c r="AC27" t="b">
        <f t="shared" si="6"/>
        <v>1</v>
      </c>
    </row>
    <row r="28" spans="5:36" x14ac:dyDescent="0.4">
      <c r="E28" t="str">
        <v>fixed_leg.cashflows.[1].payment _date</v>
      </c>
      <c r="F28" t="str">
        <v>2022-09-08</v>
      </c>
      <c r="G28" t="str" cm="1">
        <f t="array" ref="G28">_xll.ExLibris.Json.GetJsonValueAsync($F$1,E28, EXLIBRIS_CONFIGURATION)</f>
        <v>2022-09-08</v>
      </c>
      <c r="I28" t="str" cm="1">
        <f t="array" ref="I28">_xll.ExLibris.Json.GetJsonValueAsync(I19,"[2]", EXLIBRIS_CONFIGURATION)</f>
        <v>JsonObject:714EBBF4-5034-4336-A90E-C796F4DE835A</v>
      </c>
      <c r="P28" t="s">
        <v>38</v>
      </c>
      <c r="Q28" t="s">
        <v>95</v>
      </c>
      <c r="R28" t="s">
        <v>95</v>
      </c>
      <c r="AA28" t="b">
        <f t="shared" si="5"/>
        <v>1</v>
      </c>
      <c r="AB28" t="b">
        <f t="shared" si="6"/>
        <v>1</v>
      </c>
      <c r="AC28" t="b">
        <f t="shared" si="6"/>
        <v>1</v>
      </c>
    </row>
    <row r="29" spans="5:36" x14ac:dyDescent="0.4">
      <c r="E29" t="str">
        <v>fixed_leg.cashflows.[1].start_date</v>
      </c>
      <c r="F29" t="str">
        <v>2022-03-12</v>
      </c>
      <c r="G29" t="str" cm="1">
        <f t="array" ref="G29">_xll.ExLibris.Json.GetJsonValueAsync($F$1,E29, EXLIBRIS_CONFIGURATION)</f>
        <v>2022-03-12</v>
      </c>
      <c r="I29" t="str" cm="1">
        <f t="array" ref="I29:N30">_xll.ExLibris.Json.GetJsonTableAsync(I28, EXLIBRIS_CONFIGURATION)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">
        <v>39</v>
      </c>
      <c r="Q29" t="s">
        <v>93</v>
      </c>
      <c r="R29" t="s">
        <v>93</v>
      </c>
      <c r="T29" t="s">
        <v>0</v>
      </c>
      <c r="U29" t="s">
        <v>2</v>
      </c>
      <c r="V29" t="s">
        <v>4</v>
      </c>
      <c r="W29" t="s">
        <v>6</v>
      </c>
      <c r="X29" t="s">
        <v>10</v>
      </c>
      <c r="Y29" t="s">
        <v>12</v>
      </c>
      <c r="AA29" t="b">
        <f t="shared" si="5"/>
        <v>1</v>
      </c>
      <c r="AB29" t="b">
        <f t="shared" si="6"/>
        <v>1</v>
      </c>
      <c r="AC29" t="b">
        <f t="shared" si="6"/>
        <v>1</v>
      </c>
      <c r="AE29" t="b">
        <f t="shared" ref="AE29:AJ30" si="8">I29=T29</f>
        <v>1</v>
      </c>
      <c r="AF29" t="b">
        <f t="shared" si="8"/>
        <v>1</v>
      </c>
      <c r="AG29" t="b">
        <f t="shared" si="8"/>
        <v>1</v>
      </c>
      <c r="AH29" t="b">
        <f t="shared" si="8"/>
        <v>1</v>
      </c>
      <c r="AI29" t="b">
        <f t="shared" si="8"/>
        <v>1</v>
      </c>
      <c r="AJ29" t="b">
        <f t="shared" si="8"/>
        <v>1</v>
      </c>
    </row>
    <row r="30" spans="5:36" x14ac:dyDescent="0.4">
      <c r="E30" t="str">
        <v>fixed_leg.cashflows.[1].end_date</v>
      </c>
      <c r="F30" t="str">
        <v>2022-09-08</v>
      </c>
      <c r="G30" t="str" cm="1">
        <f t="array" ref="G30">_xll.ExLibris.Json.GetJsonValueAsync($F$1,E30, EXLIBRIS_CONFIGURATION)</f>
        <v>2022-09-08</v>
      </c>
      <c r="I30" t="str">
        <v>2023-03-07</v>
      </c>
      <c r="J30" t="str">
        <v>2022-09-08</v>
      </c>
      <c r="K30" t="str">
        <v>2023-03-07</v>
      </c>
      <c r="L30" t="str">
        <v>ACT/360</v>
      </c>
      <c r="M30">
        <v>11000000</v>
      </c>
      <c r="N30">
        <v>1.2000000000000001E-3</v>
      </c>
      <c r="P30" t="s">
        <v>40</v>
      </c>
      <c r="Q30" t="s">
        <v>95</v>
      </c>
      <c r="R30" t="s">
        <v>95</v>
      </c>
      <c r="T30" t="s">
        <v>96</v>
      </c>
      <c r="U30" t="s">
        <v>95</v>
      </c>
      <c r="V30" t="s">
        <v>96</v>
      </c>
      <c r="W30" t="s">
        <v>8</v>
      </c>
      <c r="X30">
        <v>11000000</v>
      </c>
      <c r="Y30">
        <v>1.2000000000000001E-3</v>
      </c>
      <c r="AA30" t="b">
        <f t="shared" si="5"/>
        <v>1</v>
      </c>
      <c r="AB30" t="b">
        <f t="shared" si="6"/>
        <v>1</v>
      </c>
      <c r="AC30" t="b">
        <f t="shared" si="6"/>
        <v>1</v>
      </c>
      <c r="AE30" t="b">
        <f t="shared" si="8"/>
        <v>1</v>
      </c>
      <c r="AF30" t="b">
        <f t="shared" si="8"/>
        <v>1</v>
      </c>
      <c r="AG30" t="b">
        <f t="shared" si="8"/>
        <v>1</v>
      </c>
      <c r="AH30" t="b">
        <f t="shared" si="8"/>
        <v>1</v>
      </c>
      <c r="AI30" t="b">
        <f t="shared" si="8"/>
        <v>1</v>
      </c>
      <c r="AJ30" t="b">
        <f t="shared" si="8"/>
        <v>1</v>
      </c>
    </row>
    <row r="31" spans="5:36" x14ac:dyDescent="0.4">
      <c r="E31" t="str">
        <v>fixed_leg.cashflows.[1].day_count_type</v>
      </c>
      <c r="F31" t="str">
        <v>ACT/360</v>
      </c>
      <c r="G31" t="str" cm="1">
        <f t="array" ref="G31">_xll.ExLibris.Json.GetJsonValueAsync($F$1,E31, EXLIBRIS_CONFIGURATION)</f>
        <v>ACT/360</v>
      </c>
      <c r="P31" t="s">
        <v>41</v>
      </c>
      <c r="Q31" t="s">
        <v>8</v>
      </c>
      <c r="R31" t="s">
        <v>8</v>
      </c>
      <c r="AA31" t="b">
        <f t="shared" si="5"/>
        <v>1</v>
      </c>
      <c r="AB31" t="b">
        <f t="shared" si="6"/>
        <v>1</v>
      </c>
      <c r="AC31" t="b">
        <f t="shared" si="6"/>
        <v>1</v>
      </c>
    </row>
    <row r="32" spans="5:36" x14ac:dyDescent="0.4">
      <c r="E32" t="str">
        <v>fixed_leg.cashflows.[1].amout</v>
      </c>
      <c r="F32">
        <v>10000000</v>
      </c>
      <c r="G32" cm="1">
        <f t="array" ref="G32">_xll.ExLibris.Json.GetJsonValueAsync($F$1,E32, EXLIBRIS_CONFIGURATION)</f>
        <v>10000000</v>
      </c>
      <c r="I32" t="str" cm="1">
        <f t="array" ref="I32">_xll.ExLibris.Json.GetJsonValueAsync(F1,E6,EXLIBRIS_CONFIGURATION)</f>
        <v>JsonObject:9B608B7D-B01F-4879-B7F7-E56BD0BD9D50</v>
      </c>
      <c r="P32" t="s">
        <v>42</v>
      </c>
      <c r="Q32">
        <v>10000000</v>
      </c>
      <c r="R32">
        <v>10000000</v>
      </c>
      <c r="AA32" t="b">
        <f t="shared" si="5"/>
        <v>1</v>
      </c>
      <c r="AB32" t="b">
        <f t="shared" si="6"/>
        <v>1</v>
      </c>
      <c r="AC32" t="b">
        <f t="shared" si="6"/>
        <v>1</v>
      </c>
    </row>
    <row r="33" spans="5:36" x14ac:dyDescent="0.4">
      <c r="E33" t="str">
        <v>fixed_leg.cashflows.[1].fixed_rate</v>
      </c>
      <c r="F33">
        <v>1.1000000000000001E-3</v>
      </c>
      <c r="G33" cm="1">
        <f t="array" ref="G33">_xll.ExLibris.Json.GetJsonValueAsync($F$1,E33, EXLIBRIS_CONFIGURATION)</f>
        <v>1.1000000000000001E-3</v>
      </c>
      <c r="I33" t="str" cm="1">
        <f t="array" ref="I33">_xll.ExLibris.Json.SeachJsonArrayElementsAsync(I32,I8,I11,EXLIBRIS_CONFIGURATION)</f>
        <v>JsonObject:35178FAF-A0CD-433A-B8B6-56F2E9FCBBC3</v>
      </c>
      <c r="P33" t="s">
        <v>43</v>
      </c>
      <c r="Q33">
        <v>1.1000000000000001E-3</v>
      </c>
      <c r="R33">
        <v>1.1000000000000001E-3</v>
      </c>
      <c r="AA33" t="b">
        <f t="shared" si="5"/>
        <v>1</v>
      </c>
      <c r="AB33" t="b">
        <f t="shared" si="6"/>
        <v>1</v>
      </c>
      <c r="AC33" t="b">
        <f t="shared" si="6"/>
        <v>1</v>
      </c>
    </row>
    <row r="34" spans="5:36" x14ac:dyDescent="0.4">
      <c r="E34" t="str">
        <v>fixed_leg.cashflows.[2].payment _date</v>
      </c>
      <c r="F34" t="str">
        <v>2023-03-07</v>
      </c>
      <c r="G34" t="str" cm="1">
        <f t="array" ref="G34">_xll.ExLibris.Json.GetJsonValueAsync($F$1,E34, EXLIBRIS_CONFIGURATION)</f>
        <v>2023-03-07</v>
      </c>
      <c r="I34" t="str" cm="1">
        <f t="array" ref="I34:N36">_xll.ExLibris.Json.GetJsonTableAsync(I33, EXLIBRIS_CONFIGURATION)</f>
        <v>payment _date</v>
      </c>
      <c r="J34" t="str">
        <v>start_date</v>
      </c>
      <c r="K34" t="str">
        <v>end_date</v>
      </c>
      <c r="L34" t="str">
        <v>day_count_type</v>
      </c>
      <c r="M34" t="str">
        <v>amout</v>
      </c>
      <c r="N34" t="str">
        <v>fixed_rate</v>
      </c>
      <c r="P34" t="s">
        <v>44</v>
      </c>
      <c r="Q34" t="s">
        <v>96</v>
      </c>
      <c r="R34" t="s">
        <v>96</v>
      </c>
      <c r="T34" t="s">
        <v>0</v>
      </c>
      <c r="U34" t="s">
        <v>2</v>
      </c>
      <c r="V34" t="s">
        <v>4</v>
      </c>
      <c r="W34" t="s">
        <v>6</v>
      </c>
      <c r="X34" t="s">
        <v>10</v>
      </c>
      <c r="Y34" t="s">
        <v>12</v>
      </c>
      <c r="AA34" t="b">
        <f t="shared" si="5"/>
        <v>1</v>
      </c>
      <c r="AB34" t="b">
        <f t="shared" si="6"/>
        <v>1</v>
      </c>
      <c r="AC34" t="b">
        <f t="shared" si="6"/>
        <v>1</v>
      </c>
      <c r="AE34" t="b">
        <f t="shared" ref="AE34:AE36" si="9">I34=T34</f>
        <v>1</v>
      </c>
      <c r="AF34" t="b">
        <f t="shared" ref="AF34:AF36" si="10">J34=U34</f>
        <v>1</v>
      </c>
      <c r="AG34" t="b">
        <f t="shared" ref="AG34:AG36" si="11">K34=V34</f>
        <v>1</v>
      </c>
      <c r="AH34" t="b">
        <f t="shared" ref="AH34:AH36" si="12">L34=W34</f>
        <v>1</v>
      </c>
      <c r="AI34" t="b">
        <f t="shared" ref="AI34:AI36" si="13">M34=X34</f>
        <v>1</v>
      </c>
      <c r="AJ34" t="b">
        <f t="shared" ref="AJ34:AJ36" si="14">N34=Y34</f>
        <v>1</v>
      </c>
    </row>
    <row r="35" spans="5:36" x14ac:dyDescent="0.4">
      <c r="E35" t="str">
        <v>fixed_leg.cashflows.[2].start_date</v>
      </c>
      <c r="F35" t="str">
        <v>2022-09-08</v>
      </c>
      <c r="G35" t="str" cm="1">
        <f t="array" ref="G35">_xll.ExLibris.Json.GetJsonValueAsync($F$1,E35, EXLIBRIS_CONFIGURATION)</f>
        <v>2022-09-08</v>
      </c>
      <c r="I35" t="str">
        <v>2023-03-07</v>
      </c>
      <c r="J35" t="str">
        <v>2022-09-08</v>
      </c>
      <c r="K35" t="str">
        <v>2023-03-07</v>
      </c>
      <c r="L35" t="str">
        <v>ACT/360</v>
      </c>
      <c r="M35">
        <v>11000000</v>
      </c>
      <c r="N35">
        <v>1.2000000000000001E-3</v>
      </c>
      <c r="P35" t="s">
        <v>45</v>
      </c>
      <c r="Q35" t="s">
        <v>95</v>
      </c>
      <c r="R35" t="s">
        <v>95</v>
      </c>
      <c r="T35" t="s">
        <v>96</v>
      </c>
      <c r="U35" t="s">
        <v>95</v>
      </c>
      <c r="V35" t="s">
        <v>96</v>
      </c>
      <c r="W35" t="s">
        <v>8</v>
      </c>
      <c r="X35">
        <v>11000000</v>
      </c>
      <c r="Y35">
        <v>1.2000000000000001E-3</v>
      </c>
      <c r="AA35" t="b">
        <f t="shared" si="5"/>
        <v>1</v>
      </c>
      <c r="AB35" t="b">
        <f t="shared" si="6"/>
        <v>1</v>
      </c>
      <c r="AC35" t="b">
        <f t="shared" si="6"/>
        <v>1</v>
      </c>
      <c r="AE35" t="b">
        <f t="shared" si="9"/>
        <v>1</v>
      </c>
      <c r="AF35" t="b">
        <f t="shared" si="10"/>
        <v>1</v>
      </c>
      <c r="AG35" t="b">
        <f t="shared" si="11"/>
        <v>1</v>
      </c>
      <c r="AH35" t="b">
        <f t="shared" si="12"/>
        <v>1</v>
      </c>
      <c r="AI35" t="b">
        <f t="shared" si="13"/>
        <v>1</v>
      </c>
      <c r="AJ35" t="b">
        <f t="shared" si="14"/>
        <v>1</v>
      </c>
    </row>
    <row r="36" spans="5:36" x14ac:dyDescent="0.4">
      <c r="E36" t="str">
        <v>fixed_leg.cashflows.[2].end_date</v>
      </c>
      <c r="F36" t="str">
        <v>2023-03-07</v>
      </c>
      <c r="G36" t="str" cm="1">
        <f t="array" ref="G36">_xll.ExLibris.Json.GetJsonValueAsync($F$1,E36, EXLIBRIS_CONFIGURATION)</f>
        <v>2023-03-07</v>
      </c>
      <c r="I36" t="str">
        <v>2023-09-03</v>
      </c>
      <c r="J36" t="str">
        <v>2023-03-07</v>
      </c>
      <c r="K36" t="str">
        <v>2023-09-03</v>
      </c>
      <c r="L36" t="str">
        <v>ACT/360</v>
      </c>
      <c r="M36">
        <v>11000000</v>
      </c>
      <c r="N36">
        <v>1.3000000000000002E-3</v>
      </c>
      <c r="P36" t="s">
        <v>46</v>
      </c>
      <c r="Q36" t="s">
        <v>96</v>
      </c>
      <c r="R36" t="s">
        <v>96</v>
      </c>
      <c r="T36" t="s">
        <v>97</v>
      </c>
      <c r="U36" t="s">
        <v>96</v>
      </c>
      <c r="V36" t="s">
        <v>97</v>
      </c>
      <c r="W36" t="s">
        <v>8</v>
      </c>
      <c r="X36">
        <v>11000000</v>
      </c>
      <c r="Y36">
        <v>1.3000000000000002E-3</v>
      </c>
      <c r="AA36" t="b">
        <f t="shared" si="5"/>
        <v>1</v>
      </c>
      <c r="AB36" t="b">
        <f t="shared" si="6"/>
        <v>1</v>
      </c>
      <c r="AC36" t="b">
        <f t="shared" si="6"/>
        <v>1</v>
      </c>
      <c r="AE36" t="b">
        <f t="shared" si="9"/>
        <v>1</v>
      </c>
      <c r="AF36" t="b">
        <f t="shared" si="10"/>
        <v>1</v>
      </c>
      <c r="AG36" t="b">
        <f t="shared" si="11"/>
        <v>1</v>
      </c>
      <c r="AH36" t="b">
        <f t="shared" si="12"/>
        <v>1</v>
      </c>
      <c r="AI36" t="b">
        <f t="shared" si="13"/>
        <v>1</v>
      </c>
      <c r="AJ36" t="b">
        <f t="shared" si="14"/>
        <v>1</v>
      </c>
    </row>
    <row r="37" spans="5:36" x14ac:dyDescent="0.4">
      <c r="E37" t="str">
        <v>fixed_leg.cashflows.[2].day_count_type</v>
      </c>
      <c r="F37" t="str">
        <v>ACT/360</v>
      </c>
      <c r="G37" t="str" cm="1">
        <f t="array" ref="G37">_xll.ExLibris.Json.GetJsonValueAsync($F$1,E37, EXLIBRIS_CONFIGURATION)</f>
        <v>ACT/360</v>
      </c>
      <c r="P37" t="s">
        <v>47</v>
      </c>
      <c r="Q37" t="s">
        <v>8</v>
      </c>
      <c r="R37" t="s">
        <v>8</v>
      </c>
      <c r="AA37" t="b">
        <f t="shared" si="5"/>
        <v>1</v>
      </c>
      <c r="AB37" t="b">
        <f t="shared" si="6"/>
        <v>1</v>
      </c>
      <c r="AC37" t="b">
        <f t="shared" si="6"/>
        <v>1</v>
      </c>
    </row>
    <row r="38" spans="5:36" x14ac:dyDescent="0.4">
      <c r="E38" t="str">
        <v>fixed_leg.cashflows.[2].amout</v>
      </c>
      <c r="F38">
        <v>11000000</v>
      </c>
      <c r="G38" cm="1">
        <f t="array" ref="G38">_xll.ExLibris.Json.GetJsonValueAsync($F$1,E38, EXLIBRIS_CONFIGURATION)</f>
        <v>11000000</v>
      </c>
      <c r="I38" t="str" cm="1">
        <f t="array" ref="I38">_xll.ExLibris.Json.SeachJsonArrayElementsAsync(I32,J8,J11,EXLIBRIS_CONFIGURATION)</f>
        <v>JsonObject:3567FEAA-6672-4FE5-93A6-69B9B6ED4ADB</v>
      </c>
      <c r="P38" t="s">
        <v>48</v>
      </c>
      <c r="Q38">
        <v>11000000</v>
      </c>
      <c r="R38">
        <v>11000000</v>
      </c>
      <c r="AA38" t="b">
        <f t="shared" si="5"/>
        <v>1</v>
      </c>
      <c r="AB38" t="b">
        <f t="shared" si="6"/>
        <v>1</v>
      </c>
      <c r="AC38" t="b">
        <f t="shared" si="6"/>
        <v>1</v>
      </c>
    </row>
    <row r="39" spans="5:36" x14ac:dyDescent="0.4">
      <c r="E39" t="str">
        <v>fixed_leg.cashflows.[2].fixed_rate</v>
      </c>
      <c r="F39">
        <v>1.2000000000000001E-3</v>
      </c>
      <c r="G39" cm="1">
        <f t="array" ref="G39">_xll.ExLibris.Json.GetJsonValueAsync($F$1,E39, EXLIBRIS_CONFIGURATION)</f>
        <v>1.2000000000000001E-3</v>
      </c>
      <c r="I39" t="str" cm="1">
        <f t="array" ref="I39:N40">_xll.ExLibris.Json.GetJsonTableAsync(I38, EXLIBRIS_CONFIGURATION)</f>
        <v>payment _date</v>
      </c>
      <c r="J39" t="str">
        <v>start_date</v>
      </c>
      <c r="K39" t="str">
        <v>end_date</v>
      </c>
      <c r="L39" t="str">
        <v>day_count_type</v>
      </c>
      <c r="M39" t="str">
        <v>amout</v>
      </c>
      <c r="N39" t="str">
        <v>fixed_rate</v>
      </c>
      <c r="P39" t="s">
        <v>49</v>
      </c>
      <c r="Q39">
        <v>1.2000000000000001E-3</v>
      </c>
      <c r="R39">
        <v>1.2000000000000001E-3</v>
      </c>
      <c r="T39" t="s">
        <v>0</v>
      </c>
      <c r="U39" t="s">
        <v>2</v>
      </c>
      <c r="V39" t="s">
        <v>4</v>
      </c>
      <c r="W39" t="s">
        <v>6</v>
      </c>
      <c r="X39" t="s">
        <v>10</v>
      </c>
      <c r="Y39" t="s">
        <v>12</v>
      </c>
      <c r="AA39" t="b">
        <f t="shared" si="5"/>
        <v>1</v>
      </c>
      <c r="AB39" t="b">
        <f t="shared" si="6"/>
        <v>1</v>
      </c>
      <c r="AC39" t="b">
        <f t="shared" si="6"/>
        <v>1</v>
      </c>
      <c r="AE39" t="b">
        <f t="shared" ref="AE39:AE40" si="15">I39=T39</f>
        <v>1</v>
      </c>
      <c r="AF39" t="b">
        <f t="shared" ref="AF39:AF40" si="16">J39=U39</f>
        <v>1</v>
      </c>
      <c r="AG39" t="b">
        <f t="shared" ref="AG39:AG40" si="17">K39=V39</f>
        <v>1</v>
      </c>
      <c r="AH39" t="b">
        <f t="shared" ref="AH39:AH40" si="18">L39=W39</f>
        <v>1</v>
      </c>
      <c r="AI39" t="b">
        <f t="shared" ref="AI39:AI40" si="19">M39=X39</f>
        <v>1</v>
      </c>
      <c r="AJ39" t="b">
        <f t="shared" ref="AJ39:AJ40" si="20">N39=Y39</f>
        <v>1</v>
      </c>
    </row>
    <row r="40" spans="5:36" x14ac:dyDescent="0.4">
      <c r="E40" t="str">
        <v>fixed_leg.cashflows.[3].payment _date</v>
      </c>
      <c r="F40" t="str">
        <v>2023-09-03</v>
      </c>
      <c r="G40" t="str" cm="1">
        <f t="array" ref="G40">_xll.ExLibris.Json.GetJsonValueAsync($F$1,E40, EXLIBRIS_CONFIGURATION)</f>
        <v>2023-09-03</v>
      </c>
      <c r="I40" t="str">
        <v>2023-03-07</v>
      </c>
      <c r="J40" t="str">
        <v>2022-09-08</v>
      </c>
      <c r="K40" t="str">
        <v>2023-03-07</v>
      </c>
      <c r="L40" t="str">
        <v>ACT/360</v>
      </c>
      <c r="M40">
        <v>11000000</v>
      </c>
      <c r="N40">
        <v>1.2000000000000001E-3</v>
      </c>
      <c r="P40" t="s">
        <v>50</v>
      </c>
      <c r="Q40" t="s">
        <v>97</v>
      </c>
      <c r="R40" t="s">
        <v>97</v>
      </c>
      <c r="T40" t="s">
        <v>96</v>
      </c>
      <c r="U40" t="s">
        <v>95</v>
      </c>
      <c r="V40" t="s">
        <v>96</v>
      </c>
      <c r="W40" t="s">
        <v>8</v>
      </c>
      <c r="X40">
        <v>11000000</v>
      </c>
      <c r="Y40">
        <v>1.2000000000000001E-3</v>
      </c>
      <c r="AA40" t="b">
        <f t="shared" si="5"/>
        <v>1</v>
      </c>
      <c r="AB40" t="b">
        <f t="shared" si="6"/>
        <v>1</v>
      </c>
      <c r="AC40" t="b">
        <f t="shared" si="6"/>
        <v>1</v>
      </c>
      <c r="AE40" t="b">
        <f t="shared" si="15"/>
        <v>1</v>
      </c>
      <c r="AF40" t="b">
        <f t="shared" si="16"/>
        <v>1</v>
      </c>
      <c r="AG40" t="b">
        <f t="shared" si="17"/>
        <v>1</v>
      </c>
      <c r="AH40" t="b">
        <f t="shared" si="18"/>
        <v>1</v>
      </c>
      <c r="AI40" t="b">
        <f t="shared" si="19"/>
        <v>1</v>
      </c>
      <c r="AJ40" t="b">
        <f t="shared" si="20"/>
        <v>1</v>
      </c>
    </row>
    <row r="41" spans="5:36" x14ac:dyDescent="0.4">
      <c r="E41" t="str">
        <v>fixed_leg.cashflows.[3].start_date</v>
      </c>
      <c r="F41" t="str">
        <v>2023-03-07</v>
      </c>
      <c r="G41" t="str" cm="1">
        <f t="array" ref="G41">_xll.ExLibris.Json.GetJsonValueAsync($F$1,E41, EXLIBRIS_CONFIGURATION)</f>
        <v>2023-03-07</v>
      </c>
      <c r="P41" t="s">
        <v>51</v>
      </c>
      <c r="Q41" t="s">
        <v>96</v>
      </c>
      <c r="R41" t="s">
        <v>96</v>
      </c>
      <c r="AA41" t="b">
        <f t="shared" si="5"/>
        <v>1</v>
      </c>
      <c r="AB41" t="b">
        <f t="shared" si="6"/>
        <v>1</v>
      </c>
      <c r="AC41" t="b">
        <f t="shared" si="6"/>
        <v>1</v>
      </c>
    </row>
    <row r="42" spans="5:36" x14ac:dyDescent="0.4">
      <c r="E42" t="str">
        <v>fixed_leg.cashflows.[3].end_date</v>
      </c>
      <c r="F42" t="str">
        <v>2023-09-03</v>
      </c>
      <c r="G42" t="str" cm="1">
        <f t="array" ref="G42">_xll.ExLibris.Json.GetJsonValueAsync($F$1,E42, EXLIBRIS_CONFIGURATION)</f>
        <v>2023-09-03</v>
      </c>
      <c r="I42" t="str" cm="1">
        <f t="array" ref="I42">_xll.ExLibris.Json.SeachJsonArrayElementsAsync(I32,J8,,EXLIBRIS_CONFIGURATION)</f>
        <v>JsonObject:A06F35C8-2782-4451-AF0F-58C922980042</v>
      </c>
      <c r="P42" t="s">
        <v>52</v>
      </c>
      <c r="Q42" t="s">
        <v>97</v>
      </c>
      <c r="R42" t="s">
        <v>97</v>
      </c>
      <c r="AA42" t="b">
        <f t="shared" si="5"/>
        <v>1</v>
      </c>
      <c r="AB42" t="b">
        <f t="shared" si="6"/>
        <v>1</v>
      </c>
      <c r="AC42" t="b">
        <f t="shared" si="6"/>
        <v>1</v>
      </c>
    </row>
    <row r="43" spans="5:36" x14ac:dyDescent="0.4">
      <c r="E43" t="str">
        <v>fixed_leg.cashflows.[3].day_count_type</v>
      </c>
      <c r="F43" t="str">
        <v>ACT/360</v>
      </c>
      <c r="G43" t="str" cm="1">
        <f t="array" ref="G43">_xll.ExLibris.Json.GetJsonValueAsync($F$1,E43, EXLIBRIS_CONFIGURATION)</f>
        <v>ACT/360</v>
      </c>
      <c r="I43" t="str" cm="1">
        <f t="array" ref="I43">_xll.ExLibris.Json.GetJsonTableAsync(I42, EXLIBRIS_CONFIGURATION)</f>
        <v/>
      </c>
      <c r="P43" t="s">
        <v>53</v>
      </c>
      <c r="Q43" t="s">
        <v>8</v>
      </c>
      <c r="R43" t="s">
        <v>8</v>
      </c>
      <c r="T43" t="s">
        <v>107</v>
      </c>
      <c r="AA43" t="b">
        <f t="shared" si="5"/>
        <v>1</v>
      </c>
      <c r="AB43" t="b">
        <f t="shared" si="6"/>
        <v>1</v>
      </c>
      <c r="AC43" t="b">
        <f t="shared" si="6"/>
        <v>1</v>
      </c>
      <c r="AE43" t="b">
        <f t="shared" ref="AE43" si="21">I43=T43</f>
        <v>1</v>
      </c>
    </row>
    <row r="44" spans="5:36" x14ac:dyDescent="0.4">
      <c r="E44" t="str">
        <v>fixed_leg.cashflows.[3].amout</v>
      </c>
      <c r="F44">
        <v>11000000</v>
      </c>
      <c r="G44" cm="1">
        <f t="array" ref="G44">_xll.ExLibris.Json.GetJsonValueAsync($F$1,E44, EXLIBRIS_CONFIGURATION)</f>
        <v>11000000</v>
      </c>
      <c r="P44" t="s">
        <v>54</v>
      </c>
      <c r="Q44">
        <v>11000000</v>
      </c>
      <c r="R44">
        <v>11000000</v>
      </c>
      <c r="AA44" t="b">
        <f t="shared" si="5"/>
        <v>1</v>
      </c>
      <c r="AB44" t="b">
        <f t="shared" si="6"/>
        <v>1</v>
      </c>
      <c r="AC44" t="b">
        <f t="shared" si="6"/>
        <v>1</v>
      </c>
    </row>
    <row r="45" spans="5:36" x14ac:dyDescent="0.4">
      <c r="E45" t="str">
        <v>fixed_leg.cashflows.[3].fixed_rate</v>
      </c>
      <c r="F45">
        <v>1.3000000000000002E-3</v>
      </c>
      <c r="G45" cm="1">
        <f t="array" ref="G45">_xll.ExLibris.Json.GetJsonValueAsync($F$1,E45, EXLIBRIS_CONFIGURATION)</f>
        <v>1.3000000000000002E-3</v>
      </c>
      <c r="P45" t="s">
        <v>55</v>
      </c>
      <c r="Q45">
        <v>1.3000000000000002E-3</v>
      </c>
      <c r="R45">
        <v>1.3000000000000002E-3</v>
      </c>
      <c r="AA45" t="b">
        <f t="shared" si="5"/>
        <v>1</v>
      </c>
      <c r="AB45" t="b">
        <f t="shared" si="6"/>
        <v>1</v>
      </c>
      <c r="AC45" t="b">
        <f t="shared" si="6"/>
        <v>1</v>
      </c>
    </row>
    <row r="46" spans="5:36" x14ac:dyDescent="0.4">
      <c r="E46" t="str">
        <v>fixed_leg.cashflows.[4].payment _date</v>
      </c>
      <c r="F46" t="str">
        <v>2024-03-01</v>
      </c>
      <c r="G46" t="str" cm="1">
        <f t="array" ref="G46">_xll.ExLibris.Json.GetJsonValueAsync($F$1,E46, EXLIBRIS_CONFIGURATION)</f>
        <v>2024-03-01</v>
      </c>
      <c r="P46" t="s">
        <v>56</v>
      </c>
      <c r="Q46" t="s">
        <v>98</v>
      </c>
      <c r="R46" t="s">
        <v>98</v>
      </c>
      <c r="AA46" t="b">
        <f t="shared" si="5"/>
        <v>1</v>
      </c>
      <c r="AB46" t="b">
        <f t="shared" si="6"/>
        <v>1</v>
      </c>
      <c r="AC46" t="b">
        <f t="shared" si="6"/>
        <v>1</v>
      </c>
    </row>
    <row r="47" spans="5:36" x14ac:dyDescent="0.4">
      <c r="E47" t="str">
        <v>fixed_leg.cashflows.[4].start_date</v>
      </c>
      <c r="F47" t="str">
        <v>2023-09-03</v>
      </c>
      <c r="G47" t="str" cm="1">
        <f t="array" ref="G47">_xll.ExLibris.Json.GetJsonValueAsync($F$1,E47, EXLIBRIS_CONFIGURATION)</f>
        <v>2023-09-03</v>
      </c>
      <c r="P47" t="s">
        <v>57</v>
      </c>
      <c r="Q47" t="s">
        <v>97</v>
      </c>
      <c r="R47" t="s">
        <v>97</v>
      </c>
      <c r="AA47" t="b">
        <f t="shared" si="5"/>
        <v>1</v>
      </c>
      <c r="AB47" t="b">
        <f t="shared" si="6"/>
        <v>1</v>
      </c>
      <c r="AC47" t="b">
        <f t="shared" si="6"/>
        <v>1</v>
      </c>
    </row>
    <row r="48" spans="5:36" x14ac:dyDescent="0.4">
      <c r="E48" t="str">
        <v>fixed_leg.cashflows.[4].end_date</v>
      </c>
      <c r="F48" t="str">
        <v>2024-03-01</v>
      </c>
      <c r="G48" t="str" cm="1">
        <f t="array" ref="G48">_xll.ExLibris.Json.GetJsonValueAsync($F$1,E48, EXLIBRIS_CONFIGURATION)</f>
        <v>2024-03-01</v>
      </c>
      <c r="P48" t="s">
        <v>58</v>
      </c>
      <c r="Q48" t="s">
        <v>98</v>
      </c>
      <c r="R48" t="s">
        <v>98</v>
      </c>
      <c r="AA48" t="b">
        <f t="shared" si="5"/>
        <v>1</v>
      </c>
      <c r="AB48" t="b">
        <f t="shared" si="6"/>
        <v>1</v>
      </c>
      <c r="AC48" t="b">
        <f t="shared" si="6"/>
        <v>1</v>
      </c>
    </row>
    <row r="49" spans="5:29" x14ac:dyDescent="0.4">
      <c r="E49" t="str">
        <v>fixed_leg.cashflows.[4].day_count_type</v>
      </c>
      <c r="F49" t="str">
        <v>ACT/360</v>
      </c>
      <c r="G49" t="str" cm="1">
        <f t="array" ref="G49">_xll.ExLibris.Json.GetJsonValueAsync($F$1,E49, EXLIBRIS_CONFIGURATION)</f>
        <v>ACT/360</v>
      </c>
      <c r="P49" t="s">
        <v>59</v>
      </c>
      <c r="Q49" t="s">
        <v>8</v>
      </c>
      <c r="R49" t="s">
        <v>8</v>
      </c>
      <c r="AA49" t="b">
        <f t="shared" si="5"/>
        <v>1</v>
      </c>
      <c r="AB49" t="b">
        <f t="shared" si="6"/>
        <v>1</v>
      </c>
      <c r="AC49" t="b">
        <f t="shared" si="6"/>
        <v>1</v>
      </c>
    </row>
    <row r="50" spans="5:29" x14ac:dyDescent="0.4">
      <c r="E50" t="str">
        <v>fixed_leg.cashflows.[4].amout</v>
      </c>
      <c r="F50">
        <v>12000000</v>
      </c>
      <c r="G50" cm="1">
        <f t="array" ref="G50">_xll.ExLibris.Json.GetJsonValueAsync($F$1,E50, EXLIBRIS_CONFIGURATION)</f>
        <v>12000000</v>
      </c>
      <c r="P50" t="s">
        <v>60</v>
      </c>
      <c r="Q50">
        <v>12000000</v>
      </c>
      <c r="R50">
        <v>12000000</v>
      </c>
      <c r="AA50" t="b">
        <f t="shared" si="5"/>
        <v>1</v>
      </c>
      <c r="AB50" t="b">
        <f t="shared" si="6"/>
        <v>1</v>
      </c>
      <c r="AC50" t="b">
        <f t="shared" si="6"/>
        <v>1</v>
      </c>
    </row>
    <row r="51" spans="5:29" x14ac:dyDescent="0.4">
      <c r="E51" t="str">
        <v>fixed_leg.cashflows.[4].fixed_rate</v>
      </c>
      <c r="F51">
        <v>1.4000000000000002E-3</v>
      </c>
      <c r="G51" cm="1">
        <f t="array" ref="G51">_xll.ExLibris.Json.GetJsonValueAsync($F$1,E51, EXLIBRIS_CONFIGURATION)</f>
        <v>1.4000000000000002E-3</v>
      </c>
      <c r="P51" t="s">
        <v>61</v>
      </c>
      <c r="Q51">
        <v>1.4000000000000002E-3</v>
      </c>
      <c r="R51">
        <v>1.4000000000000002E-3</v>
      </c>
      <c r="AA51" t="b">
        <f t="shared" si="5"/>
        <v>1</v>
      </c>
      <c r="AB51" t="b">
        <f t="shared" si="6"/>
        <v>1</v>
      </c>
      <c r="AC51" t="b">
        <f t="shared" si="6"/>
        <v>1</v>
      </c>
    </row>
    <row r="52" spans="5:29" x14ac:dyDescent="0.4">
      <c r="E52" t="str">
        <v>fixed_leg.cashflows.[5].payment _date</v>
      </c>
      <c r="F52" t="str">
        <v>2024-08-28</v>
      </c>
      <c r="G52" t="str" cm="1">
        <f t="array" ref="G52">_xll.ExLibris.Json.GetJsonValueAsync($F$1,E52, EXLIBRIS_CONFIGURATION)</f>
        <v>2024-08-28</v>
      </c>
      <c r="P52" t="s">
        <v>62</v>
      </c>
      <c r="Q52" t="s">
        <v>99</v>
      </c>
      <c r="R52" t="s">
        <v>99</v>
      </c>
      <c r="AA52" t="b">
        <f t="shared" si="5"/>
        <v>1</v>
      </c>
      <c r="AB52" t="b">
        <f t="shared" si="6"/>
        <v>1</v>
      </c>
      <c r="AC52" t="b">
        <f t="shared" si="6"/>
        <v>1</v>
      </c>
    </row>
    <row r="53" spans="5:29" x14ac:dyDescent="0.4">
      <c r="E53" t="str">
        <v>fixed_leg.cashflows.[5].start_date</v>
      </c>
      <c r="F53" t="str">
        <v>2024-03-01</v>
      </c>
      <c r="G53" t="str" cm="1">
        <f t="array" ref="G53">_xll.ExLibris.Json.GetJsonValueAsync($F$1,E53, EXLIBRIS_CONFIGURATION)</f>
        <v>2024-03-01</v>
      </c>
      <c r="P53" t="s">
        <v>63</v>
      </c>
      <c r="Q53" t="s">
        <v>98</v>
      </c>
      <c r="R53" t="s">
        <v>98</v>
      </c>
      <c r="AA53" t="b">
        <f t="shared" si="5"/>
        <v>1</v>
      </c>
      <c r="AB53" t="b">
        <f t="shared" si="6"/>
        <v>1</v>
      </c>
      <c r="AC53" t="b">
        <f t="shared" si="6"/>
        <v>1</v>
      </c>
    </row>
    <row r="54" spans="5:29" x14ac:dyDescent="0.4">
      <c r="E54" t="str">
        <v>fixed_leg.cashflows.[5].end_date</v>
      </c>
      <c r="F54" t="str">
        <v>2024-08-28</v>
      </c>
      <c r="G54" t="str" cm="1">
        <f t="array" ref="G54">_xll.ExLibris.Json.GetJsonValueAsync($F$1,E54, EXLIBRIS_CONFIGURATION)</f>
        <v>2024-08-28</v>
      </c>
      <c r="P54" t="s">
        <v>64</v>
      </c>
      <c r="Q54" t="s">
        <v>99</v>
      </c>
      <c r="R54" t="s">
        <v>99</v>
      </c>
      <c r="AA54" t="b">
        <f t="shared" si="5"/>
        <v>1</v>
      </c>
      <c r="AB54" t="b">
        <f t="shared" si="6"/>
        <v>1</v>
      </c>
      <c r="AC54" t="b">
        <f t="shared" si="6"/>
        <v>1</v>
      </c>
    </row>
    <row r="55" spans="5:29" x14ac:dyDescent="0.4">
      <c r="E55" t="str">
        <v>fixed_leg.cashflows.[5].day_count_type</v>
      </c>
      <c r="F55" t="str">
        <v>ACT/360</v>
      </c>
      <c r="G55" t="str" cm="1">
        <f t="array" ref="G55">_xll.ExLibris.Json.GetJsonValueAsync($F$1,E55, EXLIBRIS_CONFIGURATION)</f>
        <v>ACT/360</v>
      </c>
      <c r="P55" t="s">
        <v>65</v>
      </c>
      <c r="Q55" t="s">
        <v>8</v>
      </c>
      <c r="R55" t="s">
        <v>8</v>
      </c>
      <c r="AA55" t="b">
        <f t="shared" si="5"/>
        <v>1</v>
      </c>
      <c r="AB55" t="b">
        <f t="shared" si="6"/>
        <v>1</v>
      </c>
      <c r="AC55" t="b">
        <f t="shared" si="6"/>
        <v>1</v>
      </c>
    </row>
    <row r="56" spans="5:29" x14ac:dyDescent="0.4">
      <c r="E56" t="str">
        <v>fixed_leg.cashflows.[5].amout</v>
      </c>
      <c r="F56">
        <v>12000000</v>
      </c>
      <c r="G56" cm="1">
        <f t="array" ref="G56">_xll.ExLibris.Json.GetJsonValueAsync($F$1,E56, EXLIBRIS_CONFIGURATION)</f>
        <v>12000000</v>
      </c>
      <c r="P56" t="s">
        <v>66</v>
      </c>
      <c r="Q56">
        <v>12000000</v>
      </c>
      <c r="R56">
        <v>12000000</v>
      </c>
      <c r="AA56" t="b">
        <f t="shared" si="5"/>
        <v>1</v>
      </c>
      <c r="AB56" t="b">
        <f t="shared" si="6"/>
        <v>1</v>
      </c>
      <c r="AC56" t="b">
        <f t="shared" si="6"/>
        <v>1</v>
      </c>
    </row>
    <row r="57" spans="5:29" x14ac:dyDescent="0.4">
      <c r="E57" t="str">
        <v>fixed_leg.cashflows.[5].fixed_rate</v>
      </c>
      <c r="F57">
        <v>1.5000000000000002E-3</v>
      </c>
      <c r="G57" cm="1">
        <f t="array" ref="G57">_xll.ExLibris.Json.GetJsonValueAsync($F$1,E57, EXLIBRIS_CONFIGURATION)</f>
        <v>1.5000000000000002E-3</v>
      </c>
      <c r="P57" t="s">
        <v>67</v>
      </c>
      <c r="Q57">
        <v>1.5000000000000002E-3</v>
      </c>
      <c r="R57">
        <v>1.5000000000000002E-3</v>
      </c>
      <c r="AA57" t="b">
        <f t="shared" si="5"/>
        <v>1</v>
      </c>
      <c r="AB57" t="b">
        <f t="shared" si="6"/>
        <v>1</v>
      </c>
      <c r="AC57" t="b">
        <f t="shared" si="6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1E65-5244-494C-A4E6-E2042CA25001}">
  <dimension ref="B2:F15"/>
  <sheetViews>
    <sheetView workbookViewId="0"/>
  </sheetViews>
  <sheetFormatPr defaultRowHeight="18.75" x14ac:dyDescent="0.4"/>
  <cols>
    <col min="1" max="1" width="3.5" customWidth="1"/>
    <col min="2" max="2" width="39.625" bestFit="1" customWidth="1"/>
    <col min="3" max="3" width="19.375" customWidth="1"/>
    <col min="5" max="5" width="39.625" bestFit="1" customWidth="1"/>
  </cols>
  <sheetData>
    <row r="2" spans="2:6" x14ac:dyDescent="0.4">
      <c r="B2" t="s">
        <v>84</v>
      </c>
      <c r="C2" t="str" cm="1">
        <f t="array" ref="C2">_xll.ExLibris.LoadConfigurationAsync(B6:C15)</f>
        <v>ExLibris.Core.ExLibrisConfiguration:4D8FC3D0-4486-44D9-9C53-69DA4FB920AF</v>
      </c>
    </row>
    <row r="4" spans="2:6" s="4" customFormat="1" ht="18" x14ac:dyDescent="0.4">
      <c r="B4" s="4" t="s">
        <v>86</v>
      </c>
      <c r="E4" s="4" t="s">
        <v>85</v>
      </c>
    </row>
    <row r="6" spans="2:6" x14ac:dyDescent="0.4">
      <c r="B6" t="s">
        <v>76</v>
      </c>
      <c r="C6" t="s">
        <v>77</v>
      </c>
      <c r="E6" t="str" cm="1">
        <f t="array" ref="E6:F15">_xll.ExLibris.DumpObjectAsync(EXLIBRIS_CONFIGURATION)</f>
        <v>excel_value.excel_error_to</v>
      </c>
      <c r="F6" t="str">
        <v>Error</v>
      </c>
    </row>
    <row r="7" spans="2:6" x14ac:dyDescent="0.4">
      <c r="B7" t="s">
        <v>78</v>
      </c>
      <c r="C7" t="s">
        <v>79</v>
      </c>
      <c r="E7" t="str">
        <v>excel_value.excel_missing_to</v>
      </c>
      <c r="F7" t="str">
        <v>Null</v>
      </c>
    </row>
    <row r="8" spans="2:6" x14ac:dyDescent="0.4">
      <c r="B8" t="s">
        <v>80</v>
      </c>
      <c r="C8" t="s">
        <v>79</v>
      </c>
      <c r="E8" t="str">
        <v>excel_value.excel_empty_to</v>
      </c>
      <c r="F8" t="str">
        <v>Null</v>
      </c>
    </row>
    <row r="9" spans="2:6" x14ac:dyDescent="0.4">
      <c r="B9" t="s">
        <v>81</v>
      </c>
      <c r="C9" t="s">
        <v>79</v>
      </c>
      <c r="E9" t="str">
        <v>excel_value.excel_string_empty_to</v>
      </c>
      <c r="F9" t="str">
        <v>Null</v>
      </c>
    </row>
    <row r="10" spans="2:6" x14ac:dyDescent="0.4">
      <c r="B10" t="s">
        <v>82</v>
      </c>
      <c r="C10" t="s">
        <v>87</v>
      </c>
      <c r="E10" t="str">
        <v>excel_value.null_to_excel</v>
      </c>
      <c r="F10" t="str">
        <v>StringEmpty</v>
      </c>
    </row>
    <row r="11" spans="2:6" x14ac:dyDescent="0.4">
      <c r="B11" t="s">
        <v>83</v>
      </c>
      <c r="C11" t="s">
        <v>87</v>
      </c>
      <c r="E11" t="str">
        <v>excel_value.string_empty_to_excel</v>
      </c>
      <c r="F11" t="str">
        <v>StringEmpty</v>
      </c>
    </row>
    <row r="12" spans="2:6" x14ac:dyDescent="0.4">
      <c r="B12" t="s">
        <v>88</v>
      </c>
      <c r="C12" t="s">
        <v>89</v>
      </c>
      <c r="E12" t="str">
        <v>json.double_to_date_text.[0].date_format</v>
      </c>
      <c r="F12" t="str">
        <v>yyyy-MM-dd</v>
      </c>
    </row>
    <row r="13" spans="2:6" x14ac:dyDescent="0.4">
      <c r="B13" t="s">
        <v>90</v>
      </c>
      <c r="C13" t="s">
        <v>1</v>
      </c>
      <c r="E13" t="str">
        <v>json.double_to_date_text.[0].keys.[0]</v>
      </c>
      <c r="F13" t="str">
        <v>payment _date</v>
      </c>
    </row>
    <row r="14" spans="2:6" x14ac:dyDescent="0.4">
      <c r="B14" t="s">
        <v>91</v>
      </c>
      <c r="C14" t="s">
        <v>3</v>
      </c>
      <c r="E14" t="str">
        <v>json.double_to_date_text.[0].keys.[1]</v>
      </c>
      <c r="F14" t="str">
        <v>start_date</v>
      </c>
    </row>
    <row r="15" spans="2:6" x14ac:dyDescent="0.4">
      <c r="B15" t="s">
        <v>92</v>
      </c>
      <c r="C15" t="s">
        <v>5</v>
      </c>
      <c r="E15" t="str">
        <v>json.double_to_date_text.[0].keys.[2]</v>
      </c>
      <c r="F15" t="str">
        <v>end_date</v>
      </c>
    </row>
  </sheetData>
  <phoneticPr fontId="1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3ACF1-D52B-4405-9E6D-D2579DCD0199}">
  <dimension ref="B2:J8"/>
  <sheetViews>
    <sheetView workbookViewId="0"/>
  </sheetViews>
  <sheetFormatPr defaultRowHeight="18.75" x14ac:dyDescent="0.4"/>
  <cols>
    <col min="1" max="1" width="2.25" customWidth="1"/>
    <col min="3" max="3" width="2.25" customWidth="1"/>
    <col min="4" max="4" width="28.875" customWidth="1"/>
    <col min="7" max="7" width="44.75" bestFit="1" customWidth="1"/>
    <col min="8" max="8" width="44.75" customWidth="1"/>
    <col min="9" max="10" width="39.125" bestFit="1" customWidth="1"/>
  </cols>
  <sheetData>
    <row r="2" spans="2:10" s="4" customFormat="1" ht="18" x14ac:dyDescent="0.4">
      <c r="B2" s="4" t="s">
        <v>100</v>
      </c>
    </row>
    <row r="3" spans="2:10" x14ac:dyDescent="0.4">
      <c r="D3" t="s">
        <v>148</v>
      </c>
      <c r="E3" t="s">
        <v>147</v>
      </c>
      <c r="F3" t="s">
        <v>101</v>
      </c>
      <c r="G3" t="s">
        <v>149</v>
      </c>
      <c r="H3" t="s">
        <v>156</v>
      </c>
      <c r="I3" t="s">
        <v>150</v>
      </c>
      <c r="J3" t="s">
        <v>151</v>
      </c>
    </row>
    <row r="4" spans="2:10" x14ac:dyDescent="0.4">
      <c r="D4" t="str" cm="1">
        <f t="array" ref="D4">_xll.ExLibris.WebSockets.OpenWebSocketAsync("ws://localhost:10101",,E4)</f>
        <v>ExLibris.Core.WebSockets.WebsocketClient:90EBDD3C-D0B6-4084-A718-5B6A8EDC9884</v>
      </c>
      <c r="E4" t="s">
        <v>102</v>
      </c>
      <c r="F4" t="str" cm="1">
        <f t="array" ref="F4">_xll.ExLibris.WebSockets.ObserveWebSocketStatus(D4,1000)</f>
        <v>Open</v>
      </c>
      <c r="G4" t="str" cm="1">
        <f t="array" ref="G4">_xll.ExLibris.WebSockets.ObserveWebSocketMessage(D4)</f>
        <v>message_2021-09-28T01:53:26.3972983+09:00</v>
      </c>
      <c r="H4" t="str" cm="1">
        <f t="array" ref="H4">_xll.ExLibris.Json.ShowJsonText(_xll.ExLibris.Json.CreateJsonArray($E$3:G4))</f>
        <v>[{"id":"client0","status":"Open","receive":"message_2021-09-28T01:53:26.3972983+09:00"}]</v>
      </c>
      <c r="I4" t="str" cm="1">
        <f t="array" ref="I4">_xll.ExLibris.WebSockets.SendWebSocketMessage(D4,H4,F4="Open")</f>
        <v>message sent : 2021-09-28T01:53:26.989</v>
      </c>
      <c r="J4" t="str" cm="1">
        <f t="array" ref="J4">_xll.ExLibris.WebSockets.SendWebSocketMessage($D$4,"1# "&amp;H4,I4)</f>
        <v>message sent : 2021-09-28T01:53:26.989</v>
      </c>
    </row>
    <row r="5" spans="2:10" x14ac:dyDescent="0.4">
      <c r="D5" t="str" cm="1">
        <f t="array" ref="D5">_xll.ExLibris.WebSockets.OpenWebSocketAsync("ws://localhost:10101",,E5)</f>
        <v>ExLibris.Core.WebSockets.WebsocketClient:AE641FB2-2B24-40B7-AEAD-C147E239E5D1</v>
      </c>
      <c r="E5" t="s">
        <v>152</v>
      </c>
      <c r="F5" t="str" cm="1">
        <f t="array" ref="F5">_xll.ExLibris.WebSockets.ObserveWebSocketStatus(D5,1000)</f>
        <v>Open</v>
      </c>
      <c r="G5" t="str" cm="1">
        <f t="array" ref="G5">_xll.ExLibris.WebSockets.ObserveWebSocketMessage(D5)</f>
        <v>message_2021-09-28T01:53:26.3972983+09:00</v>
      </c>
      <c r="H5" t="str" cm="1">
        <f t="array" ref="H5">_xll.ExLibris.Json.ShowJsonText(_xll.ExLibris.Json.CreateJsonArray($E$3:G5))</f>
        <v>[{"id":"client0","status":"Open","receive":"message_2021-09-28T01:53:26.3972983+09:00"},{"id":"client1","status":"Open","receive":"message_2021-09-28T01:53:26.3972983+09:00"}]</v>
      </c>
      <c r="I5" t="str" cm="1">
        <f t="array" ref="I5">_xll.ExLibris.WebSockets.SendWebSocketMessage(D5,H5,F5="Open")</f>
        <v>message sent : 2021-09-28T01:53:26.988</v>
      </c>
      <c r="J5" t="str" cm="1">
        <f t="array" ref="J5">_xll.ExLibris.WebSockets.SendWebSocketMessage($D$4,"1# "&amp;H5,I5)</f>
        <v>message sent : 2021-09-28T01:53:26.989</v>
      </c>
    </row>
    <row r="6" spans="2:10" x14ac:dyDescent="0.4">
      <c r="D6" t="str" cm="1">
        <f t="array" ref="D6">_xll.ExLibris.WebSockets.OpenWebSocketAsync("ws://localhost:10101",,E6)</f>
        <v>ExLibris.Core.WebSockets.WebsocketClient:2E5228E2-F65F-4B61-B279-6402112B3226</v>
      </c>
      <c r="E6" t="s">
        <v>153</v>
      </c>
      <c r="F6" t="str" cm="1">
        <f t="array" ref="F6">_xll.ExLibris.WebSockets.ObserveWebSocketStatus(D6,1000)</f>
        <v>Open</v>
      </c>
      <c r="G6" t="str" cm="1">
        <f t="array" ref="G6">_xll.ExLibris.WebSockets.ObserveWebSocketMessage(D6)</f>
        <v>message_2021-09-28T01:53:26.3972983+09:00</v>
      </c>
      <c r="H6" t="str" cm="1">
        <f t="array" ref="H6">_xll.ExLibris.Json.ShowJsonText(_xll.ExLibris.Json.CreateJsonArray($E$3:G6))</f>
        <v>[{"id":"client0","status":"Open","receive":"message_2021-09-28T01:53:26.3972983+09:00"},{"id":"client1","status":"Open","receive":"message_2021-09-28T01:53:26.3972983+09:00"},{"id":"client2","status":"Open","receive":"message_2021-09-28T01:53:26.3972983+09:00"}]</v>
      </c>
      <c r="I6" t="str" cm="1">
        <f t="array" ref="I6">_xll.ExLibris.WebSockets.SendWebSocketMessage(D6,H6,F6="Open")</f>
        <v>message sent : 2021-09-28T01:53:26.988</v>
      </c>
      <c r="J6" t="str" cm="1">
        <f t="array" ref="J6">_xll.ExLibris.WebSockets.SendWebSocketMessage($D$4,"1# "&amp;H6,I6)</f>
        <v>message sent : 2021-09-28T01:53:26.989</v>
      </c>
    </row>
    <row r="7" spans="2:10" x14ac:dyDescent="0.4">
      <c r="D7" t="str" cm="1">
        <f t="array" ref="D7">_xll.ExLibris.WebSockets.OpenWebSocketAsync("ws://localhost:10101",,E7)</f>
        <v>ExLibris.Core.WebSockets.WebsocketClient:EE90FF4E-B461-4F61-BC46-3DD373C9A0AD</v>
      </c>
      <c r="E7" t="s">
        <v>154</v>
      </c>
      <c r="F7" t="str" cm="1">
        <f t="array" ref="F7">_xll.ExLibris.WebSockets.ObserveWebSocketStatus(D7,1000)</f>
        <v>Open</v>
      </c>
      <c r="G7" t="str" cm="1">
        <f t="array" ref="G7">_xll.ExLibris.WebSockets.ObserveWebSocketMessage(D7)</f>
        <v>message_2021-09-28T01:53:26.3972983+09:00</v>
      </c>
      <c r="H7" t="str" cm="1">
        <f t="array" ref="H7">_xll.ExLibris.Json.ShowJsonText(_xll.ExLibris.Json.CreateJsonArray($E$3:G7))</f>
        <v>[{"id":"client0","status":"Open","receive":"message_2021-09-28T01:53:26.3972983+09:00"},{"id":"client1","status":"Open","receive":"message_2021-09-28T01:53:26.3972983+09:00"},{"id":"client2","status":"Open","receive":"message_2021-09-28T01:53:26.3972983+09:00"},{"id":"client3","status":"Open","receive":"message_2021-09-28T01:53:26.3972983+09:00"}]</v>
      </c>
      <c r="I7" t="str" cm="1">
        <f t="array" ref="I7">_xll.ExLibris.WebSockets.SendWebSocketMessage(D7,H7,F7="Open")</f>
        <v>message sent : 2021-09-28T01:53:26.989</v>
      </c>
      <c r="J7" t="str" cm="1">
        <f t="array" ref="J7">_xll.ExLibris.WebSockets.SendWebSocketMessage($D$4,"1# "&amp;H7,I7)</f>
        <v>message sent : 2021-09-28T01:53:26.989</v>
      </c>
    </row>
    <row r="8" spans="2:10" x14ac:dyDescent="0.4">
      <c r="D8" t="str" cm="1">
        <f t="array" ref="D8">_xll.ExLibris.WebSockets.OpenWebSocketAsync("ws://localhost:10101",,E8)</f>
        <v>ExLibris.Core.WebSockets.WebsocketClient:3056E8D0-BCAD-4C53-B51C-0EE209E5CCDD</v>
      </c>
      <c r="E8" t="s">
        <v>155</v>
      </c>
      <c r="F8" t="str" cm="1">
        <f t="array" ref="F8">_xll.ExLibris.WebSockets.ObserveWebSocketStatus(D8,1000)</f>
        <v>Open</v>
      </c>
      <c r="G8" t="str" cm="1">
        <f t="array" ref="G8">_xll.ExLibris.WebSockets.ObserveWebSocketMessage(D8)</f>
        <v>message_2021-09-28T01:53:26.3972983+09:00</v>
      </c>
      <c r="H8" t="str" cm="1">
        <f t="array" ref="H8">_xll.ExLibris.Json.ShowJsonText(_xll.ExLibris.Json.CreateJsonArray($E$3:G8))</f>
        <v>[{"id":"client0","status":"Open","receive":"message_2021-09-28T01:53:26.3972983+09:00"},{"id":"client1","status":"Open","receive":"message_2021-09-28T01:53:26.3972983+09:00"},{"id":"client2","status":"Open","receive":"message_2021-09-28T01:53:26.3972983+09:00"},{"id":"client3","status":"Open","receive":"message_2021-09-28T01:53:26.3972983+09:00"},{"id":"client4","status":"Open","receive":"message_2021-09-28T01:53:26.3972983+09:00"}]</v>
      </c>
      <c r="I8" t="str" cm="1">
        <f t="array" ref="I8">_xll.ExLibris.WebSockets.SendWebSocketMessage(D8,H8,F8="Open")</f>
        <v>message sent : 2021-09-28T01:53:26.988</v>
      </c>
      <c r="J8" t="str" cm="1">
        <f t="array" ref="J8">_xll.ExLibris.WebSockets.SendWebSocketMessage($D$4,"1# "&amp;H8,I8)</f>
        <v>message sent : 2021-09-28T01:53:26.989</v>
      </c>
    </row>
  </sheetData>
  <phoneticPr fontId="1"/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52036-D85E-4010-85A4-72DC442287D3}">
  <dimension ref="B2:I51"/>
  <sheetViews>
    <sheetView workbookViewId="0"/>
  </sheetViews>
  <sheetFormatPr defaultRowHeight="18.75" x14ac:dyDescent="0.4"/>
  <cols>
    <col min="2" max="2" width="26.5" customWidth="1"/>
    <col min="4" max="4" width="9.375" bestFit="1" customWidth="1"/>
    <col min="8" max="8" width="16.75" customWidth="1"/>
    <col min="9" max="9" width="10.25" bestFit="1" customWidth="1"/>
  </cols>
  <sheetData>
    <row r="2" spans="2:9" x14ac:dyDescent="0.4">
      <c r="B2" t="s">
        <v>111</v>
      </c>
      <c r="C2" s="7" t="s">
        <v>117</v>
      </c>
      <c r="E2" t="s">
        <v>119</v>
      </c>
    </row>
    <row r="3" spans="2:9" x14ac:dyDescent="0.4">
      <c r="C3" t="s">
        <v>116</v>
      </c>
    </row>
    <row r="5" spans="2:9" x14ac:dyDescent="0.4">
      <c r="B5" t="str" cm="1">
        <f t="array" ref="B5">_xll.ExLibris.WebAPIs.CreateHeadersAsync(B6:C10)</f>
        <v>ExLibris.Core.WebAPIs.WebAPIHeaders:98B9B3EB-7542-4591-8B76-376E643606EC</v>
      </c>
      <c r="H5" t="str" cm="1">
        <f t="array" ref="H5">_xll.ExLibris.Json.CreateJsonObjectAsync(H6:I11)</f>
        <v>JsonObject:3CCCCC1D-5BD4-4D5B-B71B-605DACEBEEC9</v>
      </c>
    </row>
    <row r="6" spans="2:9" x14ac:dyDescent="0.4">
      <c r="B6" t="s">
        <v>120</v>
      </c>
      <c r="C6" t="s">
        <v>121</v>
      </c>
      <c r="H6" t="s">
        <v>140</v>
      </c>
      <c r="I6" t="s">
        <v>142</v>
      </c>
    </row>
    <row r="7" spans="2:9" x14ac:dyDescent="0.4">
      <c r="B7" t="s">
        <v>122</v>
      </c>
      <c r="C7" t="s">
        <v>128</v>
      </c>
      <c r="H7" t="s">
        <v>141</v>
      </c>
      <c r="I7" t="s">
        <v>143</v>
      </c>
    </row>
    <row r="8" spans="2:9" x14ac:dyDescent="0.4">
      <c r="B8" t="s">
        <v>123</v>
      </c>
      <c r="C8" t="s">
        <v>129</v>
      </c>
      <c r="H8" t="s">
        <v>131</v>
      </c>
      <c r="I8">
        <v>108.5</v>
      </c>
    </row>
    <row r="9" spans="2:9" x14ac:dyDescent="0.4">
      <c r="B9" t="s">
        <v>124</v>
      </c>
      <c r="C9" t="s">
        <v>125</v>
      </c>
      <c r="H9" t="s">
        <v>132</v>
      </c>
      <c r="I9" t="s">
        <v>133</v>
      </c>
    </row>
    <row r="10" spans="2:9" x14ac:dyDescent="0.4">
      <c r="B10" t="s">
        <v>126</v>
      </c>
      <c r="C10" t="s">
        <v>127</v>
      </c>
      <c r="H10" t="s">
        <v>134</v>
      </c>
      <c r="I10" t="s">
        <v>135</v>
      </c>
    </row>
    <row r="11" spans="2:9" x14ac:dyDescent="0.4">
      <c r="H11" t="s">
        <v>136</v>
      </c>
      <c r="I11" s="1">
        <v>44463</v>
      </c>
    </row>
    <row r="12" spans="2:9" x14ac:dyDescent="0.4">
      <c r="I12" s="1"/>
    </row>
    <row r="13" spans="2:9" x14ac:dyDescent="0.4">
      <c r="B13" t="s">
        <v>115</v>
      </c>
      <c r="C13" t="s">
        <v>114</v>
      </c>
      <c r="D13" t="str">
        <f>$C$2&amp;"get"</f>
        <v>http://localhost:80/get</v>
      </c>
    </row>
    <row r="14" spans="2:9" x14ac:dyDescent="0.4">
      <c r="C14" t="s">
        <v>112</v>
      </c>
      <c r="D14" t="str" cm="1">
        <f t="array" ref="D14">_xll.ExLibris.WebAPIs.GET(D13)</f>
        <v>ExLibris.Core.WebAPIs.Response:B8A0D459-1477-41B9-9CB6-CEF478875566</v>
      </c>
    </row>
    <row r="15" spans="2:9" x14ac:dyDescent="0.4">
      <c r="C15" t="s">
        <v>101</v>
      </c>
      <c r="D15" cm="1">
        <f t="array" ref="D15">_xll.ExLibris.WebAPIs.WebAPIResponseStatus(D14,TRUE)</f>
        <v>200</v>
      </c>
    </row>
    <row r="16" spans="2:9" x14ac:dyDescent="0.4">
      <c r="C16" t="s">
        <v>113</v>
      </c>
      <c r="D16" t="str" cm="1">
        <f t="array" ref="D16">_xll.ExLibris.WebAPIs.WebAPIResponseContent(D14)</f>
        <v xml:space="preserve">{
  "args": {}, 
  "headers": {
    "Connection": "Keep-Alive", 
    "Host": "localhost"
  }, 
  "origin": "172.17.0.1", 
  "url": "http://localhost/get"
}
</v>
      </c>
    </row>
    <row r="18" spans="2:4" x14ac:dyDescent="0.4">
      <c r="B18" t="s">
        <v>118</v>
      </c>
      <c r="C18" t="s">
        <v>114</v>
      </c>
      <c r="D18" t="str">
        <f>$C$2&amp;"post"</f>
        <v>http://localhost:80/post</v>
      </c>
    </row>
    <row r="19" spans="2:4" x14ac:dyDescent="0.4">
      <c r="C19" t="s">
        <v>112</v>
      </c>
      <c r="D19" t="str" cm="1">
        <f t="array" ref="D19">_xll.ExLibris.WebAPIs.POST(D18)</f>
        <v>ExLibris.Core.WebAPIs.Response:0A6452AD-6DC8-4E12-BA67-02BFF8FF8415</v>
      </c>
    </row>
    <row r="20" spans="2:4" x14ac:dyDescent="0.4">
      <c r="C20" t="s">
        <v>101</v>
      </c>
      <c r="D20" cm="1">
        <f t="array" ref="D20">_xll.ExLibris.WebAPIs.WebAPIResponseStatus(D19,TRUE)</f>
        <v>200</v>
      </c>
    </row>
    <row r="21" spans="2:4" x14ac:dyDescent="0.4">
      <c r="C21" t="s">
        <v>113</v>
      </c>
      <c r="D21" t="str" cm="1">
        <f t="array" ref="D21">_xll.ExLibris.WebAPIs.WebAPIResponseContent(D19)</f>
        <v xml:space="preserve">{
  "args": {}, 
  "data": "", 
  "files": {}, 
  "form": {}, 
  "headers": {
    "Connection": "Keep-Alive", 
    "Content-Length": "0", 
    "Host": "localhost"
  }, 
  "json": null, 
  "origin": "172.17.0.1", 
  "url": "http://localhost/post"
}
</v>
      </c>
    </row>
    <row r="23" spans="2:4" x14ac:dyDescent="0.4">
      <c r="B23" t="s">
        <v>130</v>
      </c>
      <c r="C23" t="s">
        <v>114</v>
      </c>
      <c r="D23" t="str">
        <f>$C$2&amp;"bearer"</f>
        <v>http://localhost:80/bearer</v>
      </c>
    </row>
    <row r="24" spans="2:4" x14ac:dyDescent="0.4">
      <c r="C24" t="s">
        <v>112</v>
      </c>
      <c r="D24" t="str" cm="1">
        <f t="array" ref="D24">_xll.ExLibris.WebAPIs.GET(D23,$B$5)</f>
        <v>ExLibris.Core.WebAPIs.Response:581A0CEC-6E97-4C01-9B69-A8D3F3C01B70</v>
      </c>
    </row>
    <row r="25" spans="2:4" x14ac:dyDescent="0.4">
      <c r="C25" t="s">
        <v>101</v>
      </c>
      <c r="D25" cm="1">
        <f t="array" ref="D25">_xll.ExLibris.WebAPIs.WebAPIResponseStatus(D24,TRUE)</f>
        <v>200</v>
      </c>
    </row>
    <row r="26" spans="2:4" x14ac:dyDescent="0.4">
      <c r="C26" t="s">
        <v>113</v>
      </c>
      <c r="D26" t="str" cm="1">
        <f t="array" ref="D26">_xll.ExLibris.WebAPIs.WebAPIResponseContent(D24)</f>
        <v xml:space="preserve">{
  "authenticated": true, 
  "token": "XXX11111222223333444444"
}
</v>
      </c>
    </row>
    <row r="28" spans="2:4" x14ac:dyDescent="0.4">
      <c r="B28" t="s">
        <v>137</v>
      </c>
      <c r="C28" t="s">
        <v>114</v>
      </c>
      <c r="D28" t="str">
        <f>$C$2&amp;"post"</f>
        <v>http://localhost:80/post</v>
      </c>
    </row>
    <row r="29" spans="2:4" x14ac:dyDescent="0.4">
      <c r="C29" t="s">
        <v>112</v>
      </c>
      <c r="D29" t="str" cm="1">
        <f t="array" ref="D29">_xll.ExLibris.WebAPIs.POST(D28,_xll.ExLibris.Json.ShowJsonText(H5),,$B$5)</f>
        <v>ExLibris.Core.WebAPIs.Response:221E2F60-90EF-4C18-8964-37C6F542A195</v>
      </c>
    </row>
    <row r="30" spans="2:4" x14ac:dyDescent="0.4">
      <c r="C30" t="s">
        <v>101</v>
      </c>
      <c r="D30" cm="1">
        <f t="array" ref="D30">_xll.ExLibris.WebAPIs.WebAPIResponseStatus(D29,TRUE)</f>
        <v>200</v>
      </c>
    </row>
    <row r="31" spans="2:4" x14ac:dyDescent="0.4">
      <c r="C31" t="s">
        <v>113</v>
      </c>
      <c r="D31" t="str" cm="1">
        <f t="array" ref="D31">_xll.ExLibris.WebAPIs.WebAPIResponseContent(D29)</f>
        <v xml:space="preserve">{
  "args": {}, 
  "data": "{\"currency_pair\":{\"left\":\"USD\",\"right\":\"JPY\"},\"strike\":108.5,\"call_or_put\":\"CALL\",\"buy_or_sell\":\"SELL\",\"date\":44463}", 
  "files": {}, 
  "form": {}, 
  "headers": {
    "Authorization": "Bearer XXX11111222223333444444", 
    "Cname0": "value0", 
    "Content-Length": "116", 
    "Content-Type": "text/plain; charset=utf-8", 
    "Expect": "100-continue", 
    "Host": "localhost", 
    "User-Agent": "user"
  }, 
  "json": {
    "buy_or_sell": "SELL", 
    "call_or_put": "CALL", 
    "currency_pair": {
      "left": "USD", 
      "right": "JPY"
    }, 
    "date": 44463, 
    "strike": 108.5
  }, 
  "origin": "172.17.0.1", 
  "url": "http://localhost/post"
}
</v>
      </c>
    </row>
    <row r="33" spans="2:4" x14ac:dyDescent="0.4">
      <c r="B33" t="s">
        <v>138</v>
      </c>
      <c r="C33" t="s">
        <v>114</v>
      </c>
      <c r="D33" t="str">
        <f>$C$2&amp;"post"</f>
        <v>http://localhost:80/post</v>
      </c>
    </row>
    <row r="34" spans="2:4" x14ac:dyDescent="0.4">
      <c r="C34" t="s">
        <v>112</v>
      </c>
      <c r="D34" t="str" cm="1">
        <f t="array" ref="D34">_xll.ExLibris.WebAPIs.POST(D33,H5,TRUE,$B$5)</f>
        <v>ExLibris.Core.WebAPIs.Response:0A2CC735-4341-451F-84D7-2F7B94C5B7E8</v>
      </c>
    </row>
    <row r="35" spans="2:4" x14ac:dyDescent="0.4">
      <c r="C35" t="s">
        <v>101</v>
      </c>
      <c r="D35" cm="1">
        <f t="array" ref="D35">_xll.ExLibris.WebAPIs.WebAPIResponseStatus(D34,TRUE)</f>
        <v>200</v>
      </c>
    </row>
    <row r="36" spans="2:4" x14ac:dyDescent="0.4">
      <c r="C36" t="s">
        <v>113</v>
      </c>
      <c r="D36" t="str" cm="1">
        <f t="array" ref="D36">_xll.ExLibris.WebAPIs.WebAPIResponseContent(D34)</f>
        <v xml:space="preserve">{
  "args": {}, 
  "data": "", 
  "files": {}, 
  "form": {
    "buy_or_sell": "SELL", 
    "call_or_put": "CALL", 
    "currency_pair.left": "USD", 
    "currency_pair.right": "JPY", 
    "date": "44463", 
    "strike": "108.5"
  }, 
  "headers": {
    "Authorization": "Bearer XXX11111222223333444444", 
    "Cname0": "value0", 
    "Content-Length": "104", 
    "Content-Type": "application/x-www-form-urlencoded", 
    "Expect": "100-continue", 
    "Host": "localhost", 
    "User-Agent": "user"
  }, 
  "json": null, 
  "origin": "172.17.0.1", 
  "url": "http://localhost/post"
}
</v>
      </c>
    </row>
    <row r="38" spans="2:4" x14ac:dyDescent="0.4">
      <c r="B38" t="s">
        <v>139</v>
      </c>
      <c r="C38" t="s">
        <v>114</v>
      </c>
      <c r="D38" t="str" cm="1">
        <f t="array" ref="D38">_xll.ExLibris.WebAPIs.BuildUri($C$2&amp;"post",H6:I11)</f>
        <v>http://localhost:80/post?currency_pair.left=USD&amp;currency_pair.right=JPY&amp;strike=108.5&amp;call_or_put=CALL&amp;buy_or_sell=SELL&amp;date=44463</v>
      </c>
    </row>
    <row r="39" spans="2:4" x14ac:dyDescent="0.4">
      <c r="C39" t="s">
        <v>112</v>
      </c>
      <c r="D39" t="str" cm="1">
        <f t="array" ref="D39">_xll.ExLibris.WebAPIs.POST(D38,H6:I11,TRUE,$B$5)</f>
        <v>ExLibris.Core.WebAPIs.Response:4D10D299-EC8A-4BED-B1C2-8B6CF50DDD17</v>
      </c>
    </row>
    <row r="40" spans="2:4" x14ac:dyDescent="0.4">
      <c r="C40" t="s">
        <v>101</v>
      </c>
      <c r="D40" cm="1">
        <f t="array" ref="D40">_xll.ExLibris.WebAPIs.WebAPIResponseStatus(D39,TRUE)</f>
        <v>200</v>
      </c>
    </row>
    <row r="41" spans="2:4" x14ac:dyDescent="0.4">
      <c r="C41" t="s">
        <v>113</v>
      </c>
      <c r="D41" t="str" cm="1">
        <f t="array" ref="D41">_xll.ExLibris.WebAPIs.WebAPIResponseContent(D39)</f>
        <v xml:space="preserve">{
  "args": {
    "buy_or_sell": "SELL", 
    "call_or_put": "CALL", 
    "currency_pair.left": "USD", 
    "currency_pair.right": "JPY", 
    "date": "44463", 
    "strike": "108.5"
  }, 
  "data": "", 
  "files": {}, 
  "form": {
    "buy_or_sell": "SELL", 
    "call_or_put": "CALL", 
    "currency_pair.left": "USD", 
    "currency_pair.right": "JPY", 
    "date": "44463", 
    "strike": "108.5"
  }, 
  "headers": {
    "Authorization": "Bearer XXX11111222223333444444", 
    "Cname0": "value0", 
    "Content-Length": "104", 
    "Content-Type": "application/x-www-form-urlencoded", 
    "Expect": "100-continue", 
    "Host": "localhost", 
    "User-Agent": "user"
  }, 
  "json": null, 
  "origin": "172.17.0.1", 
  "url": "http://localhost/post?currency_pair.left=USD&amp;currency_pair.right=JPY&amp;strike=108.5&amp;call_or_put=CALL&amp;buy_or_sell=SELL&amp;date=44463"
}
</v>
      </c>
    </row>
    <row r="43" spans="2:4" x14ac:dyDescent="0.4">
      <c r="B43" t="s">
        <v>144</v>
      </c>
      <c r="C43" t="s">
        <v>114</v>
      </c>
      <c r="D43" t="str" cm="1">
        <f t="array" ref="D43">_xll.ExLibris.WebAPIs.BuildUri($C$2&amp;"get",H6:I11)</f>
        <v>http://localhost:80/get?currency_pair.left=USD&amp;currency_pair.right=JPY&amp;strike=108.5&amp;call_or_put=CALL&amp;buy_or_sell=SELL&amp;date=44463</v>
      </c>
    </row>
    <row r="44" spans="2:4" x14ac:dyDescent="0.4">
      <c r="C44" t="s">
        <v>112</v>
      </c>
      <c r="D44" t="str" cm="1">
        <f t="array" ref="D44">_xll.ExLibris.WebAPIs.GET(D43)</f>
        <v>ExLibris.Core.WebAPIs.Response:4A77F4DC-8076-49AB-955A-306EC1762972</v>
      </c>
    </row>
    <row r="45" spans="2:4" x14ac:dyDescent="0.4">
      <c r="C45" t="s">
        <v>101</v>
      </c>
      <c r="D45" cm="1">
        <f t="array" ref="D45">_xll.ExLibris.WebAPIs.WebAPIResponseStatus(D44,TRUE)</f>
        <v>200</v>
      </c>
    </row>
    <row r="46" spans="2:4" x14ac:dyDescent="0.4">
      <c r="C46" t="s">
        <v>113</v>
      </c>
      <c r="D46" t="str" cm="1">
        <f t="array" ref="D46">_xll.ExLibris.WebAPIs.WebAPIResponseContent(D44)</f>
        <v xml:space="preserve">{
  "args": {
    "buy_or_sell": "SELL", 
    "call_or_put": "CALL", 
    "currency_pair.left": "USD", 
    "currency_pair.right": "JPY", 
    "date": "44463", 
    "strike": "108.5"
  }, 
  "headers": {
    "Connection": "Keep-Alive", 
    "Host": "localhost"
  }, 
  "origin": "172.17.0.1", 
  "url": "http://localhost/get?currency_pair.left=USD&amp;currency_pair.right=JPY&amp;strike=108.5&amp;call_or_put=CALL&amp;buy_or_sell=SELL&amp;date=44463"
}
</v>
      </c>
    </row>
    <row r="48" spans="2:4" x14ac:dyDescent="0.4">
      <c r="B48" t="s">
        <v>146</v>
      </c>
      <c r="C48" t="s">
        <v>114</v>
      </c>
      <c r="D48" t="str">
        <f>$C$2&amp;"delay/10"</f>
        <v>http://localhost:80/delay/10</v>
      </c>
    </row>
    <row r="49" spans="3:4" x14ac:dyDescent="0.4">
      <c r="C49" t="s">
        <v>112</v>
      </c>
      <c r="D49" t="str" cm="1">
        <f t="array" ref="D49">_xll.ExLibris.WebAPIs.GET(D48)</f>
        <v>ExLibris.Core.WebAPIs.Response:355ED9CF-F5AD-4388-99D2-E464FA0382D8</v>
      </c>
    </row>
    <row r="50" spans="3:4" x14ac:dyDescent="0.4">
      <c r="C50" t="s">
        <v>101</v>
      </c>
      <c r="D50" cm="1">
        <f t="array" ref="D50">_xll.ExLibris.WebAPIs.WebAPIResponseStatus(D49,TRUE)</f>
        <v>200</v>
      </c>
    </row>
    <row r="51" spans="3:4" x14ac:dyDescent="0.4">
      <c r="C51" t="s">
        <v>113</v>
      </c>
      <c r="D51" t="str" cm="1">
        <f t="array" ref="D51">_xll.ExLibris.WebAPIs.WebAPIResponseContent(D49)</f>
        <v xml:space="preserve">{
  "args": {}, 
  "data": "", 
  "files": {}, 
  "form": {}, 
  "headers": {
    "Connection": "Keep-Alive", 
    "Host": "localhost"
  }, 
  "origin": "172.17.0.1", 
  "url": "http://localhost/delay/10"
}
</v>
      </c>
    </row>
  </sheetData>
  <phoneticPr fontId="1"/>
  <hyperlinks>
    <hyperlink ref="C2" r:id="rId1" xr:uid="{1F584646-A45A-426F-9C4B-AC5B12FEC0AF}"/>
  </hyperlinks>
  <pageMargins left="0.7" right="0.7" top="0.75" bottom="0.75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B27FE-ED52-468A-9A6B-F83674C52684}">
  <dimension ref="B2:D42"/>
  <sheetViews>
    <sheetView workbookViewId="0"/>
  </sheetViews>
  <sheetFormatPr defaultRowHeight="18.75" x14ac:dyDescent="0.4"/>
  <cols>
    <col min="2" max="2" width="20.625" customWidth="1"/>
    <col min="3" max="3" width="18.25" customWidth="1"/>
  </cols>
  <sheetData>
    <row r="2" spans="2:4" x14ac:dyDescent="0.4">
      <c r="B2" t="str" cm="1">
        <f t="array" ref="B2">_xll.ExLibris.WebAPIs.CreateHeadersAsync(B3:C3)</f>
        <v>ExLibris.Core.WebAPIs.WebAPIHeaders:4B63AEE3-B09E-4B78-83BF-5A4EF543B915</v>
      </c>
    </row>
    <row r="3" spans="2:4" x14ac:dyDescent="0.4">
      <c r="B3" t="s">
        <v>120</v>
      </c>
      <c r="C3" t="s">
        <v>145</v>
      </c>
    </row>
    <row r="5" spans="2:4" x14ac:dyDescent="0.4">
      <c r="B5" t="s">
        <v>114</v>
      </c>
      <c r="C5" t="str">
        <f>"https://api.github.com/users/"&amp;C3</f>
        <v>https://api.github.com/users/defunkt</v>
      </c>
    </row>
    <row r="6" spans="2:4" x14ac:dyDescent="0.4">
      <c r="B6" t="s">
        <v>112</v>
      </c>
      <c r="C6" t="str" cm="1">
        <f t="array" ref="C6">_xll.ExLibris.WebAPIs.GET(C5,B2)</f>
        <v>ExLibris.Core.WebAPIs.Response:FD56DEB9-E747-4220-9310-B441B9A875D9</v>
      </c>
    </row>
    <row r="7" spans="2:4" x14ac:dyDescent="0.4">
      <c r="B7" t="s">
        <v>101</v>
      </c>
      <c r="C7" t="str" cm="1">
        <f t="array" ref="C7">_xll.ExLibris.WebAPIs.WebAPIResponseStatus(C6)</f>
        <v>OK(200)</v>
      </c>
    </row>
    <row r="8" spans="2:4" x14ac:dyDescent="0.4">
      <c r="B8" t="s">
        <v>113</v>
      </c>
      <c r="C8" t="str" cm="1">
        <f t="array" ref="C8">_xll.ExLibris.WebAPIs.WebAPIResponseContent(C6)</f>
        <v>{"login":"defunkt","id":2,"node_id":"MDQ6VXNlcjI=","avatar_url":"https://avatars.githubusercontent.com/u/2?v=4","gravatar_id":"","url":"https://api.github.com/users/defunkt","html_url":"https://github.com/defunkt","followers_url":"https://api.github.com/users/defunkt/followers","following_url":"https://api.github.com/users/defunkt/following{/other_user}","gists_url":"https://api.github.com/users/defunkt/gists{/gist_id}","starred_url":"https://api.github.com/users/defunkt/starred{/owner}{/repo}","subscriptions_url":"https://api.github.com/users/defunkt/subscriptions","organizations_url":"https://api.github.com/users/defunkt/orgs","repos_url":"https://api.github.com/users/defunkt/repos","events_url":"https://api.github.com/users/defunkt/events{/privacy}","received_events_url":"https://api.github.com/users/defunkt/received_events","type":"User","site_admin":false,"name":"Chris Wanstrath","company":null,"blog":"http://chriswanstrath.com/","location":null,"email":null,"hireable":null,"bio":"🍔","twitter_username":null,"public_repos":107,"public_gists":273,"followers":21287,"following":210,"created_at":"2007-10-20T05:24:19Z","updated_at":"2021-07-29T11:10:23Z"}</v>
      </c>
    </row>
    <row r="10" spans="2:4" x14ac:dyDescent="0.4">
      <c r="C10" t="str" cm="1">
        <f t="array" ref="C10">_xll.ExLibris.Json.CreateJsonObjectAsync(C8)</f>
        <v>JsonObject:7909B0A9-D030-430B-9203-977E3F738F24</v>
      </c>
    </row>
    <row r="11" spans="2:4" x14ac:dyDescent="0.4">
      <c r="C11" t="str" cm="1">
        <f t="array" ref="C11:D42">_xll.ExLibris.Json.GetJsonKeyValuesAsync(C10)</f>
        <v>login</v>
      </c>
      <c r="D11" t="str">
        <v>defunkt</v>
      </c>
    </row>
    <row r="12" spans="2:4" x14ac:dyDescent="0.4">
      <c r="C12" t="str">
        <v>id</v>
      </c>
      <c r="D12">
        <v>2</v>
      </c>
    </row>
    <row r="13" spans="2:4" x14ac:dyDescent="0.4">
      <c r="C13" t="str">
        <v>node_id</v>
      </c>
      <c r="D13" t="str">
        <v>MDQ6VXNlcjI=</v>
      </c>
    </row>
    <row r="14" spans="2:4" x14ac:dyDescent="0.4">
      <c r="C14" t="str">
        <v>avatar_url</v>
      </c>
      <c r="D14" t="str">
        <v>https://avatars.githubusercontent.com/u/2?v=4</v>
      </c>
    </row>
    <row r="15" spans="2:4" x14ac:dyDescent="0.4">
      <c r="C15" t="str">
        <v>gravatar_id</v>
      </c>
      <c r="D15">
        <v>0</v>
      </c>
    </row>
    <row r="16" spans="2:4" x14ac:dyDescent="0.4">
      <c r="C16" t="str">
        <v>url</v>
      </c>
      <c r="D16" t="str">
        <v>https://api.github.com/users/defunkt</v>
      </c>
    </row>
    <row r="17" spans="3:4" x14ac:dyDescent="0.4">
      <c r="C17" t="str">
        <v>html_url</v>
      </c>
      <c r="D17" t="str">
        <v>https://github.com/defunkt</v>
      </c>
    </row>
    <row r="18" spans="3:4" x14ac:dyDescent="0.4">
      <c r="C18" t="str">
        <v>followers_url</v>
      </c>
      <c r="D18" t="str">
        <v>https://api.github.com/users/defunkt/followers</v>
      </c>
    </row>
    <row r="19" spans="3:4" x14ac:dyDescent="0.4">
      <c r="C19" t="str">
        <v>following_url</v>
      </c>
      <c r="D19" t="str">
        <v>https://api.github.com/users/defunkt/following{/other_user}</v>
      </c>
    </row>
    <row r="20" spans="3:4" x14ac:dyDescent="0.4">
      <c r="C20" t="str">
        <v>gists_url</v>
      </c>
      <c r="D20" t="str">
        <v>https://api.github.com/users/defunkt/gists{/gist_id}</v>
      </c>
    </row>
    <row r="21" spans="3:4" x14ac:dyDescent="0.4">
      <c r="C21" t="str">
        <v>starred_url</v>
      </c>
      <c r="D21" t="str">
        <v>https://api.github.com/users/defunkt/starred{/owner}{/repo}</v>
      </c>
    </row>
    <row r="22" spans="3:4" x14ac:dyDescent="0.4">
      <c r="C22" t="str">
        <v>subscriptions_url</v>
      </c>
      <c r="D22" t="str">
        <v>https://api.github.com/users/defunkt/subscriptions</v>
      </c>
    </row>
    <row r="23" spans="3:4" x14ac:dyDescent="0.4">
      <c r="C23" t="str">
        <v>organizations_url</v>
      </c>
      <c r="D23" t="str">
        <v>https://api.github.com/users/defunkt/orgs</v>
      </c>
    </row>
    <row r="24" spans="3:4" x14ac:dyDescent="0.4">
      <c r="C24" t="str">
        <v>repos_url</v>
      </c>
      <c r="D24" t="str">
        <v>https://api.github.com/users/defunkt/repos</v>
      </c>
    </row>
    <row r="25" spans="3:4" x14ac:dyDescent="0.4">
      <c r="C25" t="str">
        <v>events_url</v>
      </c>
      <c r="D25" t="str">
        <v>https://api.github.com/users/defunkt/events{/privacy}</v>
      </c>
    </row>
    <row r="26" spans="3:4" x14ac:dyDescent="0.4">
      <c r="C26" t="str">
        <v>received_events_url</v>
      </c>
      <c r="D26" t="str">
        <v>https://api.github.com/users/defunkt/received_events</v>
      </c>
    </row>
    <row r="27" spans="3:4" x14ac:dyDescent="0.4">
      <c r="C27" t="str">
        <v>type</v>
      </c>
      <c r="D27" t="str">
        <v>User</v>
      </c>
    </row>
    <row r="28" spans="3:4" x14ac:dyDescent="0.4">
      <c r="C28" t="str">
        <v>site_admin</v>
      </c>
      <c r="D28" t="b">
        <v>0</v>
      </c>
    </row>
    <row r="29" spans="3:4" x14ac:dyDescent="0.4">
      <c r="C29" t="str">
        <v>name</v>
      </c>
      <c r="D29" t="str">
        <v>Chris Wanstrath</v>
      </c>
    </row>
    <row r="30" spans="3:4" x14ac:dyDescent="0.4">
      <c r="C30" t="str">
        <v>company</v>
      </c>
      <c r="D30">
        <v>0</v>
      </c>
    </row>
    <row r="31" spans="3:4" x14ac:dyDescent="0.4">
      <c r="C31" t="str">
        <v>blog</v>
      </c>
      <c r="D31" t="str">
        <v>http://chriswanstrath.com/</v>
      </c>
    </row>
    <row r="32" spans="3:4" x14ac:dyDescent="0.4">
      <c r="C32" t="str">
        <v>location</v>
      </c>
      <c r="D32">
        <v>0</v>
      </c>
    </row>
    <row r="33" spans="3:4" x14ac:dyDescent="0.4">
      <c r="C33" t="str">
        <v>email</v>
      </c>
      <c r="D33">
        <v>0</v>
      </c>
    </row>
    <row r="34" spans="3:4" x14ac:dyDescent="0.4">
      <c r="C34" t="str">
        <v>hireable</v>
      </c>
      <c r="D34">
        <v>0</v>
      </c>
    </row>
    <row r="35" spans="3:4" x14ac:dyDescent="0.4">
      <c r="C35" t="str">
        <v>bio</v>
      </c>
      <c r="D35" t="str">
        <v>🍔</v>
      </c>
    </row>
    <row r="36" spans="3:4" x14ac:dyDescent="0.4">
      <c r="C36" t="str">
        <v>twitter_username</v>
      </c>
      <c r="D36">
        <v>0</v>
      </c>
    </row>
    <row r="37" spans="3:4" x14ac:dyDescent="0.4">
      <c r="C37" t="str">
        <v>public_repos</v>
      </c>
      <c r="D37">
        <v>107</v>
      </c>
    </row>
    <row r="38" spans="3:4" x14ac:dyDescent="0.4">
      <c r="C38" t="str">
        <v>public_gists</v>
      </c>
      <c r="D38">
        <v>273</v>
      </c>
    </row>
    <row r="39" spans="3:4" x14ac:dyDescent="0.4">
      <c r="C39" t="str">
        <v>followers</v>
      </c>
      <c r="D39">
        <v>21287</v>
      </c>
    </row>
    <row r="40" spans="3:4" x14ac:dyDescent="0.4">
      <c r="C40" t="str">
        <v>following</v>
      </c>
      <c r="D40">
        <v>210</v>
      </c>
    </row>
    <row r="41" spans="3:4" x14ac:dyDescent="0.4">
      <c r="C41" t="str">
        <v>created_at</v>
      </c>
      <c r="D41" t="str">
        <v>2007-10-20T05:24:19Z</v>
      </c>
    </row>
    <row r="42" spans="3:4" x14ac:dyDescent="0.4">
      <c r="C42" t="str">
        <v>updated_at</v>
      </c>
      <c r="D42" t="str">
        <v>2021-07-29T11:10:23Z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7</vt:i4>
      </vt:variant>
      <vt:variant>
        <vt:lpstr>名前付き一覧</vt:lpstr>
      </vt:variant>
      <vt:variant>
        <vt:i4>1</vt:i4>
      </vt:variant>
    </vt:vector>
  </HeadingPairs>
  <TitlesOfParts>
    <vt:vector size="8" baseType="lpstr">
      <vt:lpstr>json_test</vt:lpstr>
      <vt:lpstr>json_test_async</vt:lpstr>
      <vt:lpstr>json_w_conf_test_async</vt:lpstr>
      <vt:lpstr>configuration</vt:lpstr>
      <vt:lpstr>websocket</vt:lpstr>
      <vt:lpstr>webapi</vt:lpstr>
      <vt:lpstr>webapi github</vt:lpstr>
      <vt:lpstr>EXLIBRIS_CONFIGURATION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mugen fugafuga</dc:creator>
  <cp:lastModifiedBy>mugen fugafuga</cp:lastModifiedBy>
  <dcterms:created xsi:type="dcterms:W3CDTF">2021-09-12T06:00:20Z</dcterms:created>
  <dcterms:modified xsi:type="dcterms:W3CDTF">2021-09-27T16:53:28Z</dcterms:modified>
</cp:coreProperties>
</file>