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89A03140-CF45-4D3C-820E-F40428F495FA}" xr6:coauthVersionLast="47" xr6:coauthVersionMax="47" xr10:uidLastSave="{00000000-0000-0000-0000-000000000000}"/>
  <bookViews>
    <workbookView xWindow="-120" yWindow="-120" windowWidth="29040" windowHeight="15840" activeTab="1" xr2:uid="{705CD0B7-27A9-4291-85BD-6034C0FEE3E4}"/>
  </bookViews>
  <sheets>
    <sheet name="json_test" sheetId="1" r:id="rId1"/>
    <sheet name="json_w_conf_test" sheetId="4" r:id="rId2"/>
    <sheet name="configuration" sheetId="2" r:id="rId3"/>
    <sheet name="websocket" sheetId="3" r:id="rId4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1" i="4" l="1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H6" i="2" a="1"/>
  <c r="E17" i="3" a="1"/>
  <c r="E4" i="3" a="1"/>
  <c r="C2" i="2" a="1"/>
  <c r="H6" i="2" l="1"/>
  <c r="E17" i="3"/>
  <c r="E4" i="3"/>
  <c r="F10" i="4"/>
  <c r="G10" i="4" s="1"/>
  <c r="C2" i="2"/>
  <c r="F10" i="1"/>
  <c r="G10" i="1" s="1"/>
  <c r="F11" i="1" s="1"/>
  <c r="G11" i="1" s="1"/>
  <c r="F12" i="1" s="1"/>
  <c r="G12" i="1" s="1"/>
  <c r="E12" i="1" s="1"/>
  <c r="E6" i="2" a="1"/>
  <c r="E20" i="3" a="1"/>
  <c r="E19" i="3" a="1"/>
  <c r="E6" i="3" a="1"/>
  <c r="E7" i="3" a="1"/>
  <c r="E6" i="2" l="1"/>
  <c r="E19" i="3"/>
  <c r="E20" i="3"/>
  <c r="K1" i="1"/>
  <c r="K1" i="4"/>
  <c r="F11" i="4"/>
  <c r="G11" i="4" s="1"/>
  <c r="E10" i="4"/>
  <c r="E7" i="3"/>
  <c r="E6" i="3"/>
  <c r="F13" i="1"/>
  <c r="G13" i="1" s="1"/>
  <c r="F14" i="1" s="1"/>
  <c r="G14" i="1" s="1"/>
  <c r="E14" i="1" s="1"/>
  <c r="E10" i="1"/>
  <c r="E11" i="1"/>
  <c r="E9" i="3" a="1"/>
  <c r="E22" i="3" a="1"/>
  <c r="E22" i="3" l="1"/>
  <c r="E11" i="4"/>
  <c r="F12" i="4"/>
  <c r="G12" i="4" s="1"/>
  <c r="E9" i="3"/>
  <c r="E13" i="1"/>
  <c r="E10" i="3" a="1"/>
  <c r="E23" i="3" a="1"/>
  <c r="F6" i="1" a="1"/>
  <c r="F6" i="1" l="1"/>
  <c r="E23" i="3"/>
  <c r="F13" i="4"/>
  <c r="G13" i="4" s="1"/>
  <c r="E12" i="4"/>
  <c r="E10" i="3"/>
  <c r="F1" i="1" a="1"/>
  <c r="E11" i="3" a="1"/>
  <c r="E24" i="3" a="1"/>
  <c r="F1" i="1" l="1"/>
  <c r="E24" i="3"/>
  <c r="E13" i="4"/>
  <c r="F14" i="4"/>
  <c r="G14" i="4" s="1"/>
  <c r="E14" i="4" s="1"/>
  <c r="E11" i="3"/>
  <c r="E12" i="3" a="1"/>
  <c r="E25" i="3" a="1"/>
  <c r="F6" i="4" a="1"/>
  <c r="P19" i="1" a="1"/>
  <c r="E19" i="1" a="1"/>
  <c r="G23" i="1" a="1"/>
  <c r="G50" i="1" a="1"/>
  <c r="G29" i="1" a="1"/>
  <c r="G26" i="1" a="1"/>
  <c r="G37" i="1" a="1"/>
  <c r="I19" i="1" a="1"/>
  <c r="G49" i="1" a="1"/>
  <c r="G39" i="1" a="1"/>
  <c r="G52" i="1" a="1"/>
  <c r="G46" i="1" a="1"/>
  <c r="G28" i="1" a="1"/>
  <c r="G42" i="1" a="1"/>
  <c r="G32" i="1" a="1"/>
  <c r="G54" i="1" a="1"/>
  <c r="M6" i="1" a="1"/>
  <c r="G41" i="1" a="1"/>
  <c r="G25" i="1" a="1"/>
  <c r="G31" i="1" a="1"/>
  <c r="G38" i="1" a="1"/>
  <c r="G55" i="1" a="1"/>
  <c r="G45" i="1" a="1"/>
  <c r="G24" i="1" a="1"/>
  <c r="G27" i="1" a="1"/>
  <c r="G44" i="1" a="1"/>
  <c r="G22" i="1" a="1"/>
  <c r="G34" i="1" a="1"/>
  <c r="G30" i="1" a="1"/>
  <c r="G51" i="1" a="1"/>
  <c r="G35" i="1" a="1"/>
  <c r="G56" i="1" a="1"/>
  <c r="G48" i="1" a="1"/>
  <c r="G40" i="1" a="1"/>
  <c r="G43" i="1" a="1"/>
  <c r="G53" i="1" a="1"/>
  <c r="G57" i="1" a="1"/>
  <c r="G36" i="1" a="1"/>
  <c r="G21" i="1" a="1"/>
  <c r="G20" i="1" a="1"/>
  <c r="G47" i="1" a="1"/>
  <c r="G33" i="1" a="1"/>
  <c r="AS21" i="1" l="1"/>
  <c r="AR21" i="1"/>
  <c r="AS19" i="1"/>
  <c r="AS20" i="1"/>
  <c r="AR20" i="1"/>
  <c r="P19" i="1"/>
  <c r="AR19" i="1" s="1"/>
  <c r="C7" i="1" s="1"/>
  <c r="G44" i="1"/>
  <c r="G40" i="1"/>
  <c r="G45" i="1"/>
  <c r="G42" i="1"/>
  <c r="G57" i="1"/>
  <c r="G41" i="1"/>
  <c r="G33" i="1"/>
  <c r="G24" i="1"/>
  <c r="G35" i="1"/>
  <c r="G29" i="1"/>
  <c r="G21" i="1"/>
  <c r="G32" i="1"/>
  <c r="G53" i="1"/>
  <c r="G36" i="1"/>
  <c r="G31" i="1"/>
  <c r="G55" i="1"/>
  <c r="G50" i="1"/>
  <c r="G52" i="1"/>
  <c r="G28" i="1"/>
  <c r="G48" i="1"/>
  <c r="G37" i="1"/>
  <c r="G26" i="1"/>
  <c r="G51" i="1"/>
  <c r="G56" i="1"/>
  <c r="G27" i="1"/>
  <c r="G49" i="1"/>
  <c r="G34" i="1"/>
  <c r="G20" i="1"/>
  <c r="G22" i="1"/>
  <c r="G43" i="1"/>
  <c r="G47" i="1"/>
  <c r="G25" i="1"/>
  <c r="G54" i="1"/>
  <c r="G46" i="1"/>
  <c r="G38" i="1"/>
  <c r="G39" i="1"/>
  <c r="G30" i="1"/>
  <c r="G23" i="1"/>
  <c r="E19" i="1"/>
  <c r="I19" i="1"/>
  <c r="E25" i="3"/>
  <c r="F6" i="4"/>
  <c r="E12" i="3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M6" i="1"/>
  <c r="C5" i="1" s="1"/>
  <c r="E26" i="3" a="1"/>
  <c r="I20" i="1" a="1"/>
  <c r="P29" i="1" a="1"/>
  <c r="I28" i="1" a="1"/>
  <c r="F1" i="4" a="1"/>
  <c r="G19" i="1" a="1"/>
  <c r="E13" i="3" a="1"/>
  <c r="P29" i="1" l="1"/>
  <c r="I20" i="1"/>
  <c r="AK20" i="1" s="1"/>
  <c r="I28" i="1"/>
  <c r="G19" i="1"/>
  <c r="E26" i="3"/>
  <c r="F1" i="4"/>
  <c r="E13" i="3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P30" i="1" a="1"/>
  <c r="E27" i="3" a="1"/>
  <c r="M6" i="4" a="1"/>
  <c r="I19" i="4" a="1"/>
  <c r="I29" i="1" a="1"/>
  <c r="I32" i="4" a="1"/>
  <c r="E19" i="4" a="1"/>
  <c r="G25" i="4" a="1"/>
  <c r="E14" i="3" a="1"/>
  <c r="G22" i="4" a="1"/>
  <c r="G55" i="4" a="1"/>
  <c r="G37" i="4" a="1"/>
  <c r="G54" i="4" a="1"/>
  <c r="G46" i="4" a="1"/>
  <c r="G26" i="4" a="1"/>
  <c r="G51" i="4" a="1"/>
  <c r="G44" i="4" a="1"/>
  <c r="G45" i="4" a="1"/>
  <c r="G57" i="4" a="1"/>
  <c r="G53" i="4" a="1"/>
  <c r="G39" i="4" a="1"/>
  <c r="G43" i="4" a="1"/>
  <c r="G42" i="4" a="1"/>
  <c r="G48" i="4" a="1"/>
  <c r="G41" i="4" a="1"/>
  <c r="G29" i="4" a="1"/>
  <c r="G56" i="4" a="1"/>
  <c r="G31" i="4" a="1"/>
  <c r="G33" i="4" a="1"/>
  <c r="G21" i="4" a="1"/>
  <c r="G24" i="4" a="1"/>
  <c r="G23" i="4" a="1"/>
  <c r="G52" i="4" a="1"/>
  <c r="G35" i="4" a="1"/>
  <c r="G50" i="4" a="1"/>
  <c r="G30" i="4" a="1"/>
  <c r="G27" i="4" a="1"/>
  <c r="G38" i="4" a="1"/>
  <c r="G34" i="4" a="1"/>
  <c r="G40" i="4" a="1"/>
  <c r="G36" i="4" a="1"/>
  <c r="G28" i="4" a="1"/>
  <c r="G32" i="4" a="1"/>
  <c r="G20" i="4" a="1"/>
  <c r="G49" i="4" a="1"/>
  <c r="I32" i="4" l="1"/>
  <c r="AR47" i="1"/>
  <c r="AS50" i="1"/>
  <c r="AR54" i="1"/>
  <c r="AS53" i="1"/>
  <c r="AR53" i="1"/>
  <c r="AS56" i="1"/>
  <c r="AR60" i="1"/>
  <c r="AS59" i="1"/>
  <c r="P30" i="1"/>
  <c r="AR30" i="1" s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I29" i="1"/>
  <c r="AK29" i="1" s="1"/>
  <c r="E27" i="3"/>
  <c r="C3" i="1"/>
  <c r="C4" i="1"/>
  <c r="G50" i="4"/>
  <c r="G23" i="4"/>
  <c r="G29" i="4"/>
  <c r="G31" i="4"/>
  <c r="G39" i="4"/>
  <c r="G55" i="4"/>
  <c r="G26" i="4"/>
  <c r="G28" i="4"/>
  <c r="G36" i="4"/>
  <c r="G44" i="4"/>
  <c r="G52" i="4"/>
  <c r="G34" i="4"/>
  <c r="G21" i="4"/>
  <c r="G33" i="4"/>
  <c r="G41" i="4"/>
  <c r="G49" i="4"/>
  <c r="G57" i="4"/>
  <c r="G24" i="4"/>
  <c r="G38" i="4"/>
  <c r="G46" i="4"/>
  <c r="G54" i="4"/>
  <c r="G42" i="4"/>
  <c r="G53" i="4"/>
  <c r="G45" i="4"/>
  <c r="G37" i="4"/>
  <c r="G25" i="4"/>
  <c r="G56" i="4"/>
  <c r="G48" i="4"/>
  <c r="G40" i="4"/>
  <c r="G32" i="4"/>
  <c r="G30" i="4"/>
  <c r="G22" i="4"/>
  <c r="G20" i="4"/>
  <c r="G51" i="4"/>
  <c r="G43" i="4"/>
  <c r="G35" i="4"/>
  <c r="G27" i="4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E19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M6" i="4"/>
  <c r="C5" i="4" s="1"/>
  <c r="I19" i="4"/>
  <c r="E14" i="3"/>
  <c r="AL29" i="1"/>
  <c r="AM30" i="1"/>
  <c r="AP30" i="1"/>
  <c r="AM29" i="1"/>
  <c r="AN29" i="1"/>
  <c r="AO30" i="1"/>
  <c r="AP29" i="1"/>
  <c r="AN30" i="1"/>
  <c r="AL30" i="1"/>
  <c r="AO29" i="1"/>
  <c r="AK30" i="1"/>
  <c r="I28" i="4" a="1"/>
  <c r="E28" i="3" a="1"/>
  <c r="I20" i="4" a="1"/>
  <c r="G19" i="4" a="1"/>
  <c r="I38" i="4" a="1"/>
  <c r="G47" i="4" a="1"/>
  <c r="E15" i="3" a="1"/>
  <c r="I42" i="4" a="1"/>
  <c r="I33" i="4" a="1"/>
  <c r="I42" i="4" l="1"/>
  <c r="G47" i="4"/>
  <c r="I38" i="4"/>
  <c r="C8" i="1"/>
  <c r="I33" i="4"/>
  <c r="E28" i="3"/>
  <c r="G19" i="4"/>
  <c r="I28" i="4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I20" i="4"/>
  <c r="AE20" i="4" s="1"/>
  <c r="AF26" i="4"/>
  <c r="AJ22" i="4"/>
  <c r="AB19" i="4"/>
  <c r="AA19" i="4"/>
  <c r="E15" i="3"/>
  <c r="C6" i="1"/>
  <c r="I43" i="4" a="1"/>
  <c r="I39" i="4" a="1"/>
  <c r="I29" i="4" a="1"/>
  <c r="I34" i="4" a="1"/>
  <c r="AI40" i="4" l="1"/>
  <c r="AG39" i="4"/>
  <c r="AF40" i="4"/>
  <c r="AI39" i="4"/>
  <c r="AJ40" i="4"/>
  <c r="AH39" i="4"/>
  <c r="AH40" i="4"/>
  <c r="AF39" i="4"/>
  <c r="AG40" i="4"/>
  <c r="AE40" i="4"/>
  <c r="AJ39" i="4"/>
  <c r="I39" i="4"/>
  <c r="AE39" i="4" s="1"/>
  <c r="I43" i="4"/>
  <c r="AE43" i="4" s="1"/>
  <c r="C9" i="4" s="1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I34" i="4"/>
  <c r="AE34" i="4" s="1"/>
  <c r="C3" i="4"/>
  <c r="AI30" i="4"/>
  <c r="AH30" i="4"/>
  <c r="AG30" i="4"/>
  <c r="AJ29" i="4"/>
  <c r="AF30" i="4"/>
  <c r="AI29" i="4"/>
  <c r="I29" i="4"/>
  <c r="AE29" i="4" s="1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<sst xmlns="http://schemas.openxmlformats.org/spreadsheetml/2006/main" count="407" uniqueCount="120">
  <si>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</si>
  <si>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</si>
  <si>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</si>
  <si>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</si>
  <si>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</si>
  <si>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</si>
  <si>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</si>
  <si>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</si>
  <si>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</si>
  <si>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</si>
  <si>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</si>
  <si>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</si>
  <si>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</si>
  <si>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</si>
  <si>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</si>
  <si>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</si>
  <si>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</si>
  <si>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</si>
  <si>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</si>
  <si>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</si>
  <si>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</si>
  <si>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</si>
  <si>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</si>
  <si>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</si>
  <si>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</si>
  <si>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</si>
  <si>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</si>
  <si>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</si>
  <si>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</si>
  <si>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</si>
  <si>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</si>
  <si>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</si>
  <si>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</si>
  <si>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</si>
  <si>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</si>
  <si>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</si>
  <si>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</si>
  <si>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</si>
  <si>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</si>
  <si>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</si>
  <si>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</si>
  <si>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</si>
  <si>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</si>
  <si>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</si>
  <si>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</si>
  <si>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</si>
  <si>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</si>
  <si>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</si>
  <si>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</si>
  <si>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</si>
  <si>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</si>
  <si>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</si>
  <si>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</si>
  <si>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</si>
  <si>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</si>
  <si>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</si>
  <si>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</si>
  <si>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</si>
  <si>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</si>
  <si>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</si>
  <si>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</si>
  <si>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</si>
  <si>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</si>
  <si>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</si>
  <si>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</si>
  <si>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</si>
  <si>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</si>
  <si>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</si>
  <si>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</si>
  <si>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</si>
  <si>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</si>
  <si>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</si>
  <si>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</si>
  <si>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</si>
  <si>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</si>
  <si>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</si>
  <si>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</si>
  <si>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</si>
  <si>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</si>
  <si>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</si>
  <si>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</si>
  <si>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</si>
  <si>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</si>
  <si>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</si>
  <si>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</si>
  <si>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</si>
  <si>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</si>
  <si>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</si>
  <si>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</si>
  <si>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</si>
  <si>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</si>
  <si>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</si>
  <si>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</si>
  <si>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</si>
  <si>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</si>
  <si>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</si>
  <si>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</si>
  <si>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</si>
  <si>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</si>
  <si>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</si>
  <si>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</si>
  <si>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</si>
  <si>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message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</si>
  <si>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</si>
  <si>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</si>
  <si>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</si>
  <si>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</si>
  <si>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</si>
  <si>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</si>
  <si>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</si>
  <si>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</si>
  <si>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</si>
  <si>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client1</t>
    <phoneticPr fontId="1"/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</si>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</sst>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4d0052b8a95742c6a15f6fa4fe5ede69">
      <tp>
        <v>1</v>
        <stp/>
        <stp>2b11cf95-fd63-461a-8a73-c443748e2d60</stp>
        <tr r="G36" s="1"/>
      </tp>
    </main>
    <main first="rtdsrv.4d0052b8a95742c6a15f6fa4fe5ede69">
      <tp>
        <v>1</v>
        <stp/>
        <stp>e4f013b8-fb2d-492e-98a7-752ecaa58a30</stp>
        <tr r="G31" s="1"/>
      </tp>
    </main>
    <main first="rtdsrv.4d0052b8a95742c6a15f6fa4fe5ede69">
      <tp>
        <v>1</v>
        <stp/>
        <stp>46b1f2fc-6178-45e4-a65e-825eb27d9b2c</stp>
        <tr r="G29" s="1"/>
      </tp>
    </main>
    <main first="rtdsrv.4d0052b8a95742c6a15f6fa4fe5ede69">
      <tp>
        <v>1</v>
        <stp/>
        <stp>4cf63580-055e-42ae-8a95-e9d5b3431bec</stp>
        <tr r="E17" s="3"/>
      </tp>
    </main>
    <main first="rtdsrv.4d0052b8a95742c6a15f6fa4fe5ede69">
      <tp>
        <v>1</v>
        <stp/>
        <stp>6029f4af-5828-4a06-9df0-5ffa9e0331eb</stp>
        <tr r="G25" s="1"/>
      </tp>
    </main>
    <main first="rtdsrv.4d0052b8a95742c6a15f6fa4fe5ede69">
      <tp>
        <v>1</v>
        <stp/>
        <stp>5bc05b15-10d6-48f4-a731-b4db87fcef44</stp>
        <tr r="G33" s="4"/>
      </tp>
      <tp>
        <v>1</v>
        <stp/>
        <stp>a55683b4-3907-48f0-acf9-40a493fa7318</stp>
        <tr r="G28" s="4"/>
      </tp>
      <tp>
        <v>1</v>
        <stp/>
        <stp>d2b5ad53-87c2-44d9-b164-ff6192fd6f1c</stp>
        <tr r="G19" s="1"/>
      </tp>
    </main>
    <main first="rtdsrv.4d0052b8a95742c6a15f6fa4fe5ede69">
      <tp>
        <v>1</v>
        <stp/>
        <stp>670c4cb8-d842-40bc-ba41-bb86a5a8cdfc</stp>
        <tr r="I28" s="4"/>
      </tp>
    </main>
    <main first="rtdsrv.4d0052b8a95742c6a15f6fa4fe5ede69">
      <tp>
        <v>1</v>
        <stp/>
        <stp>d56ea897-e572-41b9-a6cb-c16b9f57a1cb</stp>
        <tr r="G53" s="4"/>
      </tp>
    </main>
    <main first="rtdsrv.4d0052b8a95742c6a15f6fa4fe5ede69">
      <tp>
        <v>1</v>
        <stp/>
        <stp>0714adcc-9276-4742-aea9-9882c612db90</stp>
        <tr r="G27" s="4"/>
      </tp>
    </main>
    <main first="rtdsrv.4d0052b8a95742c6a15f6fa4fe5ede69">
      <tp>
        <v>1</v>
        <stp/>
        <stp>0315530b-2cdd-4eed-8529-909b18b279c9</stp>
        <tr r="G48" s="4"/>
      </tp>
      <tp>
        <v>1</v>
        <stp/>
        <stp>77fd5d79-dd7d-4a94-b809-b7d64de3f55b</stp>
        <tr r="P29" s="1"/>
      </tp>
    </main>
    <main first="rtdsrv.4d0052b8a95742c6a15f6fa4fe5ede69">
      <tp>
        <v>1</v>
        <stp/>
        <stp>b87b5514-0119-4e95-b5f2-69fe71c00321</stp>
        <tr r="G37" s="1"/>
      </tp>
    </main>
    <main first="rtdsrv.4d0052b8a95742c6a15f6fa4fe5ede69">
      <tp>
        <v>1</v>
        <stp/>
        <stp>c6929708-2854-47e1-99e7-5e62e0ec2d43</stp>
        <tr r="G51" s="4"/>
      </tp>
      <tp>
        <v>1</v>
        <stp/>
        <stp>b8e741da-0361-4ba3-be92-be9a80544021</stp>
        <tr r="G50" s="4"/>
      </tp>
    </main>
    <main first="rtdsrv.4d0052b8a95742c6a15f6fa4fe5ede69">
      <tp>
        <v>2</v>
        <stp/>
        <stp>ebef0892-d459-4436-8685-93d757951b1b</stp>
        <tr r="E6" s="3"/>
      </tp>
    </main>
    <main first="rtdsrv.4d0052b8a95742c6a15f6fa4fe5ede69">
      <tp>
        <v>1</v>
        <stp/>
        <stp>cdb18f07-052d-4f9b-a404-c2c36186e458</stp>
        <tr r="G47" s="1"/>
      </tp>
      <tp>
        <v>1</v>
        <stp/>
        <stp>69b80b53-5886-4660-91f0-e8545cb3c457</stp>
        <tr r="I33" s="4"/>
      </tp>
    </main>
    <main first="rtdsrv.4d0052b8a95742c6a15f6fa4fe5ede69">
      <tp>
        <v>1</v>
        <stp/>
        <stp>4c0cb919-a736-4c2f-850b-98e3d4fe96c4</stp>
        <tr r="G20" s="1"/>
      </tp>
    </main>
    <main first="rtdsrv.4d0052b8a95742c6a15f6fa4fe5ede69">
      <tp>
        <v>1</v>
        <stp/>
        <stp>104b40a4-e355-4695-b0cf-a680d69bbd7f</stp>
        <tr r="G38" s="4"/>
      </tp>
    </main>
    <main first="rtdsrv.4d0052b8a95742c6a15f6fa4fe5ede69">
      <tp>
        <v>1</v>
        <stp/>
        <stp>98849fdc-61d6-4757-be5e-0114b68765a6</stp>
        <tr r="G30" s="4"/>
      </tp>
      <tp>
        <v>1</v>
        <stp/>
        <stp>49c5511b-68bb-4a9d-8b76-eecc84110ec0</stp>
        <tr r="G24" s="1"/>
      </tp>
      <tp>
        <v>1</v>
        <stp/>
        <stp>6d7b2c38-8216-4059-ae04-c6209ab42874</stp>
        <tr r="F6" s="4"/>
      </tp>
    </main>
    <main first="rtdsrv.4d0052b8a95742c6a15f6fa4fe5ede69">
      <tp>
        <v>1</v>
        <stp/>
        <stp>d3983292-18bc-4393-b6fc-c6fdd8f68186</stp>
        <tr r="G24" s="4"/>
      </tp>
      <tp>
        <v>1</v>
        <stp/>
        <stp>e8414323-1a0f-48d4-ac51-86f4ef86413c</stp>
        <tr r="G49" s="4"/>
      </tp>
    </main>
    <main first="rtdsrv.4d0052b8a95742c6a15f6fa4fe5ede69">
      <tp>
        <v>57</v>
        <stp/>
        <stp>dad8bdbe-9037-492b-b484-385430b984b7</stp>
        <tr r="E20" s="3"/>
      </tp>
      <tp>
        <v>1</v>
        <stp/>
        <stp>aa35dd33-8bec-4727-b0f0-86a70c918bdd</stp>
        <tr r="G44" s="4"/>
      </tp>
      <tp>
        <v>1</v>
        <stp/>
        <stp>6b0179ab-43e2-44c3-9d8b-435c84c0989a</stp>
        <tr r="G26" s="1"/>
      </tp>
      <tp>
        <v>1</v>
        <stp/>
        <stp>a5377819-58f7-4b92-89b7-0ca6e658af6a</stp>
        <tr r="I32" s="4"/>
        <tr r="I19" s="4"/>
      </tp>
      <tp>
        <v>1</v>
        <stp/>
        <stp>0f42f9a3-1016-4858-b6dd-06889fd9c942</stp>
        <tr r="G40" s="4"/>
      </tp>
    </main>
    <main first="rtdsrv.4d0052b8a95742c6a15f6fa4fe5ede69">
      <tp>
        <v>1</v>
        <stp/>
        <stp>c2520d9d-7d37-4849-adf9-bf1e6f9a5b54</stp>
        <tr r="F1" s="4"/>
      </tp>
    </main>
    <main first="rtdsrv.4d0052b8a95742c6a15f6fa4fe5ede69">
      <tp>
        <v>1</v>
        <stp/>
        <stp>aac33ceb-d988-4ec2-b85e-38621011f570</stp>
        <tr r="G49" s="1"/>
      </tp>
    </main>
    <main first="rtdsrv.4d0052b8a95742c6a15f6fa4fe5ede69">
      <tp>
        <v>1</v>
        <stp/>
        <stp>ca633845-4280-4e32-9d46-94feee492f29</stp>
        <tr r="G21" s="1"/>
      </tp>
      <tp>
        <v>1</v>
        <stp/>
        <stp>704427e6-3ac1-4dd7-847c-443e7efd99e4</stp>
        <tr r="G36" s="4"/>
      </tp>
      <tp>
        <v>1</v>
        <stp/>
        <stp>2e741680-ff78-4a04-b096-7dbed428b497</stp>
        <tr r="G52" s="4"/>
      </tp>
      <tp>
        <v>1</v>
        <stp/>
        <stp>be5991eb-a186-4f01-86ba-bad63908ac29</stp>
        <tr r="G47" s="4"/>
      </tp>
      <tp>
        <v>1</v>
        <stp/>
        <stp>b22c7e46-dac5-466b-b893-7a2146e20b5f</stp>
        <tr r="G32" s="4"/>
      </tp>
    </main>
    <main first="rtdsrv.4d0052b8a95742c6a15f6fa4fe5ede69">
      <tp>
        <v>1</v>
        <stp/>
        <stp>d124d935-7ac7-43a0-85a3-134d60c5b3b2</stp>
        <tr r="F1" s="1"/>
      </tp>
    </main>
    <main first="rtdsrv.4d0052b8a95742c6a15f6fa4fe5ede69">
      <tp>
        <v>1</v>
        <stp/>
        <stp>33639009-6595-4ef9-b218-59e189f2bc86</stp>
        <tr r="G45" s="4"/>
      </tp>
      <tp>
        <v>1</v>
        <stp/>
        <stp>0bc113f6-2c51-4179-ac4b-8d6a21363e1d</stp>
        <tr r="G22" s="1"/>
      </tp>
      <tp>
        <v>1</v>
        <stp/>
        <stp>1e3e57bc-d24e-434b-88dc-4bb5054979d9</stp>
        <tr r="G43" s="1"/>
      </tp>
      <tp>
        <v>1</v>
        <stp/>
        <stp>4229dc0b-b766-4729-85d1-9d02c1dbfecb</stp>
        <tr r="G39" s="4"/>
      </tp>
      <tp>
        <v>1</v>
        <stp/>
        <stp>e7095731-0036-4536-a072-09af1c0e25c2</stp>
        <tr r="G27" s="1"/>
      </tp>
    </main>
    <main first="rtdsrv.4d0052b8a95742c6a15f6fa4fe5ede69">
      <tp>
        <v>1</v>
        <stp/>
        <stp>4885ad71-26a0-4b08-bcac-f83f71092a97</stp>
        <tr r="G53" s="1"/>
      </tp>
      <tp>
        <v>1</v>
        <stp/>
        <stp>bdcb95dd-8bb0-460b-93da-622af106f3fe</stp>
        <tr r="G21" s="4"/>
      </tp>
      <tp>
        <v>1</v>
        <stp/>
        <stp>dbca8b14-9afb-4546-a752-241940120aba</stp>
        <tr r="G41" s="4"/>
      </tp>
    </main>
    <main first="rtdsrv.4d0052b8a95742c6a15f6fa4fe5ede69">
      <tp>
        <v>1</v>
        <stp/>
        <stp>d0d03c74-a6b1-4907-8de6-253bfc86e6e0</stp>
        <tr r="G57" s="1"/>
      </tp>
    </main>
    <main first="rtdsrv.4d0052b8a95742c6a15f6fa4fe5ede69">
      <tp>
        <v>1</v>
        <stp/>
        <stp>7843cc4c-28e1-40a1-afbb-04242859677e</stp>
        <tr r="G55" s="1"/>
      </tp>
    </main>
    <main first="rtdsrv.4d0052b8a95742c6a15f6fa4fe5ede69">
      <tp>
        <v>1</v>
        <stp/>
        <stp>7e978fba-cda3-4efd-ad41-6b275572ff44</stp>
        <tr r="G56" s="4"/>
      </tp>
    </main>
    <main first="rtdsrv.4d0052b8a95742c6a15f6fa4fe5ede69">
      <tp>
        <v>1</v>
        <stp/>
        <stp>df39a10f-63cc-4fd5-9ee4-7ce02a7b72c5</stp>
        <tr r="G45" s="1"/>
      </tp>
      <tp>
        <v>1</v>
        <stp/>
        <stp>1e71f983-acb9-4ada-962e-91835850bf16</stp>
        <tr r="G39" s="1"/>
      </tp>
    </main>
    <main first="rtdsrv.4d0052b8a95742c6a15f6fa4fe5ede69">
      <tp>
        <v>1</v>
        <stp/>
        <stp>84668846-63a6-4dae-814f-a07188280bb7</stp>
        <tr r="I19" s="1"/>
      </tp>
    </main>
    <main first="rtdsrv.4d0052b8a95742c6a15f6fa4fe5ede69">
      <tp>
        <v>1</v>
        <stp/>
        <stp>aa0eed66-b424-4048-9f9d-e21e830ace80</stp>
        <tr r="G38" s="1"/>
      </tp>
      <tp>
        <v>1</v>
        <stp/>
        <stp>a88bdb55-0a4c-4a61-861c-dbd399c33398</stp>
        <tr r="I38" s="4"/>
      </tp>
    </main>
    <main first="rtdsrv.4d0052b8a95742c6a15f6fa4fe5ede69">
      <tp>
        <v>1</v>
        <stp/>
        <stp>c0e0f610-d4c5-429e-8856-f48d66b9e3ad</stp>
        <tr r="E4" s="3"/>
      </tp>
      <tp>
        <v>1</v>
        <stp/>
        <stp>3ced1629-20dc-475a-bbff-f5b92285dd23</stp>
        <tr r="P19" s="1"/>
      </tp>
    </main>
    <main first="rtdsrv.4d0052b8a95742c6a15f6fa4fe5ede69">
      <tp>
        <v>1</v>
        <stp/>
        <stp>cd4fd604-3e94-4b9a-9423-eaf8cfc7e67d</stp>
        <tr r="G20" s="4"/>
      </tp>
      <tp>
        <v>2</v>
        <stp/>
        <stp>1cf3d21f-1caf-446b-a59d-9cf02cd4b814</stp>
        <tr r="E19" s="3"/>
      </tp>
      <tp>
        <v>1</v>
        <stp/>
        <stp>bd95a4a0-87eb-45a5-ac93-40742fbbf156</stp>
        <tr r="G54" s="1"/>
      </tp>
    </main>
    <main first="rtdsrv.4d0052b8a95742c6a15f6fa4fe5ede69">
      <tp>
        <v>1</v>
        <stp/>
        <stp>38220e8f-0685-4b83-8ac1-8c6458172e04</stp>
        <tr r="I42" s="4"/>
      </tp>
      <tp>
        <v>1</v>
        <stp/>
        <stp>49c00da1-a096-4e7f-91b8-d2481993f023</stp>
        <tr r="C2" s="2"/>
      </tp>
      <tp>
        <v>1</v>
        <stp/>
        <stp>6c6c41bf-25b7-462b-b644-46d44bacdac6</stp>
        <tr r="G23" s="1"/>
      </tp>
      <tp>
        <v>1</v>
        <stp/>
        <stp>f20d93e1-e24c-484f-91c2-8b74c60996a4</stp>
        <tr r="G56" s="1"/>
      </tp>
    </main>
    <main first="rtdsrv.4d0052b8a95742c6a15f6fa4fe5ede69">
      <tp>
        <v>1</v>
        <stp/>
        <stp>0a6b14f8-22e6-4bff-84be-df8132c393d3</stp>
        <tr r="G28" s="1"/>
      </tp>
      <tp>
        <v>1</v>
        <stp/>
        <stp>422e3368-3c6b-4429-b696-d1d72128b679</stp>
        <tr r="I28" s="1"/>
      </tp>
    </main>
    <main first="rtdsrv.4d0052b8a95742c6a15f6fa4fe5ede69">
      <tp>
        <v>1</v>
        <stp/>
        <stp>0a00d53d-2e3e-47a6-89b7-dc15d7fc3ccd</stp>
        <tr r="G35" s="1"/>
      </tp>
      <tp>
        <v>1</v>
        <stp/>
        <stp>a5bc2f0f-8ac7-4f29-813b-d504178adfe8</stp>
        <tr r="G54" s="4"/>
      </tp>
    </main>
    <main first="rtdsrv.4d0052b8a95742c6a15f6fa4fe5ede69">
      <tp>
        <v>1</v>
        <stp/>
        <stp>716a72bc-3530-430a-9f94-ac838536b83b</stp>
        <tr r="G41" s="1"/>
      </tp>
    </main>
    <main first="rtdsrv.4d0052b8a95742c6a15f6fa4fe5ede69">
      <tp>
        <v>1</v>
        <stp/>
        <stp>4d8ea511-0a26-4b3d-bf58-adf10ee4a71a</stp>
        <tr r="E7" s="3"/>
      </tp>
    </main>
    <main first="rtdsrv.4d0052b8a95742c6a15f6fa4fe5ede69">
      <tp>
        <v>1</v>
        <stp/>
        <stp>af2d159d-ae8b-49d9-9f5f-4b066b40e834</stp>
        <tr r="G25" s="4"/>
      </tp>
    </main>
    <main first="rtdsrv.4d0052b8a95742c6a15f6fa4fe5ede69">
      <tp>
        <v>1</v>
        <stp/>
        <stp>d66cdeb8-c5bf-4525-898d-b473d726e826</stp>
        <tr r="G40" s="1"/>
      </tp>
    </main>
    <main first="rtdsrv.4d0052b8a95742c6a15f6fa4fe5ede69">
      <tp>
        <v>1</v>
        <stp/>
        <stp>999e73b9-4e72-44aa-9bf2-08c8aeba7ce8</stp>
        <tr r="G48" s="1"/>
      </tp>
      <tp>
        <v>1</v>
        <stp/>
        <stp>8b6f1a54-e3f4-4a23-b4ff-5c1f5d14936a</stp>
        <tr r="G31" s="4"/>
      </tp>
    </main>
    <main first="rtdsrv.4d0052b8a95742c6a15f6fa4fe5ede69">
      <tp>
        <v>1</v>
        <stp/>
        <stp>1b61cf71-f764-4b64-905d-3634217a5ce9</stp>
        <tr r="G42" s="4"/>
      </tp>
    </main>
    <main first="rtdsrv.4d0052b8a95742c6a15f6fa4fe5ede69">
      <tp>
        <v>1</v>
        <stp/>
        <stp>294b4d63-9edc-4184-aa8e-819fadfcb522</stp>
        <tr r="G19" s="4"/>
      </tp>
      <tp>
        <v>1</v>
        <stp/>
        <stp>53c35579-790e-41c5-843a-fcaaddf1885e</stp>
        <tr r="G30" s="1"/>
      </tp>
    </main>
    <main first="rtdsrv.4d0052b8a95742c6a15f6fa4fe5ede69">
      <tp>
        <v>1</v>
        <stp/>
        <stp>c74fdf9f-64a9-42df-96df-8da3f018b95d</stp>
        <tr r="G29" s="4"/>
      </tp>
    </main>
    <main first="rtdsrv.4d0052b8a95742c6a15f6fa4fe5ede69">
      <tp>
        <v>1</v>
        <stp/>
        <stp>cf45dac4-f22e-46d9-87ac-f4d4bcfddf36</stp>
        <tr r="G51" s="1"/>
      </tp>
    </main>
    <main first="rtdsrv.4d0052b8a95742c6a15f6fa4fe5ede69">
      <tp>
        <v>1</v>
        <stp/>
        <stp>ce96b86c-95a4-4f56-b840-1c95b8336520</stp>
        <tr r="G57" s="4"/>
      </tp>
    </main>
    <main first="rtdsrv.4d0052b8a95742c6a15f6fa4fe5ede69">
      <tp>
        <v>1</v>
        <stp/>
        <stp>a5f8b11b-42cd-4e13-b32c-d901ec028c5c</stp>
        <tr r="G23" s="4"/>
      </tp>
    </main>
    <main first="rtdsrv.4d0052b8a95742c6a15f6fa4fe5ede69">
      <tp>
        <v>2</v>
        <stp/>
        <stp>7f1ba27b-53e4-4b7e-a782-0853694564bd</stp>
        <tr r="H6" s="2"/>
      </tp>
      <tp>
        <v>1</v>
        <stp/>
        <stp>0217233c-e4cc-418a-bbb6-9ed0c2667971</stp>
        <tr r="G52" s="1"/>
      </tp>
      <tp>
        <v>1</v>
        <stp/>
        <stp>c889e564-cfaa-4c9a-9b0f-fa586e6ca1a7</stp>
        <tr r="G33" s="1"/>
      </tp>
    </main>
    <main first="rtdsrv.4d0052b8a95742c6a15f6fa4fe5ede69">
      <tp>
        <v>1</v>
        <stp/>
        <stp>4646bd6e-bd49-4737-8f15-d3f6690f864c</stp>
        <tr r="G42" s="1"/>
      </tp>
      <tp>
        <v>1</v>
        <stp/>
        <stp>02805fa5-347c-4a4c-859b-f0b5332c45f5</stp>
        <tr r="G46" s="1"/>
      </tp>
      <tp>
        <v>1</v>
        <stp/>
        <stp>91771e1e-9de6-41fd-8441-1581b3cae7fb</stp>
        <tr r="G50" s="1"/>
      </tp>
      <tp>
        <v>1</v>
        <stp/>
        <stp>45919176-eaa4-41e9-ae69-145ab3addeba</stp>
        <tr r="G37" s="4"/>
      </tp>
    </main>
    <main first="rtdsrv.4d0052b8a95742c6a15f6fa4fe5ede69">
      <tp>
        <v>1</v>
        <stp/>
        <stp>736da762-5192-4140-ac9d-5e80acdbb289</stp>
        <tr r="G34" s="1"/>
      </tp>
      <tp>
        <v>1</v>
        <stp/>
        <stp>0d295b6a-26e9-4909-aecc-d0053e431683</stp>
        <tr r="G32" s="1"/>
      </tp>
    </main>
    <main first="rtdsrv.4d0052b8a95742c6a15f6fa4fe5ede69">
      <tp>
        <v>1</v>
        <stp/>
        <stp>b0a4f77f-f6ab-4c4d-8a7b-ac72ceb75904</stp>
        <tr r="G26" s="4"/>
      </tp>
      <tp>
        <v>1</v>
        <stp/>
        <stp>20c7e7a9-8c6f-4062-b9a7-eed5f17025de</stp>
        <tr r="G22" s="4"/>
      </tp>
    </main>
    <main first="rtdsrv.4d0052b8a95742c6a15f6fa4fe5ede69">
      <tp>
        <v>1</v>
        <stp/>
        <stp>83350920-cda7-4980-9abc-220e374c8375</stp>
        <tr r="G43" s="4"/>
      </tp>
      <tp>
        <v>1</v>
        <stp/>
        <stp>dfd99da8-a579-4632-9b75-0b7ac886f185</stp>
        <tr r="G34" s="4"/>
      </tp>
      <tp>
        <v>1</v>
        <stp/>
        <stp>c6d48c6d-0904-4c4a-99b1-99e4aac1803a</stp>
        <tr r="G44" s="1"/>
      </tp>
      <tp>
        <v>1</v>
        <stp/>
        <stp>cdc845c4-7ae1-4c39-903b-d5d55d7cd351</stp>
        <tr r="G55" s="4"/>
      </tp>
    </main>
    <main first="rtdsrv.4d0052b8a95742c6a15f6fa4fe5ede69">
      <tp>
        <v>1</v>
        <stp/>
        <stp>6c0392bc-a65f-40b4-99c5-cba623987800</stp>
        <tr r="F6" s="1"/>
      </tp>
    </main>
    <main first="rtdsrv.4d0052b8a95742c6a15f6fa4fe5ede69">
      <tp>
        <v>1</v>
        <stp/>
        <stp>dca6c031-6ce2-45b7-8756-8c148817433f</stp>
        <tr r="G46" s="4"/>
      </tp>
    </main>
    <main first="rtdsrv.4d0052b8a95742c6a15f6fa4fe5ede69">
      <tp>
        <v>1</v>
        <stp/>
        <stp>9cd863de-990f-4e1c-ab9f-a19e9903b4e6</stp>
        <tr r="G35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40.75" customWidth="1"/>
    <col min="17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JsonObject:094034A9-8F2E-4DB9-BBA4-B1B6A2AEA0DB</v>
      </c>
      <c r="K1" t="str">
        <f>EXLIBRIS_CONFIGURATION</f>
        <v>ExLibris.Core.ExLibrisConfiguration:6708C3D9-DE2D-47BE-9248-773006E26782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JsonObject:4E615853-43E8-41FC-83FD-467E8A931C27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113</v>
      </c>
      <c r="C7" s="6">
        <f>COUNTIF(AR19:AS21,FALSE)</f>
        <v>0</v>
      </c>
      <c r="L7" t="s">
        <v>74</v>
      </c>
      <c r="M7" t="s">
        <v>111</v>
      </c>
    </row>
    <row r="8" spans="2:28" x14ac:dyDescent="0.4">
      <c r="B8" s="6" t="s">
        <v>114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JsonObject:2E68A39D-A156-4D80-9D04-AF626B72E3DA</v>
      </c>
      <c r="P19" t="str" cm="1">
        <f t="array" ref="P19:Q27">_xll.ExLibris.Json.GetJsonKeyValues(F1,,3)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JsonObject:7798C1E6-BB2E-45F5-A0D0-276268D6B6BA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JsonObject:DD53F82E-862B-4076-A9BD-4C94E106716B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JsonObject:BD189982-E6DC-45DB-847E-1B555AAB0E0E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JsonObject:468191F2-CEAB-4D55-9615-D6D8FC66E157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JsonObject:DA744F30-C5A8-4DB8-8CD0-9A3A26BA7A41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JsonObject:3D0ED9D9-1E8A-4EEB-BA45-D0DBE00F1401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JsonObject:06B3FFA1-06C3-451D-9A1E-52B904CFCBEE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JsonObject:D3A31ED2-5743-47BC-A580-72FDB5020433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tabSelected="1"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JsonObject:BF1B6B6F-9EEE-4DC6-91F4-424E7E9A56F3</v>
      </c>
      <c r="K1" t="str">
        <f>EXLIBRIS_CONFIGURATION</f>
        <v>ExLibris.Core.ExLibrisConfiguration:6708C3D9-DE2D-47BE-9248-773006E26782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JsonObject:5FC16F5F-D218-4EEF-9A28-7A9B1B612039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117</v>
      </c>
      <c r="C7" s="6">
        <f>COUNTIF(AE34:AJ36,FALSE)</f>
        <v>0</v>
      </c>
      <c r="L7" t="s">
        <v>74</v>
      </c>
      <c r="M7" t="s">
        <v>115</v>
      </c>
    </row>
    <row r="8" spans="2:25" x14ac:dyDescent="0.4">
      <c r="B8" s="6" t="s">
        <v>118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119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JsonObject:7F17AEF2-D9B8-44C3-A108-FA6737E6A206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JsonObject:DA126573-71F3-4949-B529-2FCCDED3A4C0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_xll.ExLibris.Json.GetJsonValue($F$1,E32, EXLIBRIS_CONFIGURATION)</f>
        <v>10000000</v>
      </c>
      <c r="I32" t="str" cm="1">
        <f t="array" ref="I32">_xll.ExLibris.Json.GetJsonValue(F1,E6,EXLIBRIS_CONFIGURATION)</f>
        <v>JsonObject:7F17AEF2-D9B8-44C3-A108-FA6737E6A206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_xll.ExLibris.Json.GetJsonValue($F$1,E33, EXLIBRIS_CONFIGURATION)</f>
        <v>1.1000000000000001E-3</v>
      </c>
      <c r="I33" t="str" cm="1">
        <f t="array" ref="I33">_xll.ExLibris.Json.SeachJsonArrayElements(I32,I8,I11,EXLIBRIS_CONFIGURATION)</f>
        <v>JsonObject:2F58EA90-CBB0-43E2-89BE-AD985FEEAE8C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I34" t="str" cm="1">
        <f t="array" ref="I34:N36">_xll.ExLibris.Json.GetJsonTable(I33,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_xll.ExLibris.Json.GetJsonValue($F$1,E38, EXLIBRIS_CONFIGURATION)</f>
        <v>11000000</v>
      </c>
      <c r="I38" t="str" cm="1">
        <f t="array" ref="I38">_xll.ExLibris.Json.SeachJsonArrayElements(I32,J8,J11,EXLIBRIS_CONFIGURATION)</f>
        <v>JsonObject:520EC172-D3BC-49D2-AD96-04ADF51E0CE1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_xll.ExLibris.Json.GetJsonValue($F$1,E39, EXLIBRIS_CONFIGURATION)</f>
        <v>1.2000000000000001E-3</v>
      </c>
      <c r="I39" t="str" cm="1">
        <f t="array" ref="I39:N40">_xll.ExLibris.Json.GetJsonTable(I38,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I42" t="str" cm="1">
        <f t="array" ref="I42">_xll.ExLibris.Json.SeachJsonArrayElements(I32,J8,,EXLIBRIS_CONFIGURATION)</f>
        <v>JsonObject:FD2CC247-CD79-4796-8F03-426C6562740F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I43" t="str" cm="1">
        <f t="array" ref="I43">_xll.ExLibris.Json.GetJsonTable(I42, EXLIBRIS_CONFIGURATION)</f>
        <v/>
      </c>
      <c r="P43" t="s">
        <v>53</v>
      </c>
      <c r="Q43" t="s">
        <v>8</v>
      </c>
      <c r="R43" t="s">
        <v>8</v>
      </c>
      <c r="T43" t="s">
        <v>116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H26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8" x14ac:dyDescent="0.4">
      <c r="B2" t="s">
        <v>84</v>
      </c>
      <c r="C2" t="str" cm="1">
        <f t="array" ref="C2">_xll.ExLibris.LoadConfiguration(B6:C15)</f>
        <v>ExLibris.Core.ExLibrisConfiguration:6708C3D9-DE2D-47BE-9248-773006E26782</v>
      </c>
    </row>
    <row r="4" spans="2:8" s="4" customFormat="1" ht="18" x14ac:dyDescent="0.4">
      <c r="B4" s="4" t="s">
        <v>86</v>
      </c>
      <c r="E4" s="4" t="s">
        <v>85</v>
      </c>
    </row>
    <row r="6" spans="2:8" x14ac:dyDescent="0.4">
      <c r="B6" t="s">
        <v>76</v>
      </c>
      <c r="C6" t="s">
        <v>77</v>
      </c>
      <c r="E6" t="str" cm="1">
        <f t="array" ref="E6:F15">_xll.ExLibris.DumpObject(EXLIBRIS_CONFIGURATION)</f>
        <v>excel_value.excel_error_to</v>
      </c>
      <c r="F6" t="str">
        <v>Error</v>
      </c>
      <c r="H6" t="str" cm="1">
        <f t="array" ref="H6:H26">_xll.ExLibris.ObserveRegisteredObjects()</f>
        <v>JsonObject:4E615853-43E8-41FC-83FD-467E8A931C27</v>
      </c>
    </row>
    <row r="7" spans="2:8" x14ac:dyDescent="0.4">
      <c r="B7" t="s">
        <v>78</v>
      </c>
      <c r="C7" t="s">
        <v>79</v>
      </c>
      <c r="E7" t="str">
        <v>excel_value.excel_missing_to</v>
      </c>
      <c r="F7" t="str">
        <v>Null</v>
      </c>
      <c r="H7" t="str">
        <v>JsonObject:3D0ED9D9-1E8A-4EEB-BA45-D0DBE00F1401</v>
      </c>
    </row>
    <row r="8" spans="2:8" x14ac:dyDescent="0.4">
      <c r="B8" t="s">
        <v>80</v>
      </c>
      <c r="C8" t="s">
        <v>79</v>
      </c>
      <c r="E8" t="str">
        <v>excel_value.excel_empty_to</v>
      </c>
      <c r="F8" t="str">
        <v>Null</v>
      </c>
      <c r="H8" t="str">
        <v>JsonObject:468191F2-CEAB-4D55-9615-D6D8FC66E157</v>
      </c>
    </row>
    <row r="9" spans="2:8" x14ac:dyDescent="0.4">
      <c r="B9" t="s">
        <v>81</v>
      </c>
      <c r="C9" t="s">
        <v>79</v>
      </c>
      <c r="E9" t="str">
        <v>excel_value.excel_string_empty_to</v>
      </c>
      <c r="F9" t="str">
        <v>Null</v>
      </c>
      <c r="H9" t="str">
        <v>JsonObject:BD189982-E6DC-45DB-847E-1B555AAB0E0E</v>
      </c>
    </row>
    <row r="10" spans="2:8" x14ac:dyDescent="0.4">
      <c r="B10" t="s">
        <v>82</v>
      </c>
      <c r="C10" t="s">
        <v>87</v>
      </c>
      <c r="E10" t="str">
        <v>excel_value.null_to_excel</v>
      </c>
      <c r="F10" t="str">
        <v>StringEmpty</v>
      </c>
      <c r="H10" t="str">
        <v>JsonObject:7F17AEF2-D9B8-44C3-A108-FA6737E6A206</v>
      </c>
    </row>
    <row r="11" spans="2:8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  <c r="H11" t="str">
        <v>JsonObject:7798C1E6-BB2E-45F5-A0D0-276268D6B6BA</v>
      </c>
    </row>
    <row r="12" spans="2:8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  <c r="H12" t="str">
        <v>JsonObject:D3A31ED2-5743-47BC-A580-72FDB5020433</v>
      </c>
    </row>
    <row r="13" spans="2:8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  <c r="H13" t="str">
        <v>JsonObject:DA744F30-C5A8-4DB8-8CD0-9A3A26BA7A41</v>
      </c>
    </row>
    <row r="14" spans="2:8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  <c r="H14" t="str">
        <v>JsonObject:06B3FFA1-06C3-451D-9A1E-52B904CFCBEE</v>
      </c>
    </row>
    <row r="15" spans="2:8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  <c r="H15" t="str">
        <v>JsonObject:2F58EA90-CBB0-43E2-89BE-AD985FEEAE8C</v>
      </c>
    </row>
    <row r="16" spans="2:8" x14ac:dyDescent="0.4">
      <c r="H16" t="str">
        <v>JsonObject:DA126573-71F3-4949-B529-2FCCDED3A4C0</v>
      </c>
    </row>
    <row r="17" spans="8:8" x14ac:dyDescent="0.4">
      <c r="H17" t="str">
        <v>JsonObject:FD2CC247-CD79-4796-8F03-426C6562740F</v>
      </c>
    </row>
    <row r="18" spans="8:8" x14ac:dyDescent="0.4">
      <c r="H18" t="str">
        <v>JsonObject:2E68A39D-A156-4D80-9D04-AF626B72E3DA</v>
      </c>
    </row>
    <row r="19" spans="8:8" x14ac:dyDescent="0.4">
      <c r="H19" t="str">
        <v>ExLibris.Core.WebSockets.WebsocketClient:01F5B277-9E73-4634-9E37-43F25E0BF6AF</v>
      </c>
    </row>
    <row r="20" spans="8:8" x14ac:dyDescent="0.4">
      <c r="H20" t="str">
        <v>JsonObject:5FC16F5F-D218-4EEF-9A28-7A9B1B612039</v>
      </c>
    </row>
    <row r="21" spans="8:8" x14ac:dyDescent="0.4">
      <c r="H21" t="str">
        <v>JsonObject:520EC172-D3BC-49D2-AD96-04ADF51E0CE1</v>
      </c>
    </row>
    <row r="22" spans="8:8" x14ac:dyDescent="0.4">
      <c r="H22" t="str">
        <v>JsonObject:BF1B6B6F-9EEE-4DC6-91F4-424E7E9A56F3</v>
      </c>
    </row>
    <row r="23" spans="8:8" x14ac:dyDescent="0.4">
      <c r="H23" t="str">
        <v>ExLibris.Core.ExLibrisConfiguration:6708C3D9-DE2D-47BE-9248-773006E26782</v>
      </c>
    </row>
    <row r="24" spans="8:8" x14ac:dyDescent="0.4">
      <c r="H24" t="str">
        <v>JsonObject:094034A9-8F2E-4DB9-BBA4-B1B6A2AEA0DB</v>
      </c>
    </row>
    <row r="25" spans="8:8" x14ac:dyDescent="0.4">
      <c r="H25" t="str">
        <v>JsonObject:DD53F82E-862B-4076-A9BD-4C94E106716B</v>
      </c>
    </row>
    <row r="26" spans="8:8" x14ac:dyDescent="0.4">
      <c r="H26" t="str">
        <v>ExLibris.Core.WebSockets.WebsocketClient:387BB5DF-1F1C-489B-B0E3-E5546217F5ED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2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100</v>
      </c>
    </row>
    <row r="4" spans="2:5" x14ac:dyDescent="0.4">
      <c r="D4" t="s">
        <v>110</v>
      </c>
      <c r="E4" t="str" cm="1">
        <f t="array" ref="E4">_xll.ExLibris.WebSockets.OpenWebSocket("ws://localhost:10101",,D4)</f>
        <v>ExLibris.Core.WebSockets.WebsocketClient:387BB5DF-1F1C-489B-B0E3-E5546217F5ED</v>
      </c>
    </row>
    <row r="6" spans="2:5" x14ac:dyDescent="0.4">
      <c r="D6" t="s">
        <v>101</v>
      </c>
      <c r="E6" t="str" cm="1">
        <f t="array" ref="E6">_xll.ExLibris.WebSockets.ObserveWebSocketStatus(E4,1000)</f>
        <v>Connecting</v>
      </c>
    </row>
    <row r="7" spans="2:5" x14ac:dyDescent="0.4">
      <c r="D7" t="s">
        <v>102</v>
      </c>
      <c r="E7" t="e" cm="1">
        <f t="array" ref="E7">_xll.ExLibris.WebSockets.ObserveWebSocketMessage(E4)</f>
        <v>#N/A</v>
      </c>
    </row>
    <row r="9" spans="2:5" x14ac:dyDescent="0.4">
      <c r="D9" t="s">
        <v>103</v>
      </c>
      <c r="E9" t="e" cm="1">
        <f t="array" ref="E9">_xll.ExLibris.WebSockets.SendWebSocketMessage(E4,"test "&amp;D9,E6="Open")</f>
        <v>#N/A</v>
      </c>
    </row>
    <row r="10" spans="2:5" x14ac:dyDescent="0.4">
      <c r="D10" t="s">
        <v>104</v>
      </c>
      <c r="E10" t="e" cm="1">
        <f t="array" ref="E10">_xll.ExLibris.WebSockets.SendWebSocketMessage($E$4,"test next "&amp;D10,E9)</f>
        <v>#N/A</v>
      </c>
    </row>
    <row r="11" spans="2:5" x14ac:dyDescent="0.4">
      <c r="D11" t="s">
        <v>105</v>
      </c>
      <c r="E11" t="e" cm="1">
        <f t="array" ref="E11">_xll.ExLibris.WebSockets.SendWebSocketMessage($E$4,"test next "&amp;D11,E10)</f>
        <v>#N/A</v>
      </c>
    </row>
    <row r="12" spans="2:5" x14ac:dyDescent="0.4">
      <c r="D12" t="s">
        <v>106</v>
      </c>
      <c r="E12" t="e" cm="1">
        <f t="array" ref="E12">_xll.ExLibris.WebSockets.SendWebSocketMessage($E$4,"test next "&amp;D12,E11)</f>
        <v>#N/A</v>
      </c>
    </row>
    <row r="13" spans="2:5" x14ac:dyDescent="0.4">
      <c r="D13" t="s">
        <v>107</v>
      </c>
      <c r="E13" t="e" cm="1">
        <f t="array" ref="E13">_xll.ExLibris.WebSockets.SendWebSocketMessage($E$4,"test next "&amp;D13,E12)</f>
        <v>#N/A</v>
      </c>
    </row>
    <row r="14" spans="2:5" x14ac:dyDescent="0.4">
      <c r="D14" t="s">
        <v>108</v>
      </c>
      <c r="E14" t="e" cm="1">
        <f t="array" ref="E14">_xll.ExLibris.WebSockets.SendWebSocketMessage($E$4,"test next "&amp;D14,E13)</f>
        <v>#N/A</v>
      </c>
    </row>
    <row r="15" spans="2:5" x14ac:dyDescent="0.4">
      <c r="D15" t="s">
        <v>109</v>
      </c>
      <c r="E15" t="e" cm="1">
        <f t="array" ref="E15">_xll.ExLibris.WebSockets.SendWebSocketMessage($E$4,"test next "&amp;D15,E14)</f>
        <v>#N/A</v>
      </c>
    </row>
    <row r="17" spans="4:5" x14ac:dyDescent="0.4">
      <c r="D17" t="s">
        <v>112</v>
      </c>
      <c r="E17" t="str" cm="1">
        <f t="array" ref="E17">_xll.ExLibris.WebSockets.OpenWebSocket("ws://localhost:10101",,D17)</f>
        <v>ExLibris.Core.WebSockets.WebsocketClient:01F5B277-9E73-4634-9E37-43F25E0BF6AF</v>
      </c>
    </row>
    <row r="19" spans="4:5" x14ac:dyDescent="0.4">
      <c r="D19" t="s">
        <v>101</v>
      </c>
      <c r="E19" t="str" cm="1">
        <f t="array" ref="E19">_xll.ExLibris.WebSockets.ObserveWebSocketStatus(E17,1000)</f>
        <v>Open</v>
      </c>
    </row>
    <row r="20" spans="4:5" x14ac:dyDescent="0.4">
      <c r="D20" t="s">
        <v>102</v>
      </c>
      <c r="E20" t="str" cm="1">
        <f t="array" ref="E20">_xll.ExLibris.WebSockets.ObserveWebSocketMessage(E17)</f>
        <v>push_event 23:39:46</v>
      </c>
    </row>
    <row r="22" spans="4:5" x14ac:dyDescent="0.4">
      <c r="D22" t="s">
        <v>103</v>
      </c>
      <c r="E22" t="str" cm="1">
        <f t="array" ref="E22">_xll.ExLibris.WebSockets.SendWebSocketMessage(E17,"test "&amp;D22,E19="Open")</f>
        <v>message sent : 2021-09-21T11:37:55.121</v>
      </c>
    </row>
    <row r="23" spans="4:5" x14ac:dyDescent="0.4">
      <c r="D23" t="s">
        <v>104</v>
      </c>
      <c r="E23" t="str" cm="1">
        <f t="array" ref="E23">_xll.ExLibris.WebSockets.SendWebSocketMessage($E$4,"test next "&amp;D23,E22)</f>
        <v>message sent : 2021-09-21T11:37:55.138</v>
      </c>
    </row>
    <row r="24" spans="4:5" x14ac:dyDescent="0.4">
      <c r="D24" t="s">
        <v>105</v>
      </c>
      <c r="E24" t="str" cm="1">
        <f t="array" ref="E24">_xll.ExLibris.WebSockets.SendWebSocketMessage($E$4,"test next "&amp;D24,E23)</f>
        <v>message sent : 2021-09-21T11:37:55.154</v>
      </c>
    </row>
    <row r="25" spans="4:5" x14ac:dyDescent="0.4">
      <c r="D25" t="s">
        <v>106</v>
      </c>
      <c r="E25" t="str" cm="1">
        <f t="array" ref="E25">_xll.ExLibris.WebSockets.SendWebSocketMessage($E$4,"test next "&amp;D25,E24)</f>
        <v>message sent : 2021-09-21T11:37:55.169</v>
      </c>
    </row>
    <row r="26" spans="4:5" x14ac:dyDescent="0.4">
      <c r="D26" t="s">
        <v>107</v>
      </c>
      <c r="E26" t="str" cm="1">
        <f t="array" ref="E26">_xll.ExLibris.WebSockets.SendWebSocketMessage($E$4,"test next "&amp;D26,E25)</f>
        <v>message sent : 2021-09-21T11:37:55.182</v>
      </c>
    </row>
    <row r="27" spans="4:5" x14ac:dyDescent="0.4">
      <c r="D27" t="s">
        <v>108</v>
      </c>
      <c r="E27" t="str" cm="1">
        <f t="array" ref="E27">_xll.ExLibris.WebSockets.SendWebSocketMessage($E$4,"test next "&amp;D27,E26)</f>
        <v>message sent : 2021-09-21T11:37:55.198</v>
      </c>
    </row>
    <row r="28" spans="4:5" x14ac:dyDescent="0.4">
      <c r="D28" t="s">
        <v>109</v>
      </c>
      <c r="E28" t="str" cm="1">
        <f t="array" ref="E28">_xll.ExLibris.WebSockets.SendWebSocketMessage($E$4,"test next "&amp;D28,E27)</f>
        <v>message sent : 2021-09-21T11:37:55.234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1</vt:i4>
      </vt:variant>
    </vt:vector>
  </HeadingPairs>
  <TitlesOfParts>
    <vt:vector size="5" baseType="lpstr">
      <vt:lpstr>json_test</vt:lpstr>
      <vt:lpstr>json_w_conf_test</vt:lpstr>
      <vt:lpstr>configuration</vt:lpstr>
      <vt:lpstr>websocket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2021-09-21T14:39:51Z</dcterms:modified>
</cp:coreProperties>
</file>