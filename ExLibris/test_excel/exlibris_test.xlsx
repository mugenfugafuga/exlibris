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ED3341A6-6AAD-4BBE-B609-DD2555FEA126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3" i="5" l="1"/>
  <c r="D28" i="5"/>
  <c r="D23" i="5"/>
  <c r="D18" i="5"/>
  <c r="D13" i="5"/>
  <c r="D38" i="5" a="1"/>
  <c r="D43" i="5" a="1"/>
  <c r="H5" i="5" a="1"/>
  <c r="D19" i="5" a="1"/>
  <c r="D14" i="5" a="1"/>
  <c r="D38" i="5" l="1"/>
  <c r="D43" i="5"/>
  <c r="H5" i="5"/>
  <c r="D19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44" i="5" a="1"/>
  <c r="D21" i="5" a="1"/>
  <c r="D20" i="5" a="1"/>
  <c r="D16" i="5" a="1"/>
  <c r="D15" i="5" a="1"/>
  <c r="B5" i="5" a="1"/>
  <c r="E17" i="3" a="1"/>
  <c r="H6" i="2" a="1"/>
  <c r="E4" i="3" a="1"/>
  <c r="C2" i="2" a="1"/>
  <c r="D44" i="5" l="1"/>
  <c r="D20" i="5"/>
  <c r="D21" i="5"/>
  <c r="D15" i="5"/>
  <c r="D16" i="5"/>
  <c r="B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D45" i="5" a="1"/>
  <c r="D46" i="5" a="1"/>
  <c r="D34" i="5" a="1"/>
  <c r="D29" i="5" a="1"/>
  <c r="D24" i="5" a="1"/>
  <c r="D39" i="5" a="1"/>
  <c r="E20" i="3" a="1"/>
  <c r="E19" i="3" a="1"/>
  <c r="E6" i="3" a="1"/>
  <c r="E6" i="2" a="1"/>
  <c r="E7" i="3" a="1"/>
  <c r="D46" i="5" l="1"/>
  <c r="D45" i="5"/>
  <c r="D39" i="5"/>
  <c r="D24" i="5"/>
  <c r="D29" i="5"/>
  <c r="D34" i="5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41" i="5" a="1"/>
  <c r="D40" i="5" a="1"/>
  <c r="D30" i="5" a="1"/>
  <c r="D31" i="5" a="1"/>
  <c r="D35" i="5" a="1"/>
  <c r="D36" i="5" a="1"/>
  <c r="D25" i="5" a="1"/>
  <c r="D26" i="5" a="1"/>
  <c r="E22" i="3" a="1"/>
  <c r="E9" i="3" a="1"/>
  <c r="D36" i="5" l="1"/>
  <c r="D35" i="5"/>
  <c r="D31" i="5"/>
  <c r="D30" i="5"/>
  <c r="D40" i="5"/>
  <c r="D41" i="5"/>
  <c r="D26" i="5"/>
  <c r="D25" i="5"/>
  <c r="E22" i="3"/>
  <c r="E11" i="4"/>
  <c r="F12" i="4"/>
  <c r="G12" i="4" s="1"/>
  <c r="E9" i="3"/>
  <c r="E13" i="1"/>
  <c r="E10" i="3" a="1"/>
  <c r="F6" i="1" a="1"/>
  <c r="E23" i="3" a="1"/>
  <c r="F6" i="1" l="1"/>
  <c r="E23" i="3"/>
  <c r="F13" i="4"/>
  <c r="G13" i="4" s="1"/>
  <c r="E12" i="4"/>
  <c r="E10" i="3"/>
  <c r="E24" i="3" a="1"/>
  <c r="F1" i="1" a="1"/>
  <c r="E11" i="3" a="1"/>
  <c r="F1" i="1" l="1"/>
  <c r="E24" i="3"/>
  <c r="E13" i="4"/>
  <c r="F14" i="4"/>
  <c r="G14" i="4" s="1"/>
  <c r="E14" i="4" s="1"/>
  <c r="E11" i="3"/>
  <c r="E25" i="3" a="1"/>
  <c r="P19" i="1" a="1"/>
  <c r="F6" i="4" a="1"/>
  <c r="E19" i="1" a="1"/>
  <c r="M6" i="1" a="1"/>
  <c r="I19" i="1" a="1"/>
  <c r="E12" i="3" a="1"/>
  <c r="G35" i="1" a="1"/>
  <c r="G40" i="1" a="1"/>
  <c r="G41" i="1" a="1"/>
  <c r="G50" i="1" a="1"/>
  <c r="G33" i="1" a="1"/>
  <c r="G55" i="1" a="1"/>
  <c r="G52" i="1" a="1"/>
  <c r="G57" i="1" a="1"/>
  <c r="G43" i="1" a="1"/>
  <c r="G37" i="1" a="1"/>
  <c r="G32" i="1" a="1"/>
  <c r="G26" i="1" a="1"/>
  <c r="G46" i="1" a="1"/>
  <c r="G36" i="1" a="1"/>
  <c r="G24" i="1" a="1"/>
  <c r="G23" i="1" a="1"/>
  <c r="G28" i="1" a="1"/>
  <c r="G25" i="1" a="1"/>
  <c r="G49" i="1" a="1"/>
  <c r="G22" i="1" a="1"/>
  <c r="G30" i="1" a="1"/>
  <c r="G47" i="1" a="1"/>
  <c r="G20" i="1" a="1"/>
  <c r="G29" i="1" a="1"/>
  <c r="G56" i="1" a="1"/>
  <c r="G27" i="1" a="1"/>
  <c r="G54" i="1" a="1"/>
  <c r="G34" i="1" a="1"/>
  <c r="G38" i="1" a="1"/>
  <c r="G48" i="1" a="1"/>
  <c r="G31" i="1" a="1"/>
  <c r="G45" i="1" a="1"/>
  <c r="G42" i="1" a="1"/>
  <c r="G44" i="1" a="1"/>
  <c r="G39" i="1" a="1"/>
  <c r="G53" i="1" a="1"/>
  <c r="G51" i="1" a="1"/>
  <c r="G21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P29" i="1" a="1"/>
  <c r="I20" i="1" a="1"/>
  <c r="F1" i="4" a="1"/>
  <c r="I28" i="1" a="1"/>
  <c r="E26" i="3" a="1"/>
  <c r="G19" i="1" a="1"/>
  <c r="E13" i="3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E19" i="4" a="1"/>
  <c r="G24" i="4" a="1"/>
  <c r="G57" i="4" a="1"/>
  <c r="G23" i="4" a="1"/>
  <c r="G52" i="4" a="1"/>
  <c r="M6" i="4" a="1"/>
  <c r="G26" i="4" a="1"/>
  <c r="G42" i="4" a="1"/>
  <c r="P30" i="1" a="1"/>
  <c r="G53" i="4" a="1"/>
  <c r="G54" i="4" a="1"/>
  <c r="G41" i="4" a="1"/>
  <c r="G29" i="4" a="1"/>
  <c r="G22" i="4" a="1"/>
  <c r="G49" i="4" a="1"/>
  <c r="G31" i="4" a="1"/>
  <c r="G50" i="4" a="1"/>
  <c r="G38" i="4" a="1"/>
  <c r="G28" i="4" a="1"/>
  <c r="G56" i="4" a="1"/>
  <c r="G39" i="4" a="1"/>
  <c r="G46" i="4" a="1"/>
  <c r="E27" i="3" a="1"/>
  <c r="I32" i="4" a="1"/>
  <c r="G44" i="4" a="1"/>
  <c r="G34" i="4" a="1"/>
  <c r="G32" i="4" a="1"/>
  <c r="G25" i="4" a="1"/>
  <c r="G27" i="4" a="1"/>
  <c r="I19" i="4" a="1"/>
  <c r="G36" i="4" a="1"/>
  <c r="G43" i="4" a="1"/>
  <c r="G55" i="4" a="1"/>
  <c r="I29" i="1" a="1"/>
  <c r="G30" i="4" a="1"/>
  <c r="G33" i="4" a="1"/>
  <c r="G51" i="4" a="1"/>
  <c r="G45" i="4" a="1"/>
  <c r="G20" i="4" a="1"/>
  <c r="G35" i="4" a="1"/>
  <c r="G37" i="4" a="1"/>
  <c r="G48" i="4" a="1"/>
  <c r="G40" i="4" a="1"/>
  <c r="E14" i="3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I38" i="4" a="1"/>
  <c r="I42" i="4" a="1"/>
  <c r="I28" i="4" a="1"/>
  <c r="G47" i="4" a="1"/>
  <c r="I20" i="4" a="1"/>
  <c r="I33" i="4" a="1"/>
  <c r="E15" i="3" a="1"/>
  <c r="G21" i="4" a="1"/>
  <c r="G19" i="4" a="1"/>
  <c r="E28" i="3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29" i="4" a="1"/>
  <c r="I34" i="4" a="1"/>
  <c r="I39" i="4" a="1"/>
  <c r="I43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<sst xmlns="http://schemas.openxmlformats.org/spreadsheetml/2006/main" count="466" uniqueCount="154">
  <si>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</si>
  <si>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</si>
  <si>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</si>
  <si>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</si>
  <si>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</si>
  <si>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</si>
  <si>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</si>
  <si>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</si>
  <si>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</si>
  <si>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</si>
  <si>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</si>
  <si>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</si>
  <si>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</si>
  <si>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</si>
  <si>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</si>
  <si>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</si>
  <si>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</si>
  <si>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</si>
  <si>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</si>
  <si>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</si>
  <si>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</si>
  <si>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</si>
  <si>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</si>
  <si>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</si>
  <si>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</si>
  <si>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</si>
  <si>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</si>
  <si>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</si>
  <si>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</si>
  <si>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</si>
  <si>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</si>
  <si>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</si>
  <si>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</si>
  <si>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</si>
  <si>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</si>
  <si>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</si>
  <si>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</si>
  <si>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</si>
  <si>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</si>
  <si>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</si>
  <si>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</si>
  <si>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</si>
  <si>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</si>
  <si>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</si>
  <si>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</si>
  <si>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</si>
  <si>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</si>
  <si>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</si>
  <si>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</si>
  <si>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</si>
  <si>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</si>
  <si>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</si>
  <si>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</si>
  <si>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</si>
  <si>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</si>
  <si>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</si>
  <si>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</si>
  <si>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</si>
  <si>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</si>
  <si>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</si>
  <si>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</si>
  <si>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</si>
  <si>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</si>
  <si>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</si>
  <si>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</si>
  <si>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</si>
  <si>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</si>
  <si>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</si>
  <si>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</si>
  <si>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</si>
  <si>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</si>
  <si>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</si>
  <si>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</si>
  <si>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</si>
  <si>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</si>
  <si>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</si>
  <si>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</si>
  <si>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</si>
  <si>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</si>
  <si>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</si>
  <si>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</si>
  <si>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</si>
  <si>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</si>
  <si>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</si>
  <si>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</si>
  <si>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</si>
  <si>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</si>
  <si>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</si>
  <si>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</si>
  <si>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</si>
  <si>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</si>
  <si>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</si>
  <si>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</si>
  <si>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</si>
  <si>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</si>
  <si>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</si>
  <si>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</si>
  <si>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</si>
  <si>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</si>
  <si>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</si>
  <si>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</si>
  <si>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</si>
  <si>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</si>
  <si>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</si>
  <si>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</si>
  <si>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</si>
  <si>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</si>
  <si>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</si>
  <si>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</si>
  <si>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</si>
  <si>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</si>
  <si>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</si>
  <si>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</si>
  <si>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</si>
  <si>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</si>
  <si>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</si>
  <si>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</si>
  <si>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</si>
  <si>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</si>
  <si>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</si>
  <si>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</si>
  <si>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</si>
  <si>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</si>
  <si>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</si>
  <si>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</si>
  <si>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</si>
  <si>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</si>
  <si>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POST</t>
    <phoneticPr fontId="1"/>
  </si>
  <si>
    <t>docker run -p 80:80 kennethreitz/httpbin</t>
    <phoneticPr fontId="1"/>
  </si>
  <si>
    <t>user_agent</t>
  </si>
  <si>
    <t>user</t>
  </si>
  <si>
    <t>authorization.scheme</t>
  </si>
  <si>
    <t>authorization.parameter</t>
  </si>
  <si>
    <t>custom_headers.[0].name</t>
  </si>
  <si>
    <t>cname0</t>
  </si>
  <si>
    <t>custom_headers.[0].value</t>
  </si>
  <si>
    <t>value0</t>
  </si>
  <si>
    <t>Bearer</t>
    <phoneticPr fontId="1"/>
  </si>
  <si>
    <t>XXX11111222223333444444</t>
    <phoneticPr fontId="1"/>
  </si>
  <si>
    <t>authorization</t>
    <phoneticPr fontId="1"/>
  </si>
  <si>
    <t>strike</t>
    <phoneticPr fontId="1"/>
  </si>
  <si>
    <t>call_or_put</t>
    <phoneticPr fontId="1"/>
  </si>
  <si>
    <t>CALL</t>
    <phoneticPr fontId="1"/>
  </si>
  <si>
    <t>buy_or_sell</t>
    <phoneticPr fontId="1"/>
  </si>
  <si>
    <t>SELL</t>
    <phoneticPr fontId="1"/>
  </si>
  <si>
    <t>date</t>
    <phoneticPr fontId="1"/>
  </si>
  <si>
    <t>POST with JSON Text</t>
    <phoneticPr fontId="1"/>
  </si>
  <si>
    <t>POST with form value</t>
    <phoneticPr fontId="1"/>
  </si>
  <si>
    <t>POST with form value matrix</t>
    <phoneticPr fontId="1"/>
  </si>
  <si>
    <t>currency_pair.left</t>
    <phoneticPr fontId="1"/>
  </si>
  <si>
    <t>currency_pair.right</t>
    <phoneticPr fontId="1"/>
  </si>
  <si>
    <t>USD</t>
    <phoneticPr fontId="1"/>
  </si>
  <si>
    <t>JPY</t>
    <phoneticPr fontId="1"/>
  </si>
  <si>
    <t>GET with paramters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</si>
</sst>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715172083ef846f2b3a0d3770261dd70">
      <tp>
        <v>1</v>
        <stp/>
        <stp>5a8e47ce-e1cf-4dea-b9ab-3f36eb3b0eb9</stp>
        <tr r="I19" s="1"/>
      </tp>
    </main>
    <main first="rtdsrv.715172083ef846f2b3a0d3770261dd70">
      <tp>
        <v>1</v>
        <stp/>
        <stp>d0bf981b-b351-4c38-8d3e-7bec37053f2a</stp>
        <tr r="G37" s="4"/>
      </tp>
    </main>
    <main first="rtdsrv.715172083ef846f2b3a0d3770261dd70">
      <tp>
        <v>1</v>
        <stp/>
        <stp>9e7a22ec-27de-45c7-8d90-086b81c830f6</stp>
        <tr r="D29" s="5"/>
      </tp>
      <tp>
        <v>1</v>
        <stp/>
        <stp>5592acad-3198-478c-a535-be41c3a9b02c</stp>
        <tr r="G25" s="4"/>
      </tp>
    </main>
    <main first="rtdsrv.715172083ef846f2b3a0d3770261dd70">
      <tp>
        <v>1</v>
        <stp/>
        <stp>16facbd0-90f3-4d82-b424-114ed716883e</stp>
        <tr r="G45" s="4"/>
      </tp>
      <tp>
        <v>1</v>
        <stp/>
        <stp>c737d9b1-0f67-4d8b-91b5-e1f7a85ccd11</stp>
        <tr r="G27" s="4"/>
      </tp>
    </main>
    <main first="rtdsrv.715172083ef846f2b3a0d3770261dd70">
      <tp>
        <v>1</v>
        <stp/>
        <stp>0e03c83f-4a93-4b62-a422-b86e263d77e9</stp>
        <tr r="G23" s="4"/>
      </tp>
      <tp>
        <v>1</v>
        <stp/>
        <stp>065254f5-f077-4713-b24e-4f437a422464</stp>
        <tr r="B5" s="5"/>
      </tp>
      <tp>
        <v>1</v>
        <stp/>
        <stp>900d41fd-16e3-4887-bc79-d892aa5d39fe</stp>
        <tr r="G39" s="4"/>
      </tp>
      <tp>
        <v>1</v>
        <stp/>
        <stp>d1d39f3a-5ba9-4922-be00-c5e685455047</stp>
        <tr r="G47" s="1"/>
      </tp>
      <tp>
        <v>1</v>
        <stp/>
        <stp>c3d2101a-ad62-4edc-a16c-0ea38f505df2</stp>
        <tr r="G20" s="4"/>
      </tp>
    </main>
    <main first="rtdsrv.715172083ef846f2b3a0d3770261dd70">
      <tp>
        <v>1</v>
        <stp/>
        <stp>3e8dd540-0725-4134-ba64-b1093d6b3f52</stp>
        <tr r="G56" s="4"/>
      </tp>
    </main>
    <main first="rtdsrv.715172083ef846f2b3a0d3770261dd70">
      <tp>
        <v>1</v>
        <stp/>
        <stp>ab54fb84-b75e-4bcf-8538-579663c18b1d</stp>
        <tr r="I28" s="4"/>
      </tp>
      <tp>
        <v>1</v>
        <stp/>
        <stp>b6d87413-d335-414e-bf0b-f4d27f83e7ee</stp>
        <tr r="E17" s="3"/>
      </tp>
      <tp>
        <v>1</v>
        <stp/>
        <stp>4b770c73-fb90-4792-b541-7ab84d78a27f</stp>
        <tr r="G49" s="4"/>
      </tp>
    </main>
    <main first="rtdsrv.715172083ef846f2b3a0d3770261dd70">
      <tp>
        <v>1</v>
        <stp/>
        <stp>583941db-3d09-4715-9a0a-5f24e957b688</stp>
        <tr r="G56" s="1"/>
      </tp>
      <tp>
        <v>1</v>
        <stp/>
        <stp>fc274d3a-a1f0-45e2-a117-1dfca3a04dab</stp>
        <tr r="G19" s="4"/>
      </tp>
      <tp>
        <v>1</v>
        <stp/>
        <stp>db9120e1-0479-45c7-bd49-90380690b19a</stp>
        <tr r="G53" s="4"/>
      </tp>
      <tp>
        <v>1</v>
        <stp/>
        <stp>bd2c37d6-006d-4e87-9378-fe6e7df08535</stp>
        <tr r="G46" s="4"/>
      </tp>
    </main>
    <main first="rtdsrv.715172083ef846f2b3a0d3770261dd70">
      <tp>
        <v>1</v>
        <stp/>
        <stp>8dfedffb-315f-44a0-9b0d-1599ba439203</stp>
        <tr r="G55" s="4"/>
      </tp>
      <tp>
        <v>1</v>
        <stp/>
        <stp>3dfeae83-1e3f-44e9-8f16-5ede08424269</stp>
        <tr r="D44" s="5"/>
      </tp>
      <tp>
        <v>1</v>
        <stp/>
        <stp>ba0b20b8-e897-41a1-8b4a-81132cbec44b</stp>
        <tr r="I42" s="4"/>
      </tp>
      <tp>
        <v>1</v>
        <stp/>
        <stp>db819835-a0cb-401f-92d1-5e78c213d9ad</stp>
        <tr r="G21" s="1"/>
      </tp>
    </main>
    <main first="rtdsrv.715172083ef846f2b3a0d3770261dd70">
      <tp>
        <v>1</v>
        <stp/>
        <stp>686f32e2-1792-45c3-b75d-8fc0e4a1c8fb</stp>
        <tr r="E4" s="3"/>
      </tp>
    </main>
    <main first="rtdsrv.715172083ef846f2b3a0d3770261dd70">
      <tp>
        <v>1</v>
        <stp/>
        <stp>02d622f2-d369-418f-80ba-da855b7ce7ed</stp>
        <tr r="G52" s="1"/>
      </tp>
      <tp>
        <v>1</v>
        <stp/>
        <stp>84a2fff7-49a6-4380-ae71-0a6663f53ff2</stp>
        <tr r="G24" s="1"/>
      </tp>
      <tp>
        <v>1</v>
        <stp/>
        <stp>a8f33772-9732-432c-9068-d072ce285cb3</stp>
        <tr r="G37" s="1"/>
      </tp>
      <tp>
        <v>1</v>
        <stp/>
        <stp>097c53bb-4ecc-4466-984c-d8ee1f4d9798</stp>
        <tr r="G21" s="4"/>
      </tp>
      <tp>
        <v>1</v>
        <stp/>
        <stp>2fc3f3d6-f7a2-4b0a-a7ef-71cbbebc66ba</stp>
        <tr r="G25" s="1"/>
      </tp>
      <tp>
        <v>1</v>
        <stp/>
        <stp>41f3fc70-7662-4731-9e75-f49d26cc64c9</stp>
        <tr r="G52" s="4"/>
      </tp>
    </main>
    <main first="rtdsrv.715172083ef846f2b3a0d3770261dd70">
      <tp>
        <v>1</v>
        <stp/>
        <stp>de1ad243-453a-45ee-acfe-8fb231cf6b10</stp>
        <tr r="G36" s="4"/>
      </tp>
      <tp>
        <v>1</v>
        <stp/>
        <stp>399dd294-846d-4f3e-91b6-b3bd2e3ae8bb</stp>
        <tr r="D19" s="5"/>
      </tp>
      <tp>
        <v>1</v>
        <stp/>
        <stp>42d95ce8-ae9e-4438-9cc4-9a9123251c76</stp>
        <tr r="G44" s="4"/>
      </tp>
      <tp>
        <v>1</v>
        <stp/>
        <stp>a10810cc-cb03-481d-a49f-54ed720b5cc9</stp>
        <tr r="G26" s="1"/>
      </tp>
      <tp>
        <v>1</v>
        <stp/>
        <stp>0e9a7824-7af2-4c92-b766-7757af3aedd8</stp>
        <tr r="G35" s="4"/>
      </tp>
      <tp>
        <v>1</v>
        <stp/>
        <stp>e87b015a-736b-4b83-a85c-fdf1c1e516df</stp>
        <tr r="G28" s="1"/>
      </tp>
      <tp>
        <v>1</v>
        <stp/>
        <stp>29bc4e81-a47a-4555-82a5-c0cf0c33dac6</stp>
        <tr r="G26" s="4"/>
      </tp>
    </main>
    <main first="rtdsrv.715172083ef846f2b3a0d3770261dd70">
      <tp>
        <v>1</v>
        <stp/>
        <stp>bd2de8e3-d418-4265-80e4-e5af7d29bbe2</stp>
        <tr r="G27" s="1"/>
      </tp>
    </main>
    <main first="rtdsrv.715172083ef846f2b3a0d3770261dd70">
      <tp>
        <v>1</v>
        <stp/>
        <stp>28292659-d911-48cf-ac8f-a2d059439f20</stp>
        <tr r="G24" s="4"/>
      </tp>
    </main>
    <main first="rtdsrv.715172083ef846f2b3a0d3770261dd70">
      <tp>
        <v>1</v>
        <stp/>
        <stp>1bc24da6-9e95-462b-ba7e-e71f1b0c8f6b</stp>
        <tr r="G51" s="1"/>
      </tp>
    </main>
    <main first="rtdsrv.715172083ef846f2b3a0d3770261dd70">
      <tp>
        <v>1</v>
        <stp/>
        <stp>db4b36dc-708f-47f5-9680-c080666e4162</stp>
        <tr r="F6" s="1"/>
      </tp>
    </main>
    <main first="rtdsrv.715172083ef846f2b3a0d3770261dd70">
      <tp>
        <v>1</v>
        <stp/>
        <stp>757c16e9-e69d-4238-80d5-4aac67413270</stp>
        <tr r="G49" s="1"/>
      </tp>
      <tp>
        <v>1</v>
        <stp/>
        <stp>527a8d23-971f-4aa4-979e-722df81306ad</stp>
        <tr r="G42" s="4"/>
      </tp>
      <tp>
        <v>1</v>
        <stp/>
        <stp>c5f408df-29ef-445a-9ec4-0f617a966d77</stp>
        <tr r="H5" s="5"/>
      </tp>
      <tp>
        <v>1</v>
        <stp/>
        <stp>0f74d9e9-7ef9-444c-96b4-7b55eceaa63c</stp>
        <tr r="G33" s="1"/>
      </tp>
    </main>
    <main first="rtdsrv.715172083ef846f2b3a0d3770261dd70">
      <tp>
        <v>-2</v>
        <stp/>
        <stp>075467c3-d93f-48b9-be75-fc269b525400</stp>
        <tr r="D25" s="5"/>
      </tp>
      <tp>
        <v>1</v>
        <stp/>
        <stp>ead3cfbb-b76d-43ec-889c-4c3c712fd236</stp>
        <tr r="I28" s="1"/>
      </tp>
      <tp>
        <v>1</v>
        <stp/>
        <stp>f3316072-8f8f-43b1-a807-3310e45ecb5d</stp>
        <tr r="G35" s="1"/>
      </tp>
      <tp>
        <v>1</v>
        <stp/>
        <stp>67f45a7b-6293-4ddb-a7c1-1596494691db</stp>
        <tr r="G55" s="1"/>
      </tp>
      <tp>
        <v>1</v>
        <stp/>
        <stp>8aaa15e2-c141-429e-8c5b-c8a8542c678a</stp>
        <tr r="G19" s="1"/>
      </tp>
    </main>
    <main first="rtdsrv.715172083ef846f2b3a0d3770261dd70">
      <tp>
        <v>1</v>
        <stp/>
        <stp>21007b9b-a908-4244-a890-3da1dc925eb2</stp>
        <tr r="G29" s="4"/>
      </tp>
    </main>
    <main first="rtdsrv.715172083ef846f2b3a0d3770261dd70">
      <tp>
        <v>1</v>
        <stp/>
        <stp>ad7fd4f3-0aa0-4c0f-9b52-284d9d82c2b1</stp>
        <tr r="G53" s="1"/>
      </tp>
      <tp>
        <v>1</v>
        <stp/>
        <stp>e7b9d0e2-b25f-45c1-9bec-6778b86c1c8b</stp>
        <tr r="G45" s="1"/>
      </tp>
    </main>
    <main first="rtdsrv.715172083ef846f2b3a0d3770261dd70">
      <tp>
        <v>1</v>
        <stp/>
        <stp>477dc137-5659-43e6-8755-739f5c863b9f</stp>
        <tr r="G23" s="1"/>
      </tp>
      <tp>
        <v>1</v>
        <stp/>
        <stp>35327032-5dfe-489b-b430-b7e4edc0e0b3</stp>
        <tr r="I33" s="4"/>
      </tp>
      <tp>
        <v>1</v>
        <stp/>
        <stp>dae88c12-df8e-48e3-8db2-e145fb6dcf2e</stp>
        <tr r="E7" s="3"/>
      </tp>
    </main>
    <main first="rtdsrv.715172083ef846f2b3a0d3770261dd70">
      <tp>
        <v>1</v>
        <stp/>
        <stp>1af5c193-eac9-4058-9f95-91c2a0c5d7d2</stp>
        <tr r="F6" s="4"/>
      </tp>
    </main>
    <main first="rtdsrv.715172083ef846f2b3a0d3770261dd70">
      <tp>
        <v>1</v>
        <stp/>
        <stp>c090e7ff-76c5-410e-8260-feb654045124</stp>
        <tr r="G46" s="1"/>
      </tp>
      <tp>
        <v>1</v>
        <stp/>
        <stp>6851b99b-ac7a-40dd-b7c0-8b34823534a3</stp>
        <tr r="G20" s="1"/>
      </tp>
      <tp>
        <v>1</v>
        <stp/>
        <stp>c0dce5b2-6429-419f-b390-8843da44063a</stp>
        <tr r="D24" s="5"/>
      </tp>
    </main>
    <main first="rtdsrv.715172083ef846f2b3a0d3770261dd70">
      <tp>
        <v>-2</v>
        <stp/>
        <stp>08fc1979-6c59-4375-8bba-a5c5bb4fb47b</stp>
        <tr r="D35" s="5"/>
      </tp>
      <tp>
        <v>3</v>
        <stp/>
        <stp>2f5743d8-02d4-4fa2-b1a0-1d0497671f9b</stp>
        <tr r="E19" s="3"/>
      </tp>
    </main>
    <main first="rtdsrv.715172083ef846f2b3a0d3770261dd70">
      <tp>
        <v>1</v>
        <stp/>
        <stp>d8bf1e42-a58b-4d58-b8b0-e7c15f712798</stp>
        <tr r="P19" s="1"/>
      </tp>
      <tp>
        <v>1</v>
        <stp/>
        <stp>c2875cbb-ac5f-4c63-8b12-5eb00d14e348</stp>
        <tr r="G51" s="4"/>
      </tp>
      <tp>
        <v>1</v>
        <stp/>
        <stp>cb69fa29-02f2-4bc2-a084-69a3d217b238</stp>
        <tr r="G33" s="4"/>
      </tp>
    </main>
    <main first="rtdsrv.715172083ef846f2b3a0d3770261dd70">
      <tp>
        <v>1</v>
        <stp/>
        <stp>1008bf12-49a7-4cd3-9b21-7aa1038640b3</stp>
        <tr r="G34" s="1"/>
      </tp>
    </main>
    <main first="rtdsrv.715172083ef846f2b3a0d3770261dd70">
      <tp>
        <v>1</v>
        <stp/>
        <stp>71f21f45-8e67-4430-8a88-c73edd808520</stp>
        <tr r="G54" s="1"/>
      </tp>
    </main>
    <main first="rtdsrv.715172083ef846f2b3a0d3770261dd70">
      <tp>
        <v>1</v>
        <stp/>
        <stp>e27aa4e4-f855-44a3-b001-d478879dea29</stp>
        <tr r="G29" s="1"/>
      </tp>
      <tp>
        <v>-2</v>
        <stp/>
        <stp>b9fbc99b-3de0-4d5a-a464-e7edea3174a3</stp>
        <tr r="D29" s="5"/>
      </tp>
      <tp>
        <v>1</v>
        <stp/>
        <stp>a7c0f6ba-7b5c-403f-8a6a-addb5f8c0bb9</stp>
        <tr r="I19" s="4"/>
        <tr r="I32" s="4"/>
      </tp>
      <tp>
        <v>1</v>
        <stp/>
        <stp>865fdb49-4ffc-40a9-8ea7-92aca882446e</stp>
        <tr r="G40" s="4"/>
      </tp>
      <tp>
        <v>-2</v>
        <stp/>
        <stp>8bf057a2-2472-415e-bba7-29b1d966eeff</stp>
        <tr r="D26" s="5"/>
      </tp>
    </main>
    <main first="rtdsrv.715172083ef846f2b3a0d3770261dd70">
      <tp>
        <v>1</v>
        <stp/>
        <stp>211763fb-f17c-46e2-bab1-3a0a36d1eec8</stp>
        <tr r="G48" s="4"/>
      </tp>
    </main>
    <main first="rtdsrv.715172083ef846f2b3a0d3770261dd70">
      <tp>
        <v>1</v>
        <stp/>
        <stp>911208f9-89f4-4c1f-bc53-80bb51933ea9</stp>
        <tr r="G30" s="4"/>
      </tp>
      <tp>
        <v>1</v>
        <stp/>
        <stp>23b79e2b-f914-451d-9404-90f2ccc630ab</stp>
        <tr r="C2" s="2"/>
      </tp>
    </main>
    <main first="rtdsrv.715172083ef846f2b3a0d3770261dd70">
      <tp>
        <v>1</v>
        <stp/>
        <stp>f32d7546-175a-4895-8309-729dfe678b80</stp>
        <tr r="G30" s="1"/>
      </tp>
      <tp>
        <v>1</v>
        <stp/>
        <stp>9b9917a9-84f7-44de-9c78-d6ee396a8781</stp>
        <tr r="G48" s="1"/>
      </tp>
    </main>
    <main first="rtdsrv.715172083ef846f2b3a0d3770261dd70">
      <tp>
        <v>1</v>
        <stp/>
        <stp>c1ae62a3-510a-40f3-9cb8-caa0b6f547e2</stp>
        <tr r="E20" s="3"/>
      </tp>
      <tp>
        <v>3</v>
        <stp/>
        <stp>aee7d66e-b1fb-49fc-844c-7881a8cb8a10</stp>
        <tr r="E6" s="3"/>
      </tp>
    </main>
    <main first="rtdsrv.715172083ef846f2b3a0d3770261dd70">
      <tp>
        <v>1</v>
        <stp/>
        <stp>28631dfb-4f7e-4ace-b732-0941ac662caa</stp>
        <tr r="G50" s="4"/>
      </tp>
    </main>
    <main first="rtdsrv.715172083ef846f2b3a0d3770261dd70">
      <tp>
        <v>1</v>
        <stp/>
        <stp>70b6c35e-13ec-4b73-87a1-4138f7928bb2</stp>
        <tr r="F1" s="1"/>
      </tp>
      <tp>
        <v>1</v>
        <stp/>
        <stp>eee9e5f4-b7c8-48a6-a653-19d55459f8f3</stp>
        <tr r="G32" s="4"/>
      </tp>
    </main>
    <main first="rtdsrv.715172083ef846f2b3a0d3770261dd70">
      <tp>
        <v>1</v>
        <stp/>
        <stp>94b4d666-0439-49b7-89cd-f35ee724af09</stp>
        <tr r="G43" s="1"/>
      </tp>
      <tp>
        <v>1</v>
        <stp/>
        <stp>4a0c97bd-35df-4802-a3d1-d2a57023a53c</stp>
        <tr r="G39" s="1"/>
      </tp>
    </main>
    <main first="rtdsrv.715172083ef846f2b3a0d3770261dd70">
      <tp>
        <v>1</v>
        <stp/>
        <stp>6b164fb1-ebf2-459b-a383-e97de4e6025d</stp>
        <tr r="G43" s="4"/>
      </tp>
    </main>
    <main first="rtdsrv.715172083ef846f2b3a0d3770261dd70">
      <tp>
        <v>1</v>
        <stp/>
        <stp>06c279a1-5b7d-4802-b818-cad4d16aec28</stp>
        <tr r="P29" s="1"/>
      </tp>
      <tp>
        <v>1</v>
        <stp/>
        <stp>46d0b14c-a671-4598-aef6-f1d87b80aa55</stp>
        <tr r="G44" s="1"/>
      </tp>
    </main>
    <main first="rtdsrv.715172083ef846f2b3a0d3770261dd70">
      <tp>
        <v>1</v>
        <stp/>
        <stp>e2a45b87-79e5-4b56-bdd1-5b4ea8560eff</stp>
        <tr r="G31" s="4"/>
      </tp>
      <tp>
        <v>1</v>
        <stp/>
        <stp>c548b798-bd83-4faf-bb90-29d11986e5f9</stp>
        <tr r="G54" s="4"/>
      </tp>
      <tp>
        <v>1</v>
        <stp/>
        <stp>9f264711-5a48-4efe-866c-283f7a8c5e57</stp>
        <tr r="G28" s="4"/>
      </tp>
    </main>
    <main first="rtdsrv.715172083ef846f2b3a0d3770261dd70">
      <tp>
        <v>1</v>
        <stp/>
        <stp>b2f999d2-4d6b-4342-9e66-94a2049b60f1</stp>
        <tr r="G42" s="1"/>
      </tp>
      <tp>
        <v>1</v>
        <stp/>
        <stp>c8580ff9-c30b-4d66-9bda-77d9d1213b4b</stp>
        <tr r="D14" s="5"/>
      </tp>
      <tp>
        <v>1</v>
        <stp/>
        <stp>7a19ea5c-f775-4747-971d-70382b57f97e</stp>
        <tr r="G38" s="1"/>
      </tp>
      <tp>
        <v>1</v>
        <stp/>
        <stp>948cf994-3ffc-4ada-9b8a-1845ee078294</stp>
        <tr r="G32" s="1"/>
      </tp>
    </main>
    <main first="rtdsrv.715172083ef846f2b3a0d3770261dd70">
      <tp>
        <v>1</v>
        <stp/>
        <stp>5e7ed129-ce19-4f8a-b486-dde984ae9667</stp>
        <tr r="G41" s="4"/>
      </tp>
    </main>
    <main first="rtdsrv.715172083ef846f2b3a0d3770261dd70">
      <tp>
        <v>1</v>
        <stp/>
        <stp>6e2f61ae-d9a0-45c3-b5be-8f5b992b97f6</stp>
        <tr r="G47" s="4"/>
      </tp>
      <tp>
        <v>1</v>
        <stp/>
        <stp>aa52c82e-1ae0-4da1-954d-9ab6ba094d26</stp>
        <tr r="G41" s="1"/>
      </tp>
      <tp>
        <v>1</v>
        <stp/>
        <stp>7c05ce77-fbba-43de-b392-a6c36547019e</stp>
        <tr r="D39" s="5"/>
      </tp>
      <tp>
        <v>1</v>
        <stp/>
        <stp>e92c9ac5-18ab-47a3-8c54-8c5fddc23f17</stp>
        <tr r="F1" s="4"/>
      </tp>
    </main>
    <main first="rtdsrv.715172083ef846f2b3a0d3770261dd70">
      <tp>
        <v>1</v>
        <stp/>
        <stp>e1bf9a72-94f8-4a50-9a5c-8b6032315222</stp>
        <tr r="G40" s="1"/>
      </tp>
      <tp>
        <v>1</v>
        <stp/>
        <stp>747a2b3f-f6a0-4639-a74a-f55d2426a281</stp>
        <tr r="G34" s="4"/>
      </tp>
      <tp>
        <v>1</v>
        <stp/>
        <stp>9079661c-8b02-4f7b-8855-0f1cd646d734</stp>
        <tr r="G31" s="1"/>
      </tp>
      <tp>
        <v>-2</v>
        <stp/>
        <stp>d3c99c4a-3327-4b51-89e6-980d188168cd</stp>
        <tr r="D30" s="5"/>
      </tp>
    </main>
    <main first="rtdsrv.715172083ef846f2b3a0d3770261dd70">
      <tp>
        <v>1</v>
        <stp/>
        <stp>a110c201-5330-4f99-8c25-d32dbe2dbd7e</stp>
        <tr r="G57" s="1"/>
      </tp>
      <tp>
        <v>1</v>
        <stp/>
        <stp>a4705bfa-9c6c-41ca-b121-04e392ac256f</stp>
        <tr r="G22" s="1"/>
      </tp>
      <tp>
        <v>1</v>
        <stp/>
        <stp>e52a635a-af84-4d76-a2df-f0416890c2c9</stp>
        <tr r="G22" s="4"/>
      </tp>
    </main>
    <main first="rtdsrv.715172083ef846f2b3a0d3770261dd70">
      <tp>
        <v>1</v>
        <stp/>
        <stp>c9722c70-f926-474c-925f-9eb0844ac4dc</stp>
        <tr r="G50" s="1"/>
      </tp>
    </main>
    <main first="rtdsrv.715172083ef846f2b3a0d3770261dd70">
      <tp>
        <v>1</v>
        <stp/>
        <stp>abe7b13c-2801-4ea3-b8b8-504e78a0a46a</stp>
        <tr r="G38" s="4"/>
      </tp>
      <tp>
        <v>1</v>
        <stp/>
        <stp>d0ddd818-fe4d-42f3-a397-3cf4b92572e4</stp>
        <tr r="G57" s="4"/>
      </tp>
    </main>
    <main first="rtdsrv.715172083ef846f2b3a0d3770261dd70">
      <tp>
        <v>1</v>
        <stp/>
        <stp>78e3c070-b35c-4815-9d3d-221b1ae6a302</stp>
        <tr r="I38" s="4"/>
      </tp>
      <tp>
        <v>1</v>
        <stp/>
        <stp>91e10d87-870c-4a81-90d9-13d3fe2b8ba1</stp>
        <tr r="G36" s="1"/>
      </tp>
    </main>
    <main first="rtdsrv.715172083ef846f2b3a0d3770261dd70">
      <tp>
        <v>1</v>
        <stp/>
        <stp>9d4f5084-52f3-4799-9038-523acae305d5</stp>
        <tr r="D34" s="5"/>
      </tp>
    </main>
    <main first="rtdsrv.715172083ef846f2b3a0d3770261dd70">
      <tp>
        <v>1</v>
        <stp/>
        <stp>b897ea42-4091-4c8e-b9c4-7b1e96a9b23c</stp>
        <tr r="H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>
      <selection activeCell="M6" sqref="M6"/>
    </sheetView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JsonObject:E0DD5DDB-B5FB-4389-8F80-54D0F90266A7</v>
      </c>
      <c r="K1" t="str">
        <f>EXLIBRIS_CONFIGURATION</f>
        <v>ExLibris.Core.ExLibrisConfiguration:47719283-CB43-4251-B8CA-CB7D9B31A193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JsonObject:E47A3B99-8212-4916-B3B2-7C20A381F4D7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JsonObject:F4BE18BD-62B7-4913-A97B-57557F1CE16E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JsonObject:8A4B1B0E-9709-48DF-BF66-9A5A8100BA4D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JsonObject:4A0E2185-CFCE-47BA-A1CC-32AECBFE911E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JsonObject:33BD03D5-8984-47D4-BA75-A41296E38A44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JsonObject:9FB881AC-2B9F-4157-870A-0A9F6C0F0C06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JsonObject:15BF1265-24CC-4893-88BB-C55CE4282635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JsonObject:20CA8633-0338-49B8-9D40-39603E181DB0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JsonObject:A88B251A-DA8E-4378-85D5-D4E879AC4138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JsonObject:CE9D27EA-8CFB-438F-A1E9-BD2F828AE534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JsonObject:58D1CE07-2691-4192-A358-0B3E25FBB6FB</v>
      </c>
      <c r="K1" t="str">
        <f>EXLIBRIS_CONFIGURATION</f>
        <v>ExLibris.Core.ExLibrisConfiguration:47719283-CB43-4251-B8CA-CB7D9B31A193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JsonObject:8DD283EC-79BB-44C9-ADAF-E9F2631733F6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JsonObject:6E5FC02B-D71D-44BE-ACE5-2B3838094A9B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JsonObject:827233F7-46B4-4CE5-AFCD-A4C67DF6A062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JsonObject:6E5FC02B-D71D-44BE-ACE5-2B3838094A9B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JsonObject:1A3A957D-30A7-477D-9DFB-0D79E86B82DF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JsonObject:F8F749C9-32D6-4E59-894D-60BCF488318B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JsonObject:49D97CAF-34AE-4CFD-B31F-BF7D56AF625A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ExLibris.Core.ExLibrisConfiguration:47719283-CB43-4251-B8CA-CB7D9B31A193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e" cm="1">
        <f t="array" ref="H6">_xll.ExLibris.ObserveRegisteredObjects()</f>
        <v>#N/A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ExLibris.Core.WebSockets.WebsocketClient:74D08AE3-E532-4AC0-B014-7AB6F74B3DDA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ExLibris.Core.WebSockets.WebsocketClient:1BDAAFE4-B386-4271-902D-A858B306B46D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I46"/>
  <sheetViews>
    <sheetView tabSelected="1" workbookViewId="0"/>
  </sheetViews>
  <sheetFormatPr defaultRowHeight="18.75" x14ac:dyDescent="0.4"/>
  <cols>
    <col min="2" max="2" width="26.5" customWidth="1"/>
    <col min="4" max="4" width="9.375" bestFit="1" customWidth="1"/>
    <col min="8" max="8" width="16.75" customWidth="1"/>
    <col min="9" max="9" width="10.25" bestFit="1" customWidth="1"/>
  </cols>
  <sheetData>
    <row r="2" spans="2:9" x14ac:dyDescent="0.4">
      <c r="B2" t="s">
        <v>120</v>
      </c>
      <c r="C2" s="7" t="s">
        <v>126</v>
      </c>
      <c r="E2" t="s">
        <v>128</v>
      </c>
    </row>
    <row r="3" spans="2:9" x14ac:dyDescent="0.4">
      <c r="C3" t="s">
        <v>125</v>
      </c>
    </row>
    <row r="5" spans="2:9" x14ac:dyDescent="0.4">
      <c r="B5" t="str" cm="1">
        <f t="array" ref="B5">_xll.ExLibris.WebAPIs.CreateHeaders(B6:C10)</f>
        <v>ExLibris.Core.WebAPIs.WebAPIHeaders:6110F1A6-CE46-4E5B-89E6-CA14EDB7E88C</v>
      </c>
      <c r="H5" t="str" cm="1">
        <f t="array" ref="H5">_xll.ExLibris.Json.CreateJsonObject(H6:I11)</f>
        <v>JsonObject:C9AB84F1-9458-4273-B16F-82D4BB86FAEC</v>
      </c>
    </row>
    <row r="6" spans="2:9" x14ac:dyDescent="0.4">
      <c r="B6" t="s">
        <v>129</v>
      </c>
      <c r="C6" t="s">
        <v>130</v>
      </c>
      <c r="H6" t="s">
        <v>149</v>
      </c>
      <c r="I6" t="s">
        <v>151</v>
      </c>
    </row>
    <row r="7" spans="2:9" x14ac:dyDescent="0.4">
      <c r="B7" t="s">
        <v>131</v>
      </c>
      <c r="C7" t="s">
        <v>137</v>
      </c>
      <c r="H7" t="s">
        <v>150</v>
      </c>
      <c r="I7" t="s">
        <v>152</v>
      </c>
    </row>
    <row r="8" spans="2:9" x14ac:dyDescent="0.4">
      <c r="B8" t="s">
        <v>132</v>
      </c>
      <c r="C8" t="s">
        <v>138</v>
      </c>
      <c r="H8" t="s">
        <v>140</v>
      </c>
      <c r="I8">
        <v>108.5</v>
      </c>
    </row>
    <row r="9" spans="2:9" x14ac:dyDescent="0.4">
      <c r="B9" t="s">
        <v>133</v>
      </c>
      <c r="C9" t="s">
        <v>134</v>
      </c>
      <c r="H9" t="s">
        <v>141</v>
      </c>
      <c r="I9" t="s">
        <v>142</v>
      </c>
    </row>
    <row r="10" spans="2:9" x14ac:dyDescent="0.4">
      <c r="B10" t="s">
        <v>135</v>
      </c>
      <c r="C10" t="s">
        <v>136</v>
      </c>
      <c r="H10" t="s">
        <v>143</v>
      </c>
      <c r="I10" t="s">
        <v>144</v>
      </c>
    </row>
    <row r="11" spans="2:9" x14ac:dyDescent="0.4">
      <c r="H11" t="s">
        <v>145</v>
      </c>
      <c r="I11" s="1">
        <v>44463</v>
      </c>
    </row>
    <row r="12" spans="2:9" x14ac:dyDescent="0.4">
      <c r="I12" s="1"/>
    </row>
    <row r="13" spans="2:9" x14ac:dyDescent="0.4">
      <c r="B13" t="s">
        <v>124</v>
      </c>
      <c r="C13" t="s">
        <v>123</v>
      </c>
      <c r="D13" t="str">
        <f>$C$2&amp;"get"</f>
        <v>http://localhost:80/get</v>
      </c>
    </row>
    <row r="14" spans="2:9" x14ac:dyDescent="0.4">
      <c r="C14" t="s">
        <v>121</v>
      </c>
      <c r="D14" t="str" cm="1">
        <f t="array" ref="D14">_xll.ExLibris.WebAPIs.GET(D13)</f>
        <v>ExLibris.Core.WebAPIs.Response:FD19BF72-CDE9-4960-B464-7C4589681B4D</v>
      </c>
    </row>
    <row r="15" spans="2:9" x14ac:dyDescent="0.4">
      <c r="C15" t="s">
        <v>101</v>
      </c>
      <c r="D15" cm="1">
        <f t="array" ref="D15">_xll.ExLibris.WebAPIs.WebAPIResponseStatus(D14,TRUE)</f>
        <v>200</v>
      </c>
    </row>
    <row r="16" spans="2:9" x14ac:dyDescent="0.4">
      <c r="C16" t="s">
        <v>122</v>
      </c>
      <c r="D16" t="str" cm="1">
        <f t="array" ref="D16">_xll.ExLibris.WebAPIs.WebAPIRequestContent(D14)</f>
        <v xml:space="preserve">{
  "args": {}, 
  "headers": {
    "Host": "localhost"
  }, 
  "origin": "172.17.0.1", 
  "url": "http://localhost/get"
}
</v>
      </c>
    </row>
    <row r="18" spans="2:4" x14ac:dyDescent="0.4">
      <c r="B18" t="s">
        <v>127</v>
      </c>
      <c r="C18" t="s">
        <v>123</v>
      </c>
      <c r="D18" t="str">
        <f>$C$2&amp;"post"</f>
        <v>http://localhost:80/post</v>
      </c>
    </row>
    <row r="19" spans="2:4" x14ac:dyDescent="0.4">
      <c r="C19" t="s">
        <v>121</v>
      </c>
      <c r="D19" t="str" cm="1">
        <f t="array" ref="D19">_xll.ExLibris.WebAPIs.POST(D18)</f>
        <v>ExLibris.Core.WebAPIs.Response:82CD81FB-03CE-4466-81E1-C726A64AB8D6</v>
      </c>
    </row>
    <row r="20" spans="2:4" x14ac:dyDescent="0.4">
      <c r="C20" t="s">
        <v>101</v>
      </c>
      <c r="D20" cm="1">
        <f t="array" ref="D20">_xll.ExLibris.WebAPIs.WebAPIResponseStatus(D19,TRUE)</f>
        <v>200</v>
      </c>
    </row>
    <row r="21" spans="2:4" x14ac:dyDescent="0.4">
      <c r="C21" t="s">
        <v>122</v>
      </c>
      <c r="D21" t="str" cm="1">
        <f t="array" ref="D21">_xll.ExLibris.WebAPIs.WebAPIRequestContent(D19)</f>
        <v xml:space="preserve">{
  "args": {}, 
  "data": "", 
  "files": {}, 
  "form": {}, 
  "headers": {
    "Content-Length": "0", 
    "Host": "localhost"
  }, 
  "json": null, 
  "origin": "172.17.0.1", 
  "url": "http://localhost/post"
}
</v>
      </c>
    </row>
    <row r="23" spans="2:4" x14ac:dyDescent="0.4">
      <c r="B23" t="s">
        <v>139</v>
      </c>
      <c r="C23" t="s">
        <v>123</v>
      </c>
      <c r="D23" t="str">
        <f>$C$2&amp;"bearer"</f>
        <v>http://localhost:80/bearer</v>
      </c>
    </row>
    <row r="24" spans="2:4" x14ac:dyDescent="0.4">
      <c r="C24" t="s">
        <v>121</v>
      </c>
      <c r="D24" t="str" cm="1">
        <f t="array" ref="D24">_xll.ExLibris.WebAPIs.GET(D23,$B$5)</f>
        <v>ExLibris.Core.WebAPIs.Response:FE471D1C-7E2B-4B42-BC1F-3B9BBE511C65</v>
      </c>
    </row>
    <row r="25" spans="2:4" x14ac:dyDescent="0.4">
      <c r="C25" t="s">
        <v>101</v>
      </c>
      <c r="D25" cm="1">
        <f t="array" ref="D25">_xll.ExLibris.WebAPIs.WebAPIResponseStatus(D24,TRUE)</f>
        <v>200</v>
      </c>
    </row>
    <row r="26" spans="2:4" x14ac:dyDescent="0.4">
      <c r="C26" t="s">
        <v>122</v>
      </c>
      <c r="D26" t="str" cm="1">
        <f t="array" ref="D26">_xll.ExLibris.WebAPIs.WebAPIRequestContent(D24)</f>
        <v xml:space="preserve">{
  "authenticated": true, 
  "token": "XXX11111222223333444444"
}
</v>
      </c>
    </row>
    <row r="28" spans="2:4" x14ac:dyDescent="0.4">
      <c r="B28" t="s">
        <v>146</v>
      </c>
      <c r="C28" t="s">
        <v>123</v>
      </c>
      <c r="D28" t="str">
        <f>$C$2&amp;"post"</f>
        <v>http://localhost:80/post</v>
      </c>
    </row>
    <row r="29" spans="2:4" x14ac:dyDescent="0.4">
      <c r="C29" t="s">
        <v>121</v>
      </c>
      <c r="D29" t="str" cm="1">
        <f t="array" ref="D29">_xll.ExLibris.WebAPIs.POST(D28,_xll.ExLibris.Json.ShowJsonText(H5),,$B$5)</f>
        <v>ExLibris.Core.WebAPIs.Response:6D18C681-2D41-45E4-A7CE-46F30256BB0D</v>
      </c>
    </row>
    <row r="30" spans="2:4" x14ac:dyDescent="0.4">
      <c r="C30" t="s">
        <v>101</v>
      </c>
      <c r="D30" cm="1">
        <f t="array" ref="D30">_xll.ExLibris.WebAPIs.WebAPIResponseStatus(D29,TRUE)</f>
        <v>200</v>
      </c>
    </row>
    <row r="31" spans="2:4" x14ac:dyDescent="0.4">
      <c r="C31" t="s">
        <v>122</v>
      </c>
      <c r="D31" t="str" cm="1">
        <f t="array" ref="D31">_xll.ExLibris.WebAPIs.WebAPIRequestContent(D29)</f>
        <v xml:space="preserve">{
  "args": {}, 
  "data": "{\"currency_pair\":{\"left\":\"USD\",\"right\":\"JPY\"},\"strike\":108.5,\"call_or_put\":\"CALL\",\"buy_or_sell\":\"SELL\",\"date\":44463}", 
  "files": {}, 
  "form": {}, 
  "headers": {
    "Authorization": "Bearer XXX11111222223333444444", 
    "Cname0": "value0", 
    "Content-Length": "116", 
    "Content-Type": "text/plain; charset=utf-8", 
    "Expect": "100-continue", 
    "Host": "localhost", 
    "User-Agent": "user"
  }, 
  "json": {
    "buy_or_sell": "SELL", 
    "call_or_put": "CALL", 
    "currency_pair": {
      "left": "USD", 
      "right": "JPY"
    }, 
    "date": 44463, 
    "strike": 108.5
  }, 
  "origin": "172.17.0.1", 
  "url": "http://localhost/post"
}
</v>
      </c>
    </row>
    <row r="33" spans="2:4" x14ac:dyDescent="0.4">
      <c r="B33" t="s">
        <v>147</v>
      </c>
      <c r="C33" t="s">
        <v>123</v>
      </c>
      <c r="D33" t="str">
        <f>$C$2&amp;"post"</f>
        <v>http://localhost:80/post</v>
      </c>
    </row>
    <row r="34" spans="2:4" x14ac:dyDescent="0.4">
      <c r="C34" t="s">
        <v>121</v>
      </c>
      <c r="D34" t="str" cm="1">
        <f t="array" ref="D34">_xll.ExLibris.WebAPIs.POST(D33,H5,TRUE,$B$5)</f>
        <v>ExLibris.Core.WebAPIs.Response:BCD4131E-A9F0-42D3-8B36-DD3117CCDE6E</v>
      </c>
    </row>
    <row r="35" spans="2:4" x14ac:dyDescent="0.4">
      <c r="C35" t="s">
        <v>101</v>
      </c>
      <c r="D35" cm="1">
        <f t="array" ref="D35">_xll.ExLibris.WebAPIs.WebAPIResponseStatus(D34,TRUE)</f>
        <v>200</v>
      </c>
    </row>
    <row r="36" spans="2:4" x14ac:dyDescent="0.4">
      <c r="C36" t="s">
        <v>122</v>
      </c>
      <c r="D36" t="str" cm="1">
        <f t="array" ref="D36">_xll.ExLibris.WebAPIs.WebAPIRequestContent(D34)</f>
        <v xml:space="preserve">{
  "args": {},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"http://localhost/post"
}
</v>
      </c>
    </row>
    <row r="38" spans="2:4" x14ac:dyDescent="0.4">
      <c r="B38" t="s">
        <v>148</v>
      </c>
      <c r="C38" t="s">
        <v>123</v>
      </c>
      <c r="D38" t="str" cm="1">
        <f t="array" ref="D38">_xll.ExLibris.WebAPIs.BuildUri($C$2&amp;"post",H6:I11)</f>
        <v>http://localhost:80/post?currency_pair.left=USD&amp;currency_pair.right=JPY&amp;strike=108.5&amp;call_or_put=CALL&amp;buy_or_sell=SELL&amp;date=44463</v>
      </c>
    </row>
    <row r="39" spans="2:4" x14ac:dyDescent="0.4">
      <c r="C39" t="s">
        <v>121</v>
      </c>
      <c r="D39" t="str" cm="1">
        <f t="array" ref="D39">_xll.ExLibris.WebAPIs.POST(D38,H6:I11,TRUE,$B$5)</f>
        <v>ExLibris.Core.WebAPIs.Response:4E959367-E88B-423A-B078-C9C99C2EEFD9</v>
      </c>
    </row>
    <row r="40" spans="2:4" x14ac:dyDescent="0.4">
      <c r="C40" t="s">
        <v>101</v>
      </c>
      <c r="D40" cm="1">
        <f t="array" ref="D40">_xll.ExLibris.WebAPIs.WebAPIResponseStatus(D39,TRUE)</f>
        <v>200</v>
      </c>
    </row>
    <row r="41" spans="2:4" x14ac:dyDescent="0.4">
      <c r="C41" t="s">
        <v>122</v>
      </c>
      <c r="D41" t="str" cm="1">
        <f t="array" ref="D41">_xll.ExLibris.WebAPIs.WebAPIRequestContent(D39)</f>
        <v xml:space="preserve">{
  "args": {
    "buy_or_sell": "SELL", 
    "call_or_put": "CALL", 
    "currency_pair.left": "USD", 
    "currency_pair.right": "JPY", 
    "date": "44463", 
    "strike": "108.5"
  }, 
  "data": "", 
  "files": {}, 
  "form": {
    "buy_or_sell": "SELL", 
    "call_or_put": "CALL", 
    "currency_pair.left": "USD", 
    "currency_pair.right": "JPY", 
    "date": "44463", 
    "strike": "108.5"
  }, 
  "headers": {
    "Authorization": "Bearer XXX11111222223333444444", 
    "Cname0": "value0", 
    "Content-Length": "104", 
    "Content-Type": "application/x-www-form-urlencoded", 
    "Expect": "100-continue", 
    "Host": "localhost", 
    "User-Agent": "user"
  }, 
  "json": null, 
  "origin": "172.17.0.1", 
  "url": "http://localhost/post?currency_pair.left=USD&amp;currency_pair.right=JPY&amp;strike=108.5&amp;call_or_put=CALL&amp;buy_or_sell=SELL&amp;date=44463"
}
</v>
      </c>
    </row>
    <row r="43" spans="2:4" x14ac:dyDescent="0.4">
      <c r="B43" t="s">
        <v>153</v>
      </c>
      <c r="C43" t="s">
        <v>123</v>
      </c>
      <c r="D43" t="str" cm="1">
        <f t="array" ref="D43">_xll.ExLibris.WebAPIs.BuildUri($C$2&amp;"get",H6:I11)</f>
        <v>http://localhost:80/get?currency_pair.left=USD&amp;currency_pair.right=JPY&amp;strike=108.5&amp;call_or_put=CALL&amp;buy_or_sell=SELL&amp;date=44463</v>
      </c>
    </row>
    <row r="44" spans="2:4" x14ac:dyDescent="0.4">
      <c r="C44" t="s">
        <v>121</v>
      </c>
      <c r="D44" t="str" cm="1">
        <f t="array" ref="D44">_xll.ExLibris.WebAPIs.GET(D43)</f>
        <v>ExLibris.Core.WebAPIs.Response:AA75F0F4-5149-4D14-8B90-5477CCDC7B58</v>
      </c>
    </row>
    <row r="45" spans="2:4" x14ac:dyDescent="0.4">
      <c r="C45" t="s">
        <v>101</v>
      </c>
      <c r="D45" cm="1">
        <f t="array" ref="D45">_xll.ExLibris.WebAPIs.WebAPIResponseStatus(D44,TRUE)</f>
        <v>200</v>
      </c>
    </row>
    <row r="46" spans="2:4" x14ac:dyDescent="0.4">
      <c r="C46" t="s">
        <v>122</v>
      </c>
      <c r="D46" t="str" cm="1">
        <f t="array" ref="D46">_xll.ExLibris.WebAPIs.WebAPIRequestContent(D44)</f>
        <v xml:space="preserve">{
  "args": {
    "buy_or_sell": "SELL", 
    "call_or_put": "CALL", 
    "currency_pair.left": "USD", 
    "currency_pair.right": "JPY", 
    "date": "44463", 
    "strike": "108.5"
  }, 
  "headers": {
    "Host": "localhost"
  }, 
  "origin": "172.17.0.1", 
  "url": "http://localhost/get?currency_pair.left=USD&amp;currency_pair.right=JPY&amp;strike=108.5&amp;call_or_put=CALL&amp;buy_or_sell=SELL&amp;date=44463"
}
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2021-09-24T14:22:28Z</dcterms:modified>
</cp:coreProperties>
</file>