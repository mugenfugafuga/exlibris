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39F7EBFE-6F85-4584-AD95-D2DC17508E93}" xr6:coauthVersionLast="47" xr6:coauthVersionMax="47" xr10:uidLastSave="{00000000-0000-0000-0000-000000000000}"/>
  <bookViews>
    <workbookView xWindow="-120" yWindow="-120" windowWidth="29040" windowHeight="15840" activeTab="4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  <sheet name="webapi github" sheetId="6" r:id="rId6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8" i="5" l="1"/>
  <c r="D49" i="5" a="1"/>
  <c r="D49" i="5" l="1"/>
  <c r="D51" i="5" a="1"/>
  <c r="D50" i="5" a="1"/>
  <c r="D50" i="5" l="1"/>
  <c r="D51" i="5"/>
  <c r="C5" i="6"/>
  <c r="D33" i="5"/>
  <c r="D28" i="5"/>
  <c r="D23" i="5"/>
  <c r="D18" i="5"/>
  <c r="D13" i="5"/>
  <c r="D38" i="5" a="1"/>
  <c r="D43" i="5" a="1"/>
  <c r="D14" i="5" a="1"/>
  <c r="B2" i="6" a="1"/>
  <c r="H5" i="5" a="1"/>
  <c r="D19" i="5" a="1"/>
  <c r="B2" i="6" l="1"/>
  <c r="D38" i="5"/>
  <c r="D43" i="5"/>
  <c r="H5" i="5"/>
  <c r="D19" i="5"/>
  <c r="D14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D15" i="5" a="1"/>
  <c r="C2" i="2" a="1"/>
  <c r="C6" i="6" a="1"/>
  <c r="D20" i="5" a="1"/>
  <c r="E17" i="3" a="1"/>
  <c r="B5" i="5" a="1"/>
  <c r="D44" i="5" a="1"/>
  <c r="H6" i="2" a="1"/>
  <c r="D16" i="5" a="1"/>
  <c r="D21" i="5" a="1"/>
  <c r="E4" i="3" a="1"/>
  <c r="C6" i="6" l="1"/>
  <c r="D44" i="5"/>
  <c r="D20" i="5"/>
  <c r="D21" i="5"/>
  <c r="D15" i="5"/>
  <c r="D16" i="5"/>
  <c r="B5" i="5"/>
  <c r="H6" i="2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E6" i="3" a="1"/>
  <c r="E6" i="2" a="1"/>
  <c r="D24" i="5" a="1"/>
  <c r="C8" i="6" a="1"/>
  <c r="D46" i="5" a="1"/>
  <c r="E20" i="3" a="1"/>
  <c r="D29" i="5" a="1"/>
  <c r="C7" i="6" a="1"/>
  <c r="D34" i="5" a="1"/>
  <c r="D39" i="5" a="1"/>
  <c r="E19" i="3" a="1"/>
  <c r="E7" i="3" a="1"/>
  <c r="D45" i="5" a="1"/>
  <c r="C7" i="6" l="1"/>
  <c r="C8" i="6"/>
  <c r="D46" i="5"/>
  <c r="D45" i="5"/>
  <c r="D39" i="5"/>
  <c r="D24" i="5"/>
  <c r="D29" i="5"/>
  <c r="D34" i="5"/>
  <c r="E6" i="2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E22" i="3" a="1"/>
  <c r="D41" i="5" a="1"/>
  <c r="C10" i="6" a="1"/>
  <c r="E9" i="3" a="1"/>
  <c r="D26" i="5" a="1"/>
  <c r="D40" i="5" a="1"/>
  <c r="D25" i="5" a="1"/>
  <c r="D35" i="5" a="1"/>
  <c r="D36" i="5" a="1"/>
  <c r="D30" i="5" a="1"/>
  <c r="D31" i="5" a="1"/>
  <c r="C10" i="6" l="1"/>
  <c r="D36" i="5"/>
  <c r="D35" i="5"/>
  <c r="D31" i="5"/>
  <c r="D30" i="5"/>
  <c r="D40" i="5"/>
  <c r="D41" i="5"/>
  <c r="D26" i="5"/>
  <c r="D25" i="5"/>
  <c r="E22" i="3"/>
  <c r="E11" i="4"/>
  <c r="F12" i="4"/>
  <c r="G12" i="4" s="1"/>
  <c r="E9" i="3"/>
  <c r="E13" i="1"/>
  <c r="C11" i="6" a="1"/>
  <c r="F6" i="1" a="1"/>
  <c r="E10" i="3" a="1"/>
  <c r="E23" i="3" a="1"/>
  <c r="C11" i="6" l="1"/>
  <c r="F6" i="1"/>
  <c r="E23" i="3"/>
  <c r="F13" i="4"/>
  <c r="G13" i="4" s="1"/>
  <c r="E12" i="4"/>
  <c r="E10" i="3"/>
  <c r="F1" i="1" a="1"/>
  <c r="E11" i="3" a="1"/>
  <c r="E24" i="3" a="1"/>
  <c r="F1" i="1" l="1"/>
  <c r="E24" i="3"/>
  <c r="E13" i="4"/>
  <c r="F14" i="4"/>
  <c r="G14" i="4" s="1"/>
  <c r="E14" i="4" s="1"/>
  <c r="E11" i="3"/>
  <c r="G35" i="1" a="1"/>
  <c r="E12" i="3" a="1"/>
  <c r="G28" i="1" a="1"/>
  <c r="G39" i="1" a="1"/>
  <c r="G56" i="1" a="1"/>
  <c r="G53" i="1" a="1"/>
  <c r="E19" i="1" a="1"/>
  <c r="G54" i="1" a="1"/>
  <c r="G45" i="1" a="1"/>
  <c r="G46" i="1" a="1"/>
  <c r="P19" i="1" a="1"/>
  <c r="G55" i="1" a="1"/>
  <c r="G50" i="1" a="1"/>
  <c r="G38" i="1" a="1"/>
  <c r="G31" i="1" a="1"/>
  <c r="G33" i="1" a="1"/>
  <c r="G47" i="1" a="1"/>
  <c r="G24" i="1" a="1"/>
  <c r="G21" i="1" a="1"/>
  <c r="G43" i="1" a="1"/>
  <c r="G48" i="1" a="1"/>
  <c r="G34" i="1" a="1"/>
  <c r="I19" i="1" a="1"/>
  <c r="G22" i="1" a="1"/>
  <c r="G26" i="1" a="1"/>
  <c r="G42" i="1" a="1"/>
  <c r="G51" i="1" a="1"/>
  <c r="G29" i="1" a="1"/>
  <c r="M6" i="1" a="1"/>
  <c r="G30" i="1" a="1"/>
  <c r="G44" i="1" a="1"/>
  <c r="G32" i="1" a="1"/>
  <c r="F6" i="4" a="1"/>
  <c r="G23" i="1" a="1"/>
  <c r="G36" i="1" a="1"/>
  <c r="G52" i="1" a="1"/>
  <c r="G49" i="1" a="1"/>
  <c r="G20" i="1" a="1"/>
  <c r="G57" i="1" a="1"/>
  <c r="G27" i="1" a="1"/>
  <c r="G25" i="1" a="1"/>
  <c r="G41" i="1" a="1"/>
  <c r="E25" i="3" a="1"/>
  <c r="G40" i="1" a="1"/>
  <c r="G37" i="1" a="1"/>
  <c r="AS21" i="1" l="1"/>
  <c r="AR21" i="1"/>
  <c r="AS19" i="1"/>
  <c r="AS20" i="1"/>
  <c r="AR20" i="1"/>
  <c r="P19" i="1"/>
  <c r="AR19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P29" i="1" a="1"/>
  <c r="G19" i="1" a="1"/>
  <c r="F1" i="4" a="1"/>
  <c r="I28" i="1" a="1"/>
  <c r="E26" i="3" a="1"/>
  <c r="E13" i="3" a="1"/>
  <c r="I20" i="1" a="1"/>
  <c r="C7" i="1" l="1"/>
  <c r="P29" i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G44" i="4" a="1"/>
  <c r="I29" i="1" a="1"/>
  <c r="G20" i="4" a="1"/>
  <c r="G35" i="4" a="1"/>
  <c r="G48" i="4" a="1"/>
  <c r="G57" i="4" a="1"/>
  <c r="G29" i="4" a="1"/>
  <c r="G31" i="4" a="1"/>
  <c r="G45" i="4" a="1"/>
  <c r="M6" i="4" a="1"/>
  <c r="G24" i="4" a="1"/>
  <c r="G30" i="4" a="1"/>
  <c r="G41" i="4" a="1"/>
  <c r="G43" i="4" a="1"/>
  <c r="G27" i="4" a="1"/>
  <c r="G51" i="4" a="1"/>
  <c r="G50" i="4" a="1"/>
  <c r="G46" i="4" a="1"/>
  <c r="E27" i="3" a="1"/>
  <c r="G39" i="4" a="1"/>
  <c r="E14" i="3" a="1"/>
  <c r="G40" i="4" a="1"/>
  <c r="G38" i="4" a="1"/>
  <c r="G55" i="4" a="1"/>
  <c r="I32" i="4" a="1"/>
  <c r="G56" i="4" a="1"/>
  <c r="G37" i="4" a="1"/>
  <c r="G54" i="4" a="1"/>
  <c r="P30" i="1" a="1"/>
  <c r="G49" i="4" a="1"/>
  <c r="G33" i="4" a="1"/>
  <c r="G22" i="4" a="1"/>
  <c r="G36" i="4" a="1"/>
  <c r="G52" i="4" a="1"/>
  <c r="I19" i="4" a="1"/>
  <c r="G34" i="4" a="1"/>
  <c r="G23" i="4" a="1"/>
  <c r="G53" i="4" a="1"/>
  <c r="G32" i="4" a="1"/>
  <c r="G25" i="4" a="1"/>
  <c r="G28" i="4" a="1"/>
  <c r="G26" i="4" a="1"/>
  <c r="G42" i="4" a="1"/>
  <c r="E19" i="4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55" i="4"/>
  <c r="G26" i="4"/>
  <c r="G28" i="4"/>
  <c r="G36" i="4"/>
  <c r="G44" i="4"/>
  <c r="G52" i="4"/>
  <c r="G34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G21" i="4" a="1"/>
  <c r="G19" i="4" a="1"/>
  <c r="E28" i="3" a="1"/>
  <c r="I38" i="4" a="1"/>
  <c r="I28" i="4" a="1"/>
  <c r="G47" i="4" a="1"/>
  <c r="I42" i="4" a="1"/>
  <c r="E15" i="3" a="1"/>
  <c r="I33" i="4" a="1"/>
  <c r="I20" i="4" a="1"/>
  <c r="G21" i="4" l="1"/>
  <c r="I42" i="4"/>
  <c r="G47" i="4"/>
  <c r="I38" i="4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39" i="4" a="1"/>
  <c r="I34" i="4" a="1"/>
  <c r="I43" i="4" a="1"/>
  <c r="I29" i="4" a="1"/>
  <c r="AI40" i="4" l="1"/>
  <c r="AG39" i="4"/>
  <c r="AF40" i="4"/>
  <c r="AI39" i="4"/>
  <c r="AJ40" i="4"/>
  <c r="AH39" i="4"/>
  <c r="AH40" i="4"/>
  <c r="AF39" i="4"/>
  <c r="AG40" i="4"/>
  <c r="AE40" i="4"/>
  <c r="AJ39" i="4"/>
  <c r="I39" i="4"/>
  <c r="AE39" i="4" s="1"/>
  <c r="I43" i="4"/>
  <c r="AE43" i="4" s="1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I34" i="4"/>
  <c r="AE34" i="4" s="1"/>
  <c r="C3" i="4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<sst xmlns="http://schemas.openxmlformats.org/spreadsheetml/2006/main" count="477" uniqueCount="156">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</sst>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e3b84d0ff4f547568288363859b2eb81">
      <tp>
        <v>2</v>
        <stp/>
        <stp>c24a2331-6a3e-4180-b913-237d3934e5f4</stp>
        <tr r="G53" s="4"/>
      </tp>
      <tp>
        <v>2</v>
        <stp/>
        <stp>2c8a3f35-1cc3-414d-b950-288d1a1ab5a1</stp>
        <tr r="G37" s="1"/>
      </tp>
    </main>
    <main first="rtdsrv.e3b84d0ff4f547568288363859b2eb81">
      <tp>
        <v>2</v>
        <stp/>
        <stp>64e9d8d9-541d-46d3-a223-05858754f394</stp>
        <tr r="G40" s="1"/>
      </tp>
    </main>
    <main first="rtdsrv.e3b84d0ff4f547568288363859b2eb81">
      <tp>
        <v>2</v>
        <stp/>
        <stp>60ba10a9-1d97-44ca-a05b-179289c0cbe0</stp>
        <tr r="G31" s="1"/>
      </tp>
      <tp>
        <v>2</v>
        <stp/>
        <stp>23a89722-6aa6-4107-9f61-cf178d53e8ac</stp>
        <tr r="D34" s="5"/>
      </tp>
      <tp>
        <v>2</v>
        <stp/>
        <stp>12d6de75-b075-4884-b7c8-9d47889a4755</stp>
        <tr r="E4" s="3"/>
      </tp>
    </main>
    <main first="rtdsrv.e3b84d0ff4f547568288363859b2eb81">
      <tp>
        <v>1</v>
        <stp/>
        <stp>a478182a-ff84-4d0c-8442-86877c6a8a2d</stp>
        <tr r="H6" s="2"/>
      </tp>
    </main>
    <main first="rtdsrv.e3b84d0ff4f547568288363859b2eb81">
      <tp>
        <v>1</v>
        <stp/>
        <stp>b06e52c4-088f-4cf3-9689-53ec07b4449c</stp>
        <tr r="E20" s="3"/>
      </tp>
      <tp>
        <v>2</v>
        <stp/>
        <stp>0d80d83e-d2c7-4537-bb88-e78510ba6910</stp>
        <tr r="G46" s="4"/>
      </tp>
    </main>
    <main first="rtdsrv.e3b84d0ff4f547568288363859b2eb81">
      <tp>
        <v>2</v>
        <stp/>
        <stp>eddabb02-4015-40c4-af83-2a0d55633b36</stp>
        <tr r="G54" s="1"/>
      </tp>
    </main>
    <main first="rtdsrv.e3b84d0ff4f547568288363859b2eb81">
      <tp>
        <v>2</v>
        <stp/>
        <stp>4e1959d1-c2f1-41e3-9bbc-1656529b3ba8</stp>
        <tr r="D39" s="5"/>
      </tp>
      <tp>
        <v>2</v>
        <stp/>
        <stp>d6331de3-06e9-4ff1-ac93-423ddc3df0d7</stp>
        <tr r="G20" s="1"/>
      </tp>
    </main>
    <main first="rtdsrv.e3b84d0ff4f547568288363859b2eb81">
      <tp>
        <v>2</v>
        <stp/>
        <stp>8e828674-d74e-40d6-b6f6-d8c3aed8c1c9</stp>
        <tr r="I28" s="4"/>
      </tp>
    </main>
    <main first="rtdsrv.e3b84d0ff4f547568288363859b2eb81">
      <tp>
        <v>2</v>
        <stp/>
        <stp>782764ef-fc63-41b5-bcee-03744ae25b38</stp>
        <tr r="G39" s="4"/>
      </tp>
    </main>
    <main first="rtdsrv.e3b84d0ff4f547568288363859b2eb81">
      <tp>
        <v>2</v>
        <stp/>
        <stp>8e71947f-282d-4275-9b59-8be1e958724d</stp>
        <tr r="G51" s="4"/>
      </tp>
      <tp>
        <v>2</v>
        <stp/>
        <stp>5f6fd2f8-16d1-4c2a-998b-8a0845ba8b37</stp>
        <tr r="G49" s="1"/>
      </tp>
    </main>
    <main first="rtdsrv.e3b84d0ff4f547568288363859b2eb81">
      <tp>
        <v>2</v>
        <stp/>
        <stp>d7efc1c8-21b5-4d89-950b-8d72e7f1ddf7</stp>
        <tr r="G26" s="4"/>
      </tp>
    </main>
    <main first="rtdsrv.e3b84d0ff4f547568288363859b2eb81">
      <tp>
        <v>2</v>
        <stp/>
        <stp>0770a83b-c8db-4355-b530-b66c93ddbe64</stp>
        <tr r="G54" s="4"/>
      </tp>
    </main>
    <main first="rtdsrv.e3b84d0ff4f547568288363859b2eb81">
      <tp>
        <v>2</v>
        <stp/>
        <stp>96b58b05-c181-41c0-b78c-9f7f86798b5b</stp>
        <tr r="D44" s="5"/>
      </tp>
    </main>
    <main first="rtdsrv.e3b84d0ff4f547568288363859b2eb81">
      <tp>
        <v>2</v>
        <stp/>
        <stp>9d00bb7a-8565-4a78-b13f-cbc788cf9b12</stp>
        <tr r="G55" s="4"/>
      </tp>
    </main>
    <main first="rtdsrv.e3b84d0ff4f547568288363859b2eb81">
      <tp>
        <v>2</v>
        <stp/>
        <stp>38065485-c5b8-40c2-9623-8435d3956d0c</stp>
        <tr r="G35" s="1"/>
      </tp>
      <tp>
        <v>2</v>
        <stp/>
        <stp>14d281b2-a561-4c14-959b-26fbd5cb4fb1</stp>
        <tr r="G52" s="4"/>
      </tp>
    </main>
    <main first="rtdsrv.e3b84d0ff4f547568288363859b2eb81">
      <tp>
        <v>2</v>
        <stp/>
        <stp>86015f1c-6fad-45f8-89e1-7f47266d8dae</stp>
        <tr r="G26" s="1"/>
      </tp>
    </main>
    <main first="rtdsrv.e3b84d0ff4f547568288363859b2eb81">
      <tp>
        <v>2</v>
        <stp/>
        <stp>448233f1-754e-4141-8e10-3875f11816ce</stp>
        <tr r="G38" s="4"/>
      </tp>
    </main>
    <main first="rtdsrv.e3b84d0ff4f547568288363859b2eb81">
      <tp>
        <v>2</v>
        <stp/>
        <stp>4c8cdf9c-7b48-4a98-ab2c-9efda4589f53</stp>
        <tr r="G45" s="1"/>
      </tp>
      <tp>
        <v>2</v>
        <stp/>
        <stp>d8acd443-b62d-49cd-9b4f-7bc5c151eb2d</stp>
        <tr r="G22" s="4"/>
      </tp>
    </main>
    <main first="rtdsrv.e3b84d0ff4f547568288363859b2eb81">
      <tp>
        <v>2</v>
        <stp/>
        <stp>467ffe5a-d420-4a83-a165-b07ec897e5ae</stp>
        <tr r="F6" s="1"/>
      </tp>
    </main>
    <main first="rtdsrv.e3b84d0ff4f547568288363859b2eb81">
      <tp>
        <v>2</v>
        <stp/>
        <stp>ef1ab567-8def-4d6a-8434-c7fd4d0b1def</stp>
        <tr r="G38" s="1"/>
      </tp>
    </main>
    <main first="rtdsrv.e3b84d0ff4f547568288363859b2eb81">
      <tp>
        <v>2</v>
        <stp/>
        <stp>fae96250-15fc-457a-be96-a85c6235f1e3</stp>
        <tr r="G41" s="4"/>
      </tp>
    </main>
    <main first="rtdsrv.e3b84d0ff4f547568288363859b2eb81">
      <tp>
        <v>2</v>
        <stp/>
        <stp>dbc577b3-e80c-42a5-b4ae-adb8516ca078</stp>
        <tr r="G44" s="1"/>
      </tp>
      <tp>
        <v>2</v>
        <stp/>
        <stp>a634d33d-6f09-47bf-8e7f-befc274e5165</stp>
        <tr r="D29" s="5"/>
      </tp>
    </main>
    <main first="rtdsrv.e3b84d0ff4f547568288363859b2eb81">
      <tp>
        <v>2</v>
        <stp/>
        <stp>81ea4ef0-4d90-4ff7-82ec-ea730ecf86a5</stp>
        <tr r="G19" s="4"/>
      </tp>
    </main>
    <main first="rtdsrv.e3b84d0ff4f547568288363859b2eb81">
      <tp>
        <v>2</v>
        <stp/>
        <stp>d2d284db-e95d-40a4-81d5-dacc0a6393f8</stp>
        <tr r="G34" s="4"/>
      </tp>
    </main>
    <main first="rtdsrv.e3b84d0ff4f547568288363859b2eb81">
      <tp>
        <v>2</v>
        <stp/>
        <stp>1334892e-c562-4c7b-8dc9-6208b959bcef</stp>
        <tr r="E19" s="3"/>
      </tp>
      <tp>
        <v>2</v>
        <stp/>
        <stp>bb9a7cad-bad0-41af-bab4-441625c7ef33</stp>
        <tr r="G35" s="4"/>
      </tp>
    </main>
    <main first="rtdsrv.e3b84d0ff4f547568288363859b2eb81">
      <tp>
        <v>2</v>
        <stp/>
        <stp>72769766-4f27-45bc-9164-806555646cb4</stp>
        <tr r="G23" s="1"/>
      </tp>
    </main>
    <main first="rtdsrv.e3b84d0ff4f547568288363859b2eb81">
      <tp>
        <v>2</v>
        <stp/>
        <stp>0563962a-e893-4760-9512-c7155e69970d</stp>
        <tr r="G22" s="1"/>
      </tp>
    </main>
    <main first="rtdsrv.e3b84d0ff4f547568288363859b2eb81">
      <tp>
        <v>2</v>
        <stp/>
        <stp>9c21e1f9-59e1-4b87-b02b-214002da1c9e</stp>
        <tr r="G20" s="4"/>
      </tp>
    </main>
    <main first="rtdsrv.e3b84d0ff4f547568288363859b2eb81">
      <tp>
        <v>2</v>
        <stp/>
        <stp>f11c90bf-79a6-40ed-882c-800e2e0937c5</stp>
        <tr r="G24" s="1"/>
      </tp>
    </main>
    <main first="rtdsrv.e3b84d0ff4f547568288363859b2eb81">
      <tp>
        <v>2</v>
        <stp/>
        <stp>cd4aaf54-6385-48b2-8b66-4b3b1f55913c</stp>
        <tr r="G32" s="1"/>
      </tp>
    </main>
    <main first="rtdsrv.e3b84d0ff4f547568288363859b2eb81">
      <tp>
        <v>2</v>
        <stp/>
        <stp>17e213ba-5ec6-4086-9129-fa4da3065bfb</stp>
        <tr r="G40" s="4"/>
      </tp>
    </main>
    <main first="rtdsrv.e3b84d0ff4f547568288363859b2eb81">
      <tp>
        <v>2</v>
        <stp/>
        <stp>d2fcf694-483e-4234-ad07-21dbf9198827</stp>
        <tr r="I42" s="4"/>
      </tp>
    </main>
    <main first="rtdsrv.e3b84d0ff4f547568288363859b2eb81">
      <tp>
        <v>2</v>
        <stp/>
        <stp>15a0fcdb-770c-4a03-80ca-d2e2aa704f9c</stp>
        <tr r="G24" s="4"/>
      </tp>
    </main>
    <main first="rtdsrv.e3b84d0ff4f547568288363859b2eb81">
      <tp>
        <v>2</v>
        <stp/>
        <stp>f0e682e2-04c6-44a5-bc5d-47e45d0d2ebf</stp>
        <tr r="G32" s="4"/>
      </tp>
    </main>
    <main first="rtdsrv.e3b84d0ff4f547568288363859b2eb81">
      <tp>
        <v>2</v>
        <stp/>
        <stp>7c9a0e78-2a09-444e-a14d-0ddfa42b5109</stp>
        <tr r="G21" s="1"/>
      </tp>
    </main>
    <main first="rtdsrv.e3b84d0ff4f547568288363859b2eb81">
      <tp>
        <v>2</v>
        <stp/>
        <stp>c959962e-79b9-41f5-a712-b9534eab0d0d</stp>
        <tr r="G19" s="1"/>
      </tp>
    </main>
    <main first="rtdsrv.e3b84d0ff4f547568288363859b2eb81">
      <tp>
        <v>2</v>
        <stp/>
        <stp>74775668-6f67-47ec-8b0f-24b167096c7c</stp>
        <tr r="F6" s="4"/>
      </tp>
      <tp>
        <v>2</v>
        <stp/>
        <stp>3b170a04-9169-4dd5-927f-3bdbb8dfae01</stp>
        <tr r="G52" s="1"/>
      </tp>
    </main>
    <main first="rtdsrv.e3b84d0ff4f547568288363859b2eb81">
      <tp>
        <v>2</v>
        <stp/>
        <stp>7955972d-5de8-4f69-aa64-4efb8bff2483</stp>
        <tr r="G48" s="4"/>
      </tp>
      <tp>
        <v>2</v>
        <stp/>
        <stp>6966ef87-230f-4a2a-bf8e-43878511558e</stp>
        <tr r="G37" s="4"/>
      </tp>
    </main>
    <main first="rtdsrv.e3b84d0ff4f547568288363859b2eb81">
      <tp>
        <v>2</v>
        <stp/>
        <stp>c20be7f7-7c9c-4895-816b-66a552279376</stp>
        <tr r="D19" s="5"/>
      </tp>
    </main>
    <main first="rtdsrv.e3b84d0ff4f547568288363859b2eb81">
      <tp>
        <v>2</v>
        <stp/>
        <stp>7645f762-f62c-4517-9cc9-10cc5aa4fda0</stp>
        <tr r="B2" s="6"/>
      </tp>
    </main>
    <main first="rtdsrv.e3b84d0ff4f547568288363859b2eb81">
      <tp>
        <v>2</v>
        <stp/>
        <stp>60a5baee-d7c8-47a8-8757-2edddecd0af6</stp>
        <tr r="G57" s="4"/>
      </tp>
    </main>
    <main first="rtdsrv.e3b84d0ff4f547568288363859b2eb81">
      <tp>
        <v>2</v>
        <stp/>
        <stp>a41a02cd-d837-4239-8246-e471ba557c30</stp>
        <tr r="G47" s="1"/>
      </tp>
    </main>
    <main first="rtdsrv.e3b84d0ff4f547568288363859b2eb81">
      <tp>
        <v>2</v>
        <stp/>
        <stp>7e2a1044-1480-48be-aa6b-438a7d3cf95b</stp>
        <tr r="G23" s="4"/>
      </tp>
    </main>
    <main first="rtdsrv.e3b84d0ff4f547568288363859b2eb81">
      <tp>
        <v>2</v>
        <stp/>
        <stp>36c05d82-6619-4a80-a09e-63b95300041b</stp>
        <tr r="G30" s="1"/>
      </tp>
      <tp>
        <v>2</v>
        <stp/>
        <stp>ae6f8ab1-dda2-4fff-8e97-ce46d5afc7d1</stp>
        <tr r="G50" s="1"/>
      </tp>
    </main>
    <main first="rtdsrv.e3b84d0ff4f547568288363859b2eb81">
      <tp>
        <v>2</v>
        <stp/>
        <stp>35cc9dd4-9994-4a25-bc61-8b3697a73f3d</stp>
        <tr r="D14" s="5"/>
      </tp>
      <tp>
        <v>2</v>
        <stp/>
        <stp>bb196fcf-5984-4554-8efb-5a4cecad292b</stp>
        <tr r="G27" s="4"/>
      </tp>
    </main>
    <main first="rtdsrv.e3b84d0ff4f547568288363859b2eb81">
      <tp>
        <v>2</v>
        <stp/>
        <stp>115d4b0b-56a0-4734-bf63-8582d8c1c2e7</stp>
        <tr r="G28" s="4"/>
      </tp>
    </main>
    <main first="rtdsrv.e3b84d0ff4f547568288363859b2eb81">
      <tp>
        <v>2</v>
        <stp/>
        <stp>2f464534-e7bc-43d6-b88e-8228c5695d42</stp>
        <tr r="I33" s="4"/>
      </tp>
    </main>
    <main first="rtdsrv.e3b84d0ff4f547568288363859b2eb81">
      <tp>
        <v>2</v>
        <stp/>
        <stp>9b91be05-82dc-494f-b72e-aeba4fe6738d</stp>
        <tr r="G28" s="1"/>
      </tp>
    </main>
    <main first="rtdsrv.e3b84d0ff4f547568288363859b2eb81">
      <tp>
        <v>2</v>
        <stp/>
        <stp>74788970-ff67-49de-b0e2-4ee9c61ccbe7</stp>
        <tr r="G45" s="4"/>
      </tp>
      <tp>
        <v>2</v>
        <stp/>
        <stp>422d7492-2b28-49e6-8a38-565239571d46</stp>
        <tr r="G43" s="1"/>
      </tp>
    </main>
    <main first="rtdsrv.e3b84d0ff4f547568288363859b2eb81">
      <tp>
        <v>2</v>
        <stp/>
        <stp>d5ed8957-e9ba-4c3f-a538-311192577bbc</stp>
        <tr r="G56" s="1"/>
      </tp>
      <tp>
        <v>2</v>
        <stp/>
        <stp>48f13015-1560-41b2-8ef6-d2e4d4174666</stp>
        <tr r="G27" s="1"/>
      </tp>
      <tp>
        <v>2</v>
        <stp/>
        <stp>1e3a4e7e-c070-4901-a186-02a15da8ba3c</stp>
        <tr r="P29" s="1"/>
      </tp>
    </main>
    <main first="rtdsrv.e3b84d0ff4f547568288363859b2eb81">
      <tp>
        <v>2</v>
        <stp/>
        <stp>553cfe98-bd2d-47f8-bcb5-814defb14b2e</stp>
        <tr r="I28" s="1"/>
      </tp>
    </main>
    <main first="rtdsrv.e3b84d0ff4f547568288363859b2eb81">
      <tp>
        <v>2</v>
        <stp/>
        <stp>90b1a822-fc75-4076-afa6-3ad056c3a39c</stp>
        <tr r="F1" s="4"/>
      </tp>
      <tp>
        <v>2</v>
        <stp/>
        <stp>cbd8a8e7-6f94-47be-af43-928c43e51a39</stp>
        <tr r="G47" s="4"/>
      </tp>
      <tp>
        <v>1</v>
        <stp/>
        <stp>ac43b3a7-906b-440f-a32c-e78c43883dd1</stp>
        <tr r="E7" s="3"/>
      </tp>
      <tp>
        <v>2</v>
        <stp/>
        <stp>63316de9-7667-412a-9690-fe617d7f7d30</stp>
        <tr r="G29" s="4"/>
      </tp>
    </main>
    <main first="rtdsrv.e3b84d0ff4f547568288363859b2eb81">
      <tp>
        <v>2</v>
        <stp/>
        <stp>2f8caf5e-9864-4e34-8ce1-f4b61e976d50</stp>
        <tr r="I19" s="4"/>
        <tr r="I32" s="4"/>
      </tp>
    </main>
    <main first="rtdsrv.e3b84d0ff4f547568288363859b2eb81">
      <tp>
        <v>2</v>
        <stp/>
        <stp>fe38122f-ab84-41a9-a17b-8ca96d7b6c1f</stp>
        <tr r="G25" s="4"/>
      </tp>
      <tp>
        <v>2</v>
        <stp/>
        <stp>f10d6a3f-e5ff-4dca-983a-ffc768d30e8e</stp>
        <tr r="G55" s="1"/>
      </tp>
      <tp>
        <v>2</v>
        <stp/>
        <stp>2d768c9e-e6c7-45f7-addf-4c9d354178eb</stp>
        <tr r="F1" s="1"/>
      </tp>
      <tp>
        <v>2</v>
        <stp/>
        <stp>e814c67c-fdb9-4db4-b4fd-b0bfa3610fcd</stp>
        <tr r="G41" s="1"/>
      </tp>
    </main>
    <main first="rtdsrv.e3b84d0ff4f547568288363859b2eb81">
      <tp>
        <v>2</v>
        <stp/>
        <stp>594ef50b-a8c0-4fc4-8064-960a91b047b7</stp>
        <tr r="I38" s="4"/>
      </tp>
    </main>
    <main first="rtdsrv.e3b84d0ff4f547568288363859b2eb81">
      <tp>
        <v>2</v>
        <stp/>
        <stp>93c0c697-ed4e-469b-8bc5-25ce78b2b3c2</stp>
        <tr r="C6" s="6"/>
      </tp>
    </main>
    <main first="rtdsrv.e3b84d0ff4f547568288363859b2eb81">
      <tp>
        <v>-2</v>
        <stp/>
        <stp>2407616c-6ca6-4c2b-9050-8af4ab946917</stp>
        <tr r="D29" s="5"/>
      </tp>
    </main>
    <main first="rtdsrv.e3b84d0ff4f547568288363859b2eb81">
      <tp>
        <v>2</v>
        <stp/>
        <stp>8645952f-0425-4c4c-a290-96503087a1e5</stp>
        <tr r="G31" s="4"/>
      </tp>
      <tp>
        <v>2</v>
        <stp/>
        <stp>5dd91fc6-1122-4429-bca9-d9024baf4ab8</stp>
        <tr r="G33" s="4"/>
      </tp>
      <tp>
        <v>2</v>
        <stp/>
        <stp>a5c5938e-918c-4733-a9a3-3624c3cf5913</stp>
        <tr r="D24" s="5"/>
      </tp>
    </main>
    <main first="rtdsrv.e3b84d0ff4f547568288363859b2eb81">
      <tp>
        <v>2</v>
        <stp/>
        <stp>17466afe-b35d-4bd9-bb7a-1909f3189aba</stp>
        <tr r="G53" s="1"/>
      </tp>
      <tp>
        <v>2</v>
        <stp/>
        <stp>2f6a3e7b-3a10-4f77-8750-ebe22bd0ec96</stp>
        <tr r="G36" s="1"/>
      </tp>
      <tp>
        <v>2</v>
        <stp/>
        <stp>0badfa8f-92c6-44c9-be33-c85fe8219a50</stp>
        <tr r="G50" s="4"/>
      </tp>
    </main>
    <main first="rtdsrv.e3b84d0ff4f547568288363859b2eb81">
      <tp>
        <v>2</v>
        <stp/>
        <stp>17f69531-7014-4132-b95f-d15e4eaf262b</stp>
        <tr r="I19" s="1"/>
      </tp>
    </main>
    <main first="rtdsrv.e3b84d0ff4f547568288363859b2eb81">
      <tp>
        <v>2</v>
        <stp/>
        <stp>3869ee95-7d22-434a-a7e4-2348a5303837</stp>
        <tr r="G42" s="1"/>
      </tp>
    </main>
    <main first="rtdsrv.e3b84d0ff4f547568288363859b2eb81">
      <tp>
        <v>2</v>
        <stp/>
        <stp>cbf15a28-a299-4cc5-8b21-4a21c4d67c0c</stp>
        <tr r="G39" s="1"/>
      </tp>
    </main>
    <main first="rtdsrv.e3b84d0ff4f547568288363859b2eb81">
      <tp>
        <v>2</v>
        <stp/>
        <stp>54f26ab6-79b8-485a-a8e1-f5e9558d45b1</stp>
        <tr r="G36" s="4"/>
      </tp>
      <tp>
        <v>2</v>
        <stp/>
        <stp>9781b416-22f5-472e-b3fe-2406bb2027a4</stp>
        <tr r="G49" s="4"/>
      </tp>
    </main>
    <main first="rtdsrv.e3b84d0ff4f547568288363859b2eb81">
      <tp>
        <v>2</v>
        <stp/>
        <stp>0c67571b-03c8-4330-9e17-1a87ad84b387</stp>
        <tr r="C2" s="2"/>
      </tp>
    </main>
    <main first="rtdsrv.e3b84d0ff4f547568288363859b2eb81">
      <tp>
        <v>2</v>
        <stp/>
        <stp>680bcefb-4dba-4d4d-ab29-3d2381320903</stp>
        <tr r="G33" s="1"/>
      </tp>
    </main>
    <main first="rtdsrv.e3b84d0ff4f547568288363859b2eb81">
      <tp>
        <v>2</v>
        <stp/>
        <stp>6904654c-4313-47e9-8056-7d4dd4e8e727</stp>
        <tr r="G30" s="4"/>
      </tp>
    </main>
    <main first="rtdsrv.e3b84d0ff4f547568288363859b2eb81">
      <tp>
        <v>2</v>
        <stp/>
        <stp>25f4164c-62fd-4b4b-a32f-d8be574508e2</stp>
        <tr r="G51" s="1"/>
      </tp>
    </main>
    <main first="rtdsrv.e3b84d0ff4f547568288363859b2eb81">
      <tp>
        <v>2</v>
        <stp/>
        <stp>56d0f7c1-bb6c-4d3f-8fb0-9e27e3807cfd</stp>
        <tr r="G44" s="4"/>
      </tp>
    </main>
    <main first="rtdsrv.e3b84d0ff4f547568288363859b2eb81">
      <tp>
        <v>2</v>
        <stp/>
        <stp>49cbca3f-8bbb-4dac-8eb2-970665bfd134</stp>
        <tr r="G57" s="1"/>
      </tp>
    </main>
    <main first="rtdsrv.e3b84d0ff4f547568288363859b2eb81">
      <tp>
        <v>2</v>
        <stp/>
        <stp>41d028b6-5f77-4ce0-8a11-07752a4f190d</stp>
        <tr r="C10" s="6"/>
      </tp>
    </main>
    <main first="rtdsrv.e3b84d0ff4f547568288363859b2eb81">
      <tp>
        <v>2</v>
        <stp/>
        <stp>233fed79-dab5-4ca2-94b3-6edad0ed7cea</stp>
        <tr r="E6" s="3"/>
      </tp>
    </main>
    <main first="rtdsrv.e3b84d0ff4f547568288363859b2eb81">
      <tp>
        <v>2</v>
        <stp/>
        <stp>226672b7-0b1a-4b92-bdb8-c638e0dcc3ff</stp>
        <tr r="G29" s="1"/>
      </tp>
    </main>
    <main first="rtdsrv.e3b84d0ff4f547568288363859b2eb81">
      <tp>
        <v>2</v>
        <stp/>
        <stp>5cd4ec68-a996-499c-995b-6bf7a21012d7</stp>
        <tr r="G34" s="1"/>
      </tp>
    </main>
    <main first="rtdsrv.e3b84d0ff4f547568288363859b2eb81">
      <tp>
        <v>2</v>
        <stp/>
        <stp>e6ec6272-f199-4aca-94a1-7458723d10d0</stp>
        <tr r="B5" s="5"/>
      </tp>
    </main>
    <main first="rtdsrv.e3b84d0ff4f547568288363859b2eb81">
      <tp>
        <v>2</v>
        <stp/>
        <stp>03d23fe4-42f7-48e7-9d14-709d364ec5e1</stp>
        <tr r="G25" s="1"/>
      </tp>
    </main>
    <main first="rtdsrv.e3b84d0ff4f547568288363859b2eb81">
      <tp>
        <v>2</v>
        <stp/>
        <stp>a5ec7aae-b051-4c35-a2ab-36ee3b859baa</stp>
        <tr r="G42" s="4"/>
      </tp>
    </main>
    <main first="rtdsrv.e3b84d0ff4f547568288363859b2eb81">
      <tp>
        <v>2</v>
        <stp/>
        <stp>5bf2e12d-f9c2-4836-bc2e-a4a55c7481f2</stp>
        <tr r="E17" s="3"/>
      </tp>
    </main>
    <main first="rtdsrv.e3b84d0ff4f547568288363859b2eb81">
      <tp>
        <v>2</v>
        <stp/>
        <stp>98ac2d89-5152-40c4-86d5-98866fd700c6</stp>
        <tr r="G43" s="4"/>
      </tp>
    </main>
    <main first="rtdsrv.e3b84d0ff4f547568288363859b2eb81">
      <tp>
        <v>2</v>
        <stp/>
        <stp>1bbdfb1b-762b-4f94-b974-8c3a8681c654</stp>
        <tr r="G46" s="1"/>
      </tp>
    </main>
    <main first="rtdsrv.e3b84d0ff4f547568288363859b2eb81">
      <tp>
        <v>2</v>
        <stp/>
        <stp>8ec697d3-81bc-4268-90a9-0d31a6985717</stp>
        <tr r="G56" s="4"/>
      </tp>
    </main>
    <main first="rtdsrv.e3b84d0ff4f547568288363859b2eb81">
      <tp>
        <v>2</v>
        <stp/>
        <stp>972f91f6-038b-4adc-8b2c-7a42ef77a665</stp>
        <tr r="G21" s="4"/>
      </tp>
      <tp>
        <v>2</v>
        <stp/>
        <stp>87efaec5-0d6c-4adb-9941-44191ae9d754</stp>
        <tr r="D49" s="5"/>
      </tp>
      <tp>
        <v>2</v>
        <stp/>
        <stp>02c08c1c-0f61-4842-9813-bf062455ef09</stp>
        <tr r="P19" s="1"/>
      </tp>
    </main>
    <main first="rtdsrv.e3b84d0ff4f547568288363859b2eb81">
      <tp>
        <v>2</v>
        <stp/>
        <stp>7f0f8a02-5e35-428d-b998-2450193644bb</stp>
        <tr r="G48" s="1"/>
      </tp>
    </main>
    <main first="rtdsrv.e3b84d0ff4f547568288363859b2eb81">
      <tp>
        <v>2</v>
        <stp/>
        <stp>546f1c05-7064-4761-8f32-53c061488621</stp>
        <tr r="H5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JsonObject:FF9A2D33-E1E5-47FC-91D1-7E27784C049A</v>
      </c>
      <c r="K1" t="str">
        <f>EXLIBRIS_CONFIGURATION</f>
        <v>ExLibris.Core.ExLibrisConfiguration:0D0AC951-C4F0-4C41-BE04-012B566C8134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JsonObject:648AAEC4-A20C-42B9-8CF0-0F53899756B7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6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72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JsonObject:4D34F86F-E10E-452C-BF61-6C5775E63352</v>
      </c>
      <c r="P19" t="str" cm="1">
        <f t="array" ref="P19">_xll.ExLibris.Json.GetJsonKeyValues(F1,,3)</f>
        <v>JsonObject:FA028524-4421-47B8-B9EC-8A797E52830E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0</v>
      </c>
      <c r="AS19" t="b">
        <f t="shared" si="7"/>
        <v>0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0</v>
      </c>
      <c r="AS20" t="b">
        <f t="shared" si="7"/>
        <v>0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0</v>
      </c>
      <c r="AS21" t="b">
        <f t="shared" si="7"/>
        <v>0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JsonObject:699010F5-A0E8-473A-A5E9-0FB770CBE636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JsonObject:3773B381-F04F-4EE7-A556-3D87B8740A4F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cm="1">
        <f t="array" ref="P30:Q30">_xll.ExLibris.Json.GetJsonKeyValues(P29)</f>
        <v>0</v>
      </c>
      <c r="Q30">
        <v>0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0</v>
      </c>
      <c r="AS30" t="b">
        <f t="shared" ref="AS30:AS64" si="11">Q30=AE30</f>
        <v>0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0</v>
      </c>
      <c r="AS31" t="b">
        <f t="shared" si="11"/>
        <v>0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0</v>
      </c>
      <c r="AS32" t="b">
        <f t="shared" si="11"/>
        <v>0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0</v>
      </c>
      <c r="AS33" t="b">
        <f t="shared" si="11"/>
        <v>0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0</v>
      </c>
      <c r="AS34" t="b">
        <f t="shared" si="11"/>
        <v>0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0</v>
      </c>
      <c r="AS35" t="b">
        <f t="shared" si="11"/>
        <v>0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0</v>
      </c>
      <c r="AS36" t="b">
        <f t="shared" si="11"/>
        <v>0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0</v>
      </c>
      <c r="AS37" t="b">
        <f t="shared" si="11"/>
        <v>0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0</v>
      </c>
      <c r="AS38" t="b">
        <f t="shared" si="11"/>
        <v>0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0</v>
      </c>
      <c r="AS39" t="b">
        <f t="shared" si="11"/>
        <v>0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0</v>
      </c>
      <c r="AS40" t="b">
        <f t="shared" si="11"/>
        <v>0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0</v>
      </c>
      <c r="AS41" t="b">
        <f t="shared" si="11"/>
        <v>0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0</v>
      </c>
      <c r="AS42" t="b">
        <f t="shared" si="11"/>
        <v>0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0</v>
      </c>
      <c r="AS43" t="b">
        <f t="shared" si="11"/>
        <v>0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0</v>
      </c>
      <c r="AS44" t="b">
        <f t="shared" si="11"/>
        <v>0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0</v>
      </c>
      <c r="AS45" t="b">
        <f t="shared" si="11"/>
        <v>0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0</v>
      </c>
      <c r="AS46" t="b">
        <f t="shared" si="11"/>
        <v>0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0</v>
      </c>
      <c r="AS47" t="b">
        <f t="shared" si="11"/>
        <v>0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0</v>
      </c>
      <c r="AS48" t="b">
        <f t="shared" si="11"/>
        <v>0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0</v>
      </c>
      <c r="AS49" t="b">
        <f t="shared" si="11"/>
        <v>0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0</v>
      </c>
      <c r="AS50" t="b">
        <f t="shared" si="11"/>
        <v>0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0</v>
      </c>
      <c r="AS51" t="b">
        <f t="shared" si="11"/>
        <v>0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0</v>
      </c>
      <c r="AS52" t="b">
        <f t="shared" si="11"/>
        <v>0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0</v>
      </c>
      <c r="AS53" t="b">
        <f t="shared" si="11"/>
        <v>0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0</v>
      </c>
      <c r="AS54" t="b">
        <f t="shared" si="11"/>
        <v>0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0</v>
      </c>
      <c r="AS55" t="b">
        <f t="shared" si="11"/>
        <v>0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0</v>
      </c>
      <c r="AS56" t="b">
        <f t="shared" si="11"/>
        <v>0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0</v>
      </c>
      <c r="AS57" t="b">
        <f t="shared" si="11"/>
        <v>0</v>
      </c>
    </row>
    <row r="58" spans="5:45" x14ac:dyDescent="0.4">
      <c r="AD58" t="s">
        <v>60</v>
      </c>
      <c r="AE58">
        <v>14000000</v>
      </c>
      <c r="AR58" t="b">
        <f t="shared" si="10"/>
        <v>0</v>
      </c>
      <c r="AS58" t="b">
        <f t="shared" si="11"/>
        <v>0</v>
      </c>
    </row>
    <row r="59" spans="5:45" x14ac:dyDescent="0.4">
      <c r="AD59" t="s">
        <v>61</v>
      </c>
      <c r="AE59">
        <v>1E-3</v>
      </c>
      <c r="AR59" t="b">
        <f t="shared" si="10"/>
        <v>0</v>
      </c>
      <c r="AS59" t="b">
        <f t="shared" si="11"/>
        <v>0</v>
      </c>
    </row>
    <row r="60" spans="5:45" x14ac:dyDescent="0.4">
      <c r="AD60" t="s">
        <v>62</v>
      </c>
      <c r="AE60">
        <v>45532</v>
      </c>
      <c r="AR60" t="b">
        <f t="shared" si="10"/>
        <v>0</v>
      </c>
      <c r="AS60" t="b">
        <f t="shared" si="11"/>
        <v>0</v>
      </c>
    </row>
    <row r="61" spans="5:45" x14ac:dyDescent="0.4">
      <c r="AD61" t="s">
        <v>63</v>
      </c>
      <c r="AE61">
        <v>45352</v>
      </c>
      <c r="AR61" t="b">
        <f t="shared" si="10"/>
        <v>0</v>
      </c>
      <c r="AS61" t="b">
        <f t="shared" si="11"/>
        <v>0</v>
      </c>
    </row>
    <row r="62" spans="5:45" x14ac:dyDescent="0.4">
      <c r="AD62" t="s">
        <v>64</v>
      </c>
      <c r="AE62">
        <v>45532</v>
      </c>
      <c r="AR62" t="b">
        <f t="shared" si="10"/>
        <v>0</v>
      </c>
      <c r="AS62" t="b">
        <f t="shared" si="11"/>
        <v>0</v>
      </c>
    </row>
    <row r="63" spans="5:45" x14ac:dyDescent="0.4">
      <c r="AD63" t="s">
        <v>65</v>
      </c>
      <c r="AE63" t="s">
        <v>8</v>
      </c>
      <c r="AR63" t="b">
        <f t="shared" si="10"/>
        <v>0</v>
      </c>
      <c r="AS63" t="b">
        <f t="shared" si="11"/>
        <v>0</v>
      </c>
    </row>
    <row r="64" spans="5:45" x14ac:dyDescent="0.4">
      <c r="AD64" t="s">
        <v>66</v>
      </c>
      <c r="AE64">
        <v>15000000</v>
      </c>
      <c r="AR64" t="b">
        <f t="shared" si="10"/>
        <v>0</v>
      </c>
      <c r="AS64" t="b">
        <f t="shared" si="11"/>
        <v>0</v>
      </c>
    </row>
    <row r="65" spans="30:45" x14ac:dyDescent="0.4">
      <c r="AD65" t="s">
        <v>67</v>
      </c>
      <c r="AE65">
        <v>1E-3</v>
      </c>
      <c r="AR65" t="b">
        <f>P65=AD65</f>
        <v>0</v>
      </c>
      <c r="AS65" t="b">
        <f>Q65=AE65</f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JsonObject:EED117AD-EBFD-46BD-A224-D289146B930F</v>
      </c>
      <c r="K1" t="str">
        <f>EXLIBRIS_CONFIGURATION</f>
        <v>ExLibris.Core.ExLibrisConfiguration:0D0AC951-C4F0-4C41-BE04-012B566C8134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JsonObject:290B9A4C-37A4-489C-85C3-3E5EA50711D1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JsonObject:53B031D7-1A79-4C8D-8898-650D2BB46401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JsonObject:DB19D96E-89DA-4165-BE8A-10784DE0B016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JsonObject:53B031D7-1A79-4C8D-8898-650D2BB46401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JsonObject:E38A0DD4-84AF-45DF-8C65-1FD9755B66BA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JsonObject:F79B0B4A-7DAF-4F5F-A598-9D67C0551214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JsonObject:3C304BE1-A20E-4773-9F55-F33916538F99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H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8" x14ac:dyDescent="0.4">
      <c r="B2" t="s">
        <v>84</v>
      </c>
      <c r="C2" t="str" cm="1">
        <f t="array" ref="C2">_xll.ExLibris.LoadConfiguration(B6:C15)</f>
        <v>ExLibris.Core.ExLibrisConfiguration:0D0AC951-C4F0-4C41-BE04-012B566C8134</v>
      </c>
    </row>
    <row r="4" spans="2:8" s="4" customFormat="1" ht="18" x14ac:dyDescent="0.4">
      <c r="B4" s="4" t="s">
        <v>86</v>
      </c>
      <c r="E4" s="4" t="s">
        <v>85</v>
      </c>
    </row>
    <row r="6" spans="2:8" x14ac:dyDescent="0.4">
      <c r="B6" t="s">
        <v>76</v>
      </c>
      <c r="C6" t="s">
        <v>77</v>
      </c>
      <c r="E6" t="str" cm="1">
        <f t="array" ref="E6:F15">_xll.ExLibris.DumpObject(EXLIBRIS_CONFIGURATION)</f>
        <v>excel_value.excel_error_to</v>
      </c>
      <c r="F6" t="str">
        <v>Error</v>
      </c>
      <c r="H6" t="e" cm="1">
        <f t="array" ref="H6">_xll.ExLibris.ObserveRegisteredObjects()</f>
        <v>#N/A</v>
      </c>
    </row>
    <row r="7" spans="2:8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8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8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8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8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8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8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8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8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ExLibris.Core.WebSockets.WebsocketClient:64A5F749-80A8-4374-9287-C09A2113E56C</v>
      </c>
    </row>
    <row r="6" spans="2:5" x14ac:dyDescent="0.4">
      <c r="D6" t="s">
        <v>101</v>
      </c>
      <c r="E6" t="str" cm="1">
        <f t="array" ref="E6">_xll.ExLibris.WebSockets.ObserveWebSocketStatus(E4,1000)</f>
        <v>Closed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ExLibris.Core.WebSockets.WebsocketClient:BF6644FA-B4E5-4246-9A45-E096A059B7B9</v>
      </c>
    </row>
    <row r="19" spans="4:5" x14ac:dyDescent="0.4">
      <c r="D19" t="s">
        <v>101</v>
      </c>
      <c r="E19" t="str" cm="1">
        <f t="array" ref="E19">_xll.ExLibris.WebSockets.ObserveWebSocketStatus(E17,1000)</f>
        <v>Closed</v>
      </c>
    </row>
    <row r="20" spans="4:5" x14ac:dyDescent="0.4">
      <c r="D20" t="s">
        <v>102</v>
      </c>
      <c r="E20" t="e" cm="1">
        <f t="array" ref="E20">_xll.ExLibris.WebSockets.ObserveWebSocketMessage(E17)</f>
        <v>#N/A</v>
      </c>
    </row>
    <row r="22" spans="4:5" x14ac:dyDescent="0.4">
      <c r="D22" t="s">
        <v>103</v>
      </c>
      <c r="E22" t="e" cm="1">
        <f t="array" ref="E22">_xll.ExLibris.WebSockets.SendWebSocketMessage(E17,"test "&amp;D22,E19="Open")</f>
        <v>#N/A</v>
      </c>
    </row>
    <row r="23" spans="4:5" x14ac:dyDescent="0.4">
      <c r="D23" t="s">
        <v>104</v>
      </c>
      <c r="E23" t="e" cm="1">
        <f t="array" ref="E23">_xll.ExLibris.WebSockets.SendWebSocketMessage($E$4,"test next "&amp;D23,E22)</f>
        <v>#N/A</v>
      </c>
    </row>
    <row r="24" spans="4:5" x14ac:dyDescent="0.4">
      <c r="D24" t="s">
        <v>105</v>
      </c>
      <c r="E24" t="e" cm="1">
        <f t="array" ref="E24">_xll.ExLibris.WebSockets.SendWebSocketMessage($E$4,"test next "&amp;D24,E23)</f>
        <v>#N/A</v>
      </c>
    </row>
    <row r="25" spans="4:5" x14ac:dyDescent="0.4">
      <c r="D25" t="s">
        <v>106</v>
      </c>
      <c r="E25" t="e" cm="1">
        <f t="array" ref="E25">_xll.ExLibris.WebSockets.SendWebSocketMessage($E$4,"test next "&amp;D25,E24)</f>
        <v>#N/A</v>
      </c>
    </row>
    <row r="26" spans="4:5" x14ac:dyDescent="0.4">
      <c r="D26" t="s">
        <v>107</v>
      </c>
      <c r="E26" t="e" cm="1">
        <f t="array" ref="E26">_xll.ExLibris.WebSockets.SendWebSocketMessage($E$4,"test next "&amp;D26,E25)</f>
        <v>#N/A</v>
      </c>
    </row>
    <row r="27" spans="4:5" x14ac:dyDescent="0.4">
      <c r="D27" t="s">
        <v>108</v>
      </c>
      <c r="E27" t="e" cm="1">
        <f t="array" ref="E27">_xll.ExLibris.WebSockets.SendWebSocketMessage($E$4,"test next "&amp;D27,E26)</f>
        <v>#N/A</v>
      </c>
    </row>
    <row r="28" spans="4:5" x14ac:dyDescent="0.4">
      <c r="D28" t="s">
        <v>109</v>
      </c>
      <c r="E28" t="e" cm="1">
        <f t="array" ref="E28">_xll.ExLibris.WebSockets.SendWebSocketMessage($E$4,"test next "&amp;D28,E27)</f>
        <v>#N/A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I51"/>
  <sheetViews>
    <sheetView tabSelected="1"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9" x14ac:dyDescent="0.4">
      <c r="B2" t="s">
        <v>120</v>
      </c>
      <c r="C2" s="7" t="s">
        <v>126</v>
      </c>
      <c r="E2" t="s">
        <v>128</v>
      </c>
    </row>
    <row r="3" spans="2:9" x14ac:dyDescent="0.4">
      <c r="C3" t="s">
        <v>125</v>
      </c>
    </row>
    <row r="5" spans="2:9" x14ac:dyDescent="0.4">
      <c r="B5" t="str" cm="1">
        <f t="array" ref="B5">_xll.ExLibris.WebAPIs.CreateHeaders(B6:C10)</f>
        <v>ExLibris.Core.WebAPIs.WebAPIHeaders:607A1A5A-615E-4478-A924-6EEEA6541D4C</v>
      </c>
      <c r="H5" t="str" cm="1">
        <f t="array" ref="H5">_xll.ExLibris.Json.CreateJsonObject(H6:I11)</f>
        <v>JsonObject:01D58A43-E47B-4D68-91D5-77539870CD9B</v>
      </c>
    </row>
    <row r="6" spans="2:9" x14ac:dyDescent="0.4">
      <c r="B6" t="s">
        <v>129</v>
      </c>
      <c r="C6" t="s">
        <v>130</v>
      </c>
      <c r="H6" t="s">
        <v>149</v>
      </c>
      <c r="I6" t="s">
        <v>151</v>
      </c>
    </row>
    <row r="7" spans="2:9" x14ac:dyDescent="0.4">
      <c r="B7" t="s">
        <v>131</v>
      </c>
      <c r="C7" t="s">
        <v>137</v>
      </c>
      <c r="H7" t="s">
        <v>150</v>
      </c>
      <c r="I7" t="s">
        <v>152</v>
      </c>
    </row>
    <row r="8" spans="2:9" x14ac:dyDescent="0.4">
      <c r="B8" t="s">
        <v>132</v>
      </c>
      <c r="C8" t="s">
        <v>138</v>
      </c>
      <c r="H8" t="s">
        <v>140</v>
      </c>
      <c r="I8">
        <v>108.5</v>
      </c>
    </row>
    <row r="9" spans="2:9" x14ac:dyDescent="0.4">
      <c r="B9" t="s">
        <v>133</v>
      </c>
      <c r="C9" t="s">
        <v>134</v>
      </c>
      <c r="H9" t="s">
        <v>141</v>
      </c>
      <c r="I9" t="s">
        <v>142</v>
      </c>
    </row>
    <row r="10" spans="2:9" x14ac:dyDescent="0.4">
      <c r="B10" t="s">
        <v>135</v>
      </c>
      <c r="C10" t="s">
        <v>136</v>
      </c>
      <c r="H10" t="s">
        <v>143</v>
      </c>
      <c r="I10" t="s">
        <v>144</v>
      </c>
    </row>
    <row r="11" spans="2:9" x14ac:dyDescent="0.4">
      <c r="H11" t="s">
        <v>145</v>
      </c>
      <c r="I11" s="1">
        <v>44463</v>
      </c>
    </row>
    <row r="12" spans="2:9" x14ac:dyDescent="0.4">
      <c r="I12" s="1"/>
    </row>
    <row r="13" spans="2:9" x14ac:dyDescent="0.4">
      <c r="B13" t="s">
        <v>124</v>
      </c>
      <c r="C13" t="s">
        <v>123</v>
      </c>
      <c r="D13" t="str">
        <f>$C$2&amp;"get"</f>
        <v>http://localhost:80/get</v>
      </c>
    </row>
    <row r="14" spans="2:9" x14ac:dyDescent="0.4">
      <c r="C14" t="s">
        <v>121</v>
      </c>
      <c r="D14" t="str" cm="1">
        <f t="array" ref="D14">_xll.ExLibris.WebAPIs.GET(D13)</f>
        <v>ExLibris.Core.WebAPIs.Response:3422AB6A-AD26-4E9F-AECF-068391C0CF11</v>
      </c>
    </row>
    <row r="15" spans="2:9" x14ac:dyDescent="0.4">
      <c r="C15" t="s">
        <v>101</v>
      </c>
      <c r="D15" cm="1">
        <f t="array" ref="D15">_xll.ExLibris.WebAPIs.WebAPIResponseStatus(D14,TRUE)</f>
        <v>200</v>
      </c>
    </row>
    <row r="16" spans="2:9" x14ac:dyDescent="0.4">
      <c r="C16" t="s">
        <v>122</v>
      </c>
      <c r="D16" t="str" cm="1">
        <f t="array" ref="D16">_xll.ExLibris.WebAPIs.WebAPIRequestContent(D14)</f>
        <v xml:space="preserve">{
  "args": {}, 
  "headers": {
    "Host": "localhost"
  }, 
  "origin": "172.17.0.1", 
  "url": "http://localhost/get"
}
</v>
      </c>
    </row>
    <row r="18" spans="2:4" x14ac:dyDescent="0.4">
      <c r="B18" t="s">
        <v>127</v>
      </c>
      <c r="C18" t="s">
        <v>123</v>
      </c>
      <c r="D18" t="str">
        <f>$C$2&amp;"post"</f>
        <v>http://localhost:80/post</v>
      </c>
    </row>
    <row r="19" spans="2:4" x14ac:dyDescent="0.4">
      <c r="C19" t="s">
        <v>121</v>
      </c>
      <c r="D19" t="str" cm="1">
        <f t="array" ref="D19">_xll.ExLibris.WebAPIs.POST(D18)</f>
        <v>ExLibris.Core.WebAPIs.Response:D2E0241D-F272-47A9-BC83-264C38DB11B4</v>
      </c>
    </row>
    <row r="20" spans="2:4" x14ac:dyDescent="0.4">
      <c r="C20" t="s">
        <v>101</v>
      </c>
      <c r="D20" cm="1">
        <f t="array" ref="D20">_xll.ExLibris.WebAPIs.WebAPIResponseStatus(D19,TRUE)</f>
        <v>200</v>
      </c>
    </row>
    <row r="21" spans="2:4" x14ac:dyDescent="0.4">
      <c r="C21" t="s">
        <v>122</v>
      </c>
      <c r="D21" t="str" cm="1">
        <f t="array" ref="D21">_xll.ExLibris.WebAPIs.WebAPIRequestContent(D19)</f>
        <v xml:space="preserve">{
  "args": {}, 
  "data": "", 
  "files": {}, 
  "form": {}, 
  "headers": {
    "Content-Length": "0", 
    "Host": "localhost"
  }, 
  "json": null, 
  "origin": "172.17.0.1", 
  "url": "http://localhost/post"
}
</v>
      </c>
    </row>
    <row r="23" spans="2:4" x14ac:dyDescent="0.4">
      <c r="B23" t="s">
        <v>139</v>
      </c>
      <c r="C23" t="s">
        <v>123</v>
      </c>
      <c r="D23" t="str">
        <f>$C$2&amp;"bearer"</f>
        <v>http://localhost:80/bearer</v>
      </c>
    </row>
    <row r="24" spans="2:4" x14ac:dyDescent="0.4">
      <c r="C24" t="s">
        <v>121</v>
      </c>
      <c r="D24" t="str" cm="1">
        <f t="array" ref="D24">_xll.ExLibris.WebAPIs.GET(D23,$B$5)</f>
        <v>ExLibris.Core.WebAPIs.Response:28D413B8-3384-44C5-A8AE-65466649C73B</v>
      </c>
    </row>
    <row r="25" spans="2:4" x14ac:dyDescent="0.4">
      <c r="C25" t="s">
        <v>101</v>
      </c>
      <c r="D25" cm="1">
        <f t="array" ref="D25">_xll.ExLibris.WebAPIs.WebAPIResponseStatus(D24,TRUE)</f>
        <v>200</v>
      </c>
    </row>
    <row r="26" spans="2:4" x14ac:dyDescent="0.4">
      <c r="C26" t="s">
        <v>122</v>
      </c>
      <c r="D26" t="str" cm="1">
        <f t="array" ref="D26">_xll.ExLibris.WebAPIs.WebAPIRequestContent(D24)</f>
        <v xml:space="preserve">{
  "authenticated": true, 
  "token": "XXX11111222223333444444"
}
</v>
      </c>
    </row>
    <row r="28" spans="2:4" x14ac:dyDescent="0.4">
      <c r="B28" t="s">
        <v>146</v>
      </c>
      <c r="C28" t="s">
        <v>123</v>
      </c>
      <c r="D28" t="str">
        <f>$C$2&amp;"post"</f>
        <v>http://localhost:80/post</v>
      </c>
    </row>
    <row r="29" spans="2:4" x14ac:dyDescent="0.4">
      <c r="C29" t="s">
        <v>121</v>
      </c>
      <c r="D29" t="str" cm="1">
        <f t="array" ref="D29">_xll.ExLibris.WebAPIs.POST(D28,_xll.ExLibris.Json.ShowJsonText(H5),,$B$5)</f>
        <v>ExLibris.Core.WebAPIs.Response:D542C13C-E967-48F3-B47B-DC9F20305133</v>
      </c>
    </row>
    <row r="30" spans="2:4" x14ac:dyDescent="0.4">
      <c r="C30" t="s">
        <v>101</v>
      </c>
      <c r="D30" cm="1">
        <f t="array" ref="D30">_xll.ExLibris.WebAPIs.WebAPIResponseStatus(D29,TRUE)</f>
        <v>200</v>
      </c>
    </row>
    <row r="31" spans="2:4" x14ac:dyDescent="0.4">
      <c r="C31" t="s">
        <v>122</v>
      </c>
      <c r="D31" t="str" cm="1">
        <f t="array" ref="D31">_xll.ExLibris.WebAPIs.WebAPIRequestContent(D29)</f>
        <v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v>
      </c>
    </row>
    <row r="33" spans="2:4" x14ac:dyDescent="0.4">
      <c r="B33" t="s">
        <v>147</v>
      </c>
      <c r="C33" t="s">
        <v>123</v>
      </c>
      <c r="D33" t="str">
        <f>$C$2&amp;"post"</f>
        <v>http://localhost:80/post</v>
      </c>
    </row>
    <row r="34" spans="2:4" x14ac:dyDescent="0.4">
      <c r="C34" t="s">
        <v>121</v>
      </c>
      <c r="D34" t="str" cm="1">
        <f t="array" ref="D34">_xll.ExLibris.WebAPIs.POST(D33,H5,TRUE,$B$5)</f>
        <v>ExLibris.Core.WebAPIs.Response:4E53B07D-0595-4CD3-84EA-7AA2F5C1A0B8</v>
      </c>
    </row>
    <row r="35" spans="2:4" x14ac:dyDescent="0.4">
      <c r="C35" t="s">
        <v>101</v>
      </c>
      <c r="D35" cm="1">
        <f t="array" ref="D35">_xll.ExLibris.WebAPIs.WebAPIResponseStatus(D34,TRUE)</f>
        <v>200</v>
      </c>
    </row>
    <row r="36" spans="2:4" x14ac:dyDescent="0.4">
      <c r="C36" t="s">
        <v>122</v>
      </c>
      <c r="D36" t="str" cm="1">
        <f t="array" ref="D36">_xll.ExLibris.WebAPIs.WebAPIRequestContent(D34)</f>
        <v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v>
      </c>
    </row>
    <row r="38" spans="2:4" x14ac:dyDescent="0.4">
      <c r="B38" t="s">
        <v>148</v>
      </c>
      <c r="C38" t="s">
        <v>123</v>
      </c>
      <c r="D38" t="str" cm="1">
        <f t="array" ref="D38">_xll.ExLibris.WebAPIs.BuildUri($C$2&amp;"post",H6:I11)</f>
        <v>http://localhost:80/post?currency_pair.left=USD&amp;currency_pair.right=JPY&amp;strike=108.5&amp;call_or_put=CALL&amp;buy_or_sell=SELL&amp;date=44463</v>
      </c>
    </row>
    <row r="39" spans="2:4" x14ac:dyDescent="0.4">
      <c r="C39" t="s">
        <v>121</v>
      </c>
      <c r="D39" t="str" cm="1">
        <f t="array" ref="D39">_xll.ExLibris.WebAPIs.POST(D38,H6:I11,TRUE,$B$5)</f>
        <v>ExLibris.Core.WebAPIs.Response:71ACDFA3-7B6F-423F-A66F-3B2F38787FE9</v>
      </c>
    </row>
    <row r="40" spans="2:4" x14ac:dyDescent="0.4">
      <c r="C40" t="s">
        <v>101</v>
      </c>
      <c r="D40" cm="1">
        <f t="array" ref="D40">_xll.ExLibris.WebAPIs.WebAPIResponseStatus(D39,TRUE)</f>
        <v>200</v>
      </c>
    </row>
    <row r="41" spans="2:4" x14ac:dyDescent="0.4">
      <c r="C41" t="s">
        <v>122</v>
      </c>
      <c r="D41" t="str" cm="1">
        <f t="array" ref="D41">_xll.ExLibris.WebAPIs.WebAPIRequestContent(D39)</f>
        <v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v>
      </c>
    </row>
    <row r="43" spans="2:4" x14ac:dyDescent="0.4">
      <c r="B43" t="s">
        <v>153</v>
      </c>
      <c r="C43" t="s">
        <v>123</v>
      </c>
      <c r="D43" t="str" cm="1">
        <f t="array" ref="D43">_xll.ExLibris.WebAPIs.BuildUri($C$2&amp;"get",H6:I11)</f>
        <v>http://localhost:80/get?currency_pair.left=USD&amp;currency_pair.right=JPY&amp;strike=108.5&amp;call_or_put=CALL&amp;buy_or_sell=SELL&amp;date=44463</v>
      </c>
    </row>
    <row r="44" spans="2:4" x14ac:dyDescent="0.4">
      <c r="C44" t="s">
        <v>121</v>
      </c>
      <c r="D44" t="str" cm="1">
        <f t="array" ref="D44">_xll.ExLibris.WebAPIs.GET(D43)</f>
        <v>ExLibris.Core.WebAPIs.Response:A8C44C1F-63C1-498F-A66D-BD891367955D</v>
      </c>
    </row>
    <row r="45" spans="2:4" x14ac:dyDescent="0.4">
      <c r="C45" t="s">
        <v>101</v>
      </c>
      <c r="D45" cm="1">
        <f t="array" ref="D45">_xll.ExLibris.WebAPIs.WebAPIResponseStatus(D44,TRUE)</f>
        <v>200</v>
      </c>
    </row>
    <row r="46" spans="2:4" x14ac:dyDescent="0.4">
      <c r="C46" t="s">
        <v>122</v>
      </c>
      <c r="D46" t="str" cm="1">
        <f t="array" ref="D46">_xll.ExLibris.WebAPIs.WebAPIRequestContent(D44)</f>
        <v xml:space="preserve">{
  "args": {
    "buy_or_sell": "SELL", 
    "call_or_put": "CALL", 
    "currency_pair.left": "USD", 
    "currency_pair.right": "JPY", 
    "date": "44463", 
    "strike": "108.5"
  }, 
  "headers": {
    "Host": "localhost"
  }, 
  "origin": "172.17.0.1", 
  "url": "http://localhost/get?currency_pair.left=USD&amp;currency_pair.right=JPY&amp;strike=108.5&amp;call_or_put=CALL&amp;buy_or_sell=SELL&amp;date=44463"
}
</v>
      </c>
    </row>
    <row r="48" spans="2:4" x14ac:dyDescent="0.4">
      <c r="B48" t="s">
        <v>155</v>
      </c>
      <c r="C48" t="s">
        <v>123</v>
      </c>
      <c r="D48" t="str">
        <f>$C$2&amp;"delay/10"</f>
        <v>http://localhost:80/delay/10</v>
      </c>
    </row>
    <row r="49" spans="3:4" x14ac:dyDescent="0.4">
      <c r="C49" t="s">
        <v>121</v>
      </c>
      <c r="D49" t="str" cm="1">
        <f t="array" ref="D49">_xll.ExLibris.WebAPIs.GET(D48)</f>
        <v>ExLibris.Core.WebAPIs.Response:FFFECBC7-200C-42C6-AEAC-67E3D66D9592</v>
      </c>
    </row>
    <row r="50" spans="3:4" x14ac:dyDescent="0.4">
      <c r="C50" t="s">
        <v>101</v>
      </c>
      <c r="D50" cm="1">
        <f t="array" ref="D50">_xll.ExLibris.WebAPIs.WebAPIResponseStatus(D49,TRUE)</f>
        <v>200</v>
      </c>
    </row>
    <row r="51" spans="3:4" x14ac:dyDescent="0.4">
      <c r="C51" t="s">
        <v>122</v>
      </c>
      <c r="D51" t="str" cm="1">
        <f t="array" ref="D51">_xll.ExLibris.WebAPIs.WebAPIRequestContent(D49)</f>
        <v xml:space="preserve">{
  "args": {}, 
  "data": "", 
  "files": {}, 
  "form": {}, 
  "headers": {
    "Host": "localhost"
  }, 
  "origin": "172.17.0.1", 
  "url": "http://localhost/delay/10"
}
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3" max="3" width="18.25" customWidth="1"/>
  </cols>
  <sheetData>
    <row r="2" spans="2:4" x14ac:dyDescent="0.4">
      <c r="B2" t="str" cm="1">
        <f t="array" ref="B2">_xll.ExLibris.WebAPIs.CreateHeaders(B3:C3)</f>
        <v>ExLibris.Core.WebAPIs.WebAPIHeaders:23264D0A-C894-44C1-A933-7234EAD7ABDD</v>
      </c>
    </row>
    <row r="3" spans="2:4" x14ac:dyDescent="0.4">
      <c r="B3" t="s">
        <v>129</v>
      </c>
      <c r="C3" t="s">
        <v>154</v>
      </c>
    </row>
    <row r="5" spans="2:4" x14ac:dyDescent="0.4">
      <c r="B5" t="s">
        <v>123</v>
      </c>
      <c r="C5" t="str">
        <f>"https://api.github.com/users/"&amp;C3</f>
        <v>https://api.github.com/users/defunkt</v>
      </c>
    </row>
    <row r="6" spans="2:4" x14ac:dyDescent="0.4">
      <c r="B6" t="s">
        <v>121</v>
      </c>
      <c r="C6" t="str" cm="1">
        <f t="array" ref="C6">_xll.ExLibris.WebAPIs.GET(C5,B2)</f>
        <v>ExLibris.Core.WebAPIs.Response:6BD702DC-C4E7-486F-A4BA-8814D286CDB6</v>
      </c>
    </row>
    <row r="7" spans="2:4" x14ac:dyDescent="0.4">
      <c r="B7" t="s">
        <v>101</v>
      </c>
      <c r="C7" t="str" cm="1">
        <f t="array" ref="C7">_xll.ExLibris.WebAPIs.WebAPIResponseStatus(C6)</f>
        <v>OK(200)</v>
      </c>
    </row>
    <row r="8" spans="2:4" x14ac:dyDescent="0.4">
      <c r="B8" t="s">
        <v>122</v>
      </c>
      <c r="C8" t="str" cm="1">
        <f t="array" ref="C8">_xll.ExLibris.WebAPIs.WebAPIRequestContent(C6)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21286,"following":210,"created_at":"2007-10-20T05:24:19Z","updated_at":"2021-07-29T11:10:23Z"}</v>
      </c>
    </row>
    <row r="10" spans="2:4" x14ac:dyDescent="0.4">
      <c r="C10" t="str" cm="1">
        <f t="array" ref="C10">_xll.ExLibris.Json.CreateJsonObject(C8)</f>
        <v>JsonObject:226378C9-B698-4112-B3DE-F839054F1465</v>
      </c>
    </row>
    <row r="11" spans="2:4" x14ac:dyDescent="0.4">
      <c r="C11" t="str" cm="1">
        <f t="array" ref="C11:D42">_xll.ExLibris.Json.GetJsonKeyValues(C10)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21286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2021-07-29T11:10:23Z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</vt:i4>
      </vt:variant>
    </vt:vector>
  </HeadingPairs>
  <TitlesOfParts>
    <vt:vector size="7" baseType="lpstr">
      <vt:lpstr>json_test</vt:lpstr>
      <vt:lpstr>json_w_conf_test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2021-09-25T01:06:58Z</dcterms:modified>
</cp:coreProperties>
</file>