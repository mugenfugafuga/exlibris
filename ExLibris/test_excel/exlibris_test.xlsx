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37201D11-3BF4-4E38-868C-BE7F38ECB4B6}" xr6:coauthVersionLast="47" xr6:coauthVersionMax="47" xr10:uidLastSave="{00000000-0000-0000-0000-000000000000}"/>
  <bookViews>
    <workbookView xWindow="-120" yWindow="-120" windowWidth="29040" windowHeight="15840" xr2:uid="{705CD0B7-27A9-4291-85BD-6034C0FEE3E4}"/>
  </bookViews>
  <sheets>
    <sheet name="json_test" sheetId="1" r:id="rId1"/>
    <sheet name="configuration" sheetId="2" r:id="rId2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0" i="1" l="1"/>
  <c r="I11" i="1" s="1"/>
  <c r="I12" i="1" s="1"/>
  <c r="I13" i="1" s="1"/>
  <c r="I14" i="1" s="1"/>
  <c r="G9" i="1"/>
  <c r="E9" i="1" s="1"/>
  <c r="C2" i="2" a="1"/>
  <c r="C2" i="2" l="1"/>
  <c r="K1" i="1" s="1"/>
  <c r="F10" i="1"/>
  <c r="G10" i="1" s="1"/>
  <c r="F11" i="1" s="1"/>
  <c r="G11" i="1" s="1"/>
  <c r="F12" i="1" s="1"/>
  <c r="G12" i="1" s="1"/>
  <c r="E12" i="1" s="1"/>
  <c r="E6" i="2" a="1"/>
  <c r="F13" i="1" l="1"/>
  <c r="G13" i="1" s="1"/>
  <c r="F14" i="1" s="1"/>
  <c r="G14" i="1" s="1"/>
  <c r="E14" i="1" s="1"/>
  <c r="E10" i="1"/>
  <c r="E11" i="1"/>
  <c r="E6" i="2"/>
  <c r="E13" i="1" l="1"/>
  <c r="F6" i="1" a="1"/>
  <c r="F6" i="1" l="1"/>
  <c r="F1" i="1" a="1"/>
  <c r="F1" i="1" l="1"/>
  <c r="I19" i="1" a="1"/>
  <c r="M6" i="1" a="1"/>
  <c r="E19" i="1" a="1"/>
  <c r="G43" i="1" a="1"/>
  <c r="G32" i="1" a="1"/>
  <c r="G33" i="1" a="1"/>
  <c r="G21" i="1" a="1"/>
  <c r="G50" i="1" a="1"/>
  <c r="G27" i="1" a="1"/>
  <c r="G22" i="1" a="1"/>
  <c r="G28" i="1" a="1"/>
  <c r="G24" i="1" a="1"/>
  <c r="G46" i="1" a="1"/>
  <c r="G37" i="1" a="1"/>
  <c r="G29" i="1" a="1"/>
  <c r="G42" i="1" a="1"/>
  <c r="G35" i="1" a="1"/>
  <c r="G48" i="1" a="1"/>
  <c r="G57" i="1" a="1"/>
  <c r="G25" i="1" a="1"/>
  <c r="G39" i="1" a="1"/>
  <c r="G51" i="1" a="1"/>
  <c r="G30" i="1" a="1"/>
  <c r="G54" i="1" a="1"/>
  <c r="G45" i="1" a="1"/>
  <c r="G20" i="1" a="1"/>
  <c r="G52" i="1" a="1"/>
  <c r="G49" i="1" a="1"/>
  <c r="G56" i="1" a="1"/>
  <c r="G36" i="1" a="1"/>
  <c r="G26" i="1" a="1"/>
  <c r="G44" i="1" a="1"/>
  <c r="G31" i="1" a="1"/>
  <c r="G55" i="1" a="1"/>
  <c r="G34" i="1" a="1"/>
  <c r="G53" i="1" a="1"/>
  <c r="G41" i="1" a="1"/>
  <c r="G38" i="1" a="1"/>
  <c r="G40" i="1" a="1"/>
  <c r="G23" i="1" a="1"/>
  <c r="G47" i="1" a="1"/>
  <c r="G51" i="1" l="1"/>
  <c r="G27" i="1"/>
  <c r="G39" i="1"/>
  <c r="G34" i="1"/>
  <c r="G23" i="1"/>
  <c r="G26" i="1"/>
  <c r="G29" i="1"/>
  <c r="G33" i="1"/>
  <c r="G22" i="1"/>
  <c r="G25" i="1"/>
  <c r="G46" i="1"/>
  <c r="G49" i="1"/>
  <c r="G20" i="1"/>
  <c r="G50" i="1"/>
  <c r="G37" i="1"/>
  <c r="G54" i="1"/>
  <c r="G48" i="1"/>
  <c r="G57" i="1"/>
  <c r="G21" i="1"/>
  <c r="G55" i="1"/>
  <c r="G40" i="1"/>
  <c r="G45" i="1"/>
  <c r="G30" i="1"/>
  <c r="G24" i="1"/>
  <c r="G38" i="1"/>
  <c r="G41" i="1"/>
  <c r="G32" i="1"/>
  <c r="G52" i="1"/>
  <c r="G47" i="1"/>
  <c r="G43" i="1"/>
  <c r="G28" i="1"/>
  <c r="G35" i="1"/>
  <c r="G31" i="1"/>
  <c r="G44" i="1"/>
  <c r="G56" i="1"/>
  <c r="G53" i="1"/>
  <c r="G42" i="1"/>
  <c r="G36" i="1"/>
  <c r="AA27" i="1"/>
  <c r="AB42" i="1"/>
  <c r="AB46" i="1"/>
  <c r="AC55" i="1"/>
  <c r="AB51" i="1"/>
  <c r="AB22" i="1"/>
  <c r="AB28" i="1"/>
  <c r="AA39" i="1"/>
  <c r="AA24" i="1"/>
  <c r="AB57" i="1"/>
  <c r="AB45" i="1"/>
  <c r="AC28" i="1"/>
  <c r="AB26" i="1"/>
  <c r="AA44" i="1"/>
  <c r="AC21" i="1"/>
  <c r="AB55" i="1"/>
  <c r="AA53" i="1"/>
  <c r="AA51" i="1"/>
  <c r="AA29" i="1"/>
  <c r="AA46" i="1"/>
  <c r="AB48" i="1"/>
  <c r="AC26" i="1"/>
  <c r="AC45" i="1"/>
  <c r="AA41" i="1"/>
  <c r="AB30" i="1"/>
  <c r="AB35" i="1"/>
  <c r="AA36" i="1"/>
  <c r="AA56" i="1"/>
  <c r="AC22" i="1"/>
  <c r="AA21" i="1"/>
  <c r="AB43" i="1"/>
  <c r="AB20" i="1"/>
  <c r="AA28" i="1"/>
  <c r="AC40" i="1"/>
  <c r="AA32" i="1"/>
  <c r="AC57" i="1"/>
  <c r="AC52" i="1"/>
  <c r="AA43" i="1"/>
  <c r="AC49" i="1"/>
  <c r="AC36" i="1"/>
  <c r="AC43" i="1"/>
  <c r="AB32" i="1"/>
  <c r="AB33" i="1"/>
  <c r="AB27" i="1"/>
  <c r="AA34" i="1"/>
  <c r="AA48" i="1"/>
  <c r="AC32" i="1"/>
  <c r="AC42" i="1"/>
  <c r="AA50" i="1"/>
  <c r="AC41" i="1"/>
  <c r="AC20" i="1"/>
  <c r="AC30" i="1"/>
  <c r="AC19" i="1"/>
  <c r="AB34" i="1"/>
  <c r="AB53" i="1"/>
  <c r="AA23" i="1"/>
  <c r="AA55" i="1"/>
  <c r="AC37" i="1"/>
  <c r="AB23" i="1"/>
  <c r="AA54" i="1"/>
  <c r="AA42" i="1"/>
  <c r="AC48" i="1"/>
  <c r="AA45" i="1"/>
  <c r="AB31" i="1"/>
  <c r="AC46" i="1"/>
  <c r="AB50" i="1"/>
  <c r="AC47" i="1"/>
  <c r="AA37" i="1"/>
  <c r="AB47" i="1"/>
  <c r="AA49" i="1"/>
  <c r="AB41" i="1"/>
  <c r="AA25" i="1"/>
  <c r="AC51" i="1"/>
  <c r="AB52" i="1"/>
  <c r="AB25" i="1"/>
  <c r="AB56" i="1"/>
  <c r="AA26" i="1"/>
  <c r="AB37" i="1"/>
  <c r="AC29" i="1"/>
  <c r="AC38" i="1"/>
  <c r="E19" i="1"/>
  <c r="AA35" i="1"/>
  <c r="AA57" i="1"/>
  <c r="AB38" i="1"/>
  <c r="AC34" i="1"/>
  <c r="AB54" i="1"/>
  <c r="AB21" i="1"/>
  <c r="AC44" i="1"/>
  <c r="AC31" i="1"/>
  <c r="AC39" i="1"/>
  <c r="AC54" i="1"/>
  <c r="AB29" i="1"/>
  <c r="AB39" i="1"/>
  <c r="AC27" i="1"/>
  <c r="AA40" i="1"/>
  <c r="AB40" i="1"/>
  <c r="AA33" i="1"/>
  <c r="AC35" i="1"/>
  <c r="AC33" i="1"/>
  <c r="AA30" i="1"/>
  <c r="AB36" i="1"/>
  <c r="AB49" i="1"/>
  <c r="AA47" i="1"/>
  <c r="AC53" i="1"/>
  <c r="AC23" i="1"/>
  <c r="AA31" i="1"/>
  <c r="AC56" i="1"/>
  <c r="AC25" i="1"/>
  <c r="AA38" i="1"/>
  <c r="AC24" i="1"/>
  <c r="AA22" i="1"/>
  <c r="AB44" i="1"/>
  <c r="AB24" i="1"/>
  <c r="AA52" i="1"/>
  <c r="AA20" i="1"/>
  <c r="AC50" i="1"/>
  <c r="M6" i="1"/>
  <c r="C5" i="1" s="1"/>
  <c r="I19" i="1"/>
  <c r="I28" i="1" a="1"/>
  <c r="I20" i="1" a="1"/>
  <c r="G19" i="1" a="1"/>
  <c r="G19" i="1" l="1"/>
  <c r="AJ22" i="1"/>
  <c r="AI23" i="1"/>
  <c r="AG24" i="1"/>
  <c r="AJ26" i="1"/>
  <c r="AJ24" i="1"/>
  <c r="AH26" i="1"/>
  <c r="AF24" i="1"/>
  <c r="AF26" i="1"/>
  <c r="AE21" i="1"/>
  <c r="AF23" i="1"/>
  <c r="AI24" i="1"/>
  <c r="AJ20" i="1"/>
  <c r="AG26" i="1"/>
  <c r="AI22" i="1"/>
  <c r="AJ25" i="1"/>
  <c r="AH21" i="1"/>
  <c r="AJ21" i="1"/>
  <c r="AE26" i="1"/>
  <c r="AG23" i="1"/>
  <c r="AE24" i="1"/>
  <c r="AH23" i="1"/>
  <c r="AH24" i="1"/>
  <c r="AF21" i="1"/>
  <c r="AF22" i="1"/>
  <c r="AF20" i="1"/>
  <c r="AE23" i="1"/>
  <c r="AI20" i="1"/>
  <c r="AH25" i="1"/>
  <c r="AI26" i="1"/>
  <c r="I20" i="1"/>
  <c r="AE20" i="1" s="1"/>
  <c r="C4" i="1" s="1"/>
  <c r="AH20" i="1"/>
  <c r="AH22" i="1"/>
  <c r="AE22" i="1"/>
  <c r="AJ23" i="1"/>
  <c r="AI25" i="1"/>
  <c r="AI21" i="1"/>
  <c r="AG20" i="1"/>
  <c r="AG22" i="1"/>
  <c r="AF25" i="1"/>
  <c r="AG21" i="1"/>
  <c r="AG25" i="1"/>
  <c r="AE25" i="1"/>
  <c r="I28" i="1"/>
  <c r="AB19" i="1"/>
  <c r="AA19" i="1"/>
  <c r="C3" i="1" s="1"/>
  <c r="I29" i="1" a="1"/>
  <c r="AF29" i="1" l="1"/>
  <c r="AG30" i="1"/>
  <c r="AJ30" i="1"/>
  <c r="AG29" i="1"/>
  <c r="AH29" i="1"/>
  <c r="AI30" i="1"/>
  <c r="AJ29" i="1"/>
  <c r="AH30" i="1"/>
  <c r="AF30" i="1"/>
  <c r="AI29" i="1"/>
  <c r="I29" i="1"/>
  <c r="AE29" i="1" s="1"/>
  <c r="AE30" i="1"/>
  <c r="C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<sst xmlns="http://schemas.openxmlformats.org/spreadsheetml/2006/main" count="194" uniqueCount="101">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</sst>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873cffdadce54f418d5216d2bf4757b9">
      <tp>
        <v>1</v>
        <stp/>
        <stp>04c84295-e828-40c0-a37a-66b449342543</stp>
        <tr r="G56" s="1"/>
      </tp>
    </main>
    <main first="rtdsrv.873cffdadce54f418d5216d2bf4757b9">
      <tp>
        <v>1</v>
        <stp/>
        <stp>28a5836a-18c0-4884-88a3-118a8ee66ffb</stp>
        <tr r="G27" s="1"/>
      </tp>
      <tp>
        <v>1</v>
        <stp/>
        <stp>67eecc84-1e60-4886-82c9-a755994ebcad</stp>
        <tr r="G21" s="1"/>
      </tp>
    </main>
    <main first="rtdsrv.873cffdadce54f418d5216d2bf4757b9">
      <tp>
        <v>1</v>
        <stp/>
        <stp>35b6968e-f9e7-4aea-a353-8c5b7817e6b3</stp>
        <tr r="G35" s="1"/>
      </tp>
    </main>
    <main first="rtdsrv.873cffdadce54f418d5216d2bf4757b9">
      <tp>
        <v>1</v>
        <stp/>
        <stp>e33286b6-79a8-4f1f-9f7d-e71e58afc790</stp>
        <tr r="G48" s="1"/>
      </tp>
      <tp>
        <v>1</v>
        <stp/>
        <stp>1668002d-79c7-4e19-83c0-bb29ececc0c7</stp>
        <tr r="I19" s="1"/>
      </tp>
      <tp>
        <v>1</v>
        <stp/>
        <stp>8e3259ab-2f9e-415e-b444-c3ad5ccab579</stp>
        <tr r="G29" s="1"/>
      </tp>
    </main>
    <main first="rtdsrv.873cffdadce54f418d5216d2bf4757b9">
      <tp>
        <v>1</v>
        <stp/>
        <stp>52990d18-bb37-40b9-bd0d-606d9e81e2a9</stp>
        <tr r="G33" s="1"/>
      </tp>
    </main>
    <main first="rtdsrv.873cffdadce54f418d5216d2bf4757b9">
      <tp>
        <v>1</v>
        <stp/>
        <stp>db8365a5-8275-4c4d-bbb8-bffa70d11f10</stp>
        <tr r="I28" s="1"/>
      </tp>
    </main>
    <main first="rtdsrv.873cffdadce54f418d5216d2bf4757b9">
      <tp>
        <v>1</v>
        <stp/>
        <stp>5157c223-7032-4ac6-acc5-72d9225f3698</stp>
        <tr r="G39" s="1"/>
      </tp>
      <tp>
        <v>1</v>
        <stp/>
        <stp>7372b5e5-4b93-4d21-a2d5-c41f41b2b560</stp>
        <tr r="G53" s="1"/>
      </tp>
      <tp>
        <v>1</v>
        <stp/>
        <stp>7b93fda7-5d8f-4e44-865d-68cf2e5c998a</stp>
        <tr r="G23" s="1"/>
      </tp>
      <tp>
        <v>1</v>
        <stp/>
        <stp>e119a8fb-b444-4608-ad61-f1b3e210c016</stp>
        <tr r="G55" s="1"/>
      </tp>
      <tp>
        <v>1</v>
        <stp/>
        <stp>18753796-c8f5-4a43-b044-796b21a0159f</stp>
        <tr r="G51" s="1"/>
      </tp>
      <tp>
        <v>1</v>
        <stp/>
        <stp>fe33b596-1fea-474d-b7f0-0ba47622dac9</stp>
        <tr r="G54" s="1"/>
      </tp>
    </main>
    <main first="rtdsrv.873cffdadce54f418d5216d2bf4757b9">
      <tp>
        <v>1</v>
        <stp/>
        <stp>b5a655a6-7753-4962-9a7a-adf081a0c117</stp>
        <tr r="G37" s="1"/>
      </tp>
    </main>
    <main first="rtdsrv.873cffdadce54f418d5216d2bf4757b9">
      <tp>
        <v>1</v>
        <stp/>
        <stp>622965f7-9d21-46a9-bccd-04731f5aac67</stp>
        <tr r="G24" s="1"/>
      </tp>
    </main>
    <main first="rtdsrv.873cffdadce54f418d5216d2bf4757b9">
      <tp>
        <v>1</v>
        <stp/>
        <stp>d2ebaaed-2212-4c74-ac1a-79fc91e8b922</stp>
        <tr r="F6" s="1"/>
      </tp>
    </main>
    <main first="rtdsrv.873cffdadce54f418d5216d2bf4757b9">
      <tp>
        <v>1</v>
        <stp/>
        <stp>311a7895-13f4-466f-b9c0-169e7faa4995</stp>
        <tr r="G41" s="1"/>
      </tp>
    </main>
    <main first="rtdsrv.873cffdadce54f418d5216d2bf4757b9">
      <tp>
        <v>1</v>
        <stp/>
        <stp>90b078d6-dafe-4e4b-820c-c678aafa28d8</stp>
        <tr r="G47" s="1"/>
      </tp>
      <tp>
        <v>1</v>
        <stp/>
        <stp>d09c9371-f7d1-4351-8c64-efcc57edec27</stp>
        <tr r="G20" s="1"/>
      </tp>
    </main>
    <main first="rtdsrv.873cffdadce54f418d5216d2bf4757b9">
      <tp>
        <v>1</v>
        <stp/>
        <stp>3773d181-98e9-4599-b8cd-caf79dd300c9</stp>
        <tr r="G31" s="1"/>
      </tp>
    </main>
    <main first="rtdsrv.873cffdadce54f418d5216d2bf4757b9">
      <tp>
        <v>1</v>
        <stp/>
        <stp>0c9e13bd-3246-4a30-98d4-4816a40a960b</stp>
        <tr r="G46" s="1"/>
      </tp>
      <tp>
        <v>1</v>
        <stp/>
        <stp>e68d3e49-d4c6-4323-ae84-d1ceac282c92</stp>
        <tr r="G30" s="1"/>
      </tp>
    </main>
    <main first="rtdsrv.873cffdadce54f418d5216d2bf4757b9">
      <tp>
        <v>1</v>
        <stp/>
        <stp>7b0498cc-b69c-4e71-8ab7-f0e8f6768a70</stp>
        <tr r="G40" s="1"/>
      </tp>
      <tp>
        <v>1</v>
        <stp/>
        <stp>ab5bf8a4-a2ba-408d-84b2-333e64d95100</stp>
        <tr r="G32" s="1"/>
      </tp>
    </main>
    <main first="rtdsrv.873cffdadce54f418d5216d2bf4757b9">
      <tp>
        <v>1</v>
        <stp/>
        <stp>14ac7919-cb94-4468-a2a3-37e899892379</stp>
        <tr r="G44" s="1"/>
      </tp>
      <tp>
        <v>1</v>
        <stp/>
        <stp>0ca71408-8fe4-4a59-bb83-83831c9ef4db</stp>
        <tr r="G52" s="1"/>
      </tp>
    </main>
    <main first="rtdsrv.873cffdadce54f418d5216d2bf4757b9">
      <tp>
        <v>1</v>
        <stp/>
        <stp>c05861d3-fa21-4a77-acd4-e14361b5f309</stp>
        <tr r="G25" s="1"/>
      </tp>
    </main>
    <main first="rtdsrv.873cffdadce54f418d5216d2bf4757b9">
      <tp>
        <v>1</v>
        <stp/>
        <stp>7f806a47-1077-44cb-8fd8-5a71c4624c09</stp>
        <tr r="G57" s="1"/>
      </tp>
      <tp>
        <v>1</v>
        <stp/>
        <stp>daf7eb32-d395-46dd-a947-bd1b5be8c701</stp>
        <tr r="G49" s="1"/>
      </tp>
      <tp>
        <v>1</v>
        <stp/>
        <stp>4217222b-8751-42a7-b7ee-290013facfa7</stp>
        <tr r="G36" s="1"/>
      </tp>
    </main>
    <main first="rtdsrv.873cffdadce54f418d5216d2bf4757b9">
      <tp>
        <v>1</v>
        <stp/>
        <stp>a41f567e-6de8-4b5f-b859-425f5a49e14f</stp>
        <tr r="G43" s="1"/>
      </tp>
    </main>
    <main first="rtdsrv.873cffdadce54f418d5216d2bf4757b9">
      <tp>
        <v>1</v>
        <stp/>
        <stp>82307dbc-d5da-4547-8599-cf157f61a87c</stp>
        <tr r="G34" s="1"/>
      </tp>
    </main>
    <main first="rtdsrv.873cffdadce54f418d5216d2bf4757b9">
      <tp>
        <v>1</v>
        <stp/>
        <stp>af08ff61-c3d9-4848-8b17-852addbb58ae</stp>
        <tr r="G42" s="1"/>
      </tp>
      <tp>
        <v>1</v>
        <stp/>
        <stp>81709d45-860f-4c15-9d32-01f0c854aa94</stp>
        <tr r="G28" s="1"/>
      </tp>
      <tp>
        <v>1</v>
        <stp/>
        <stp>da84dee4-fd79-4fef-afba-ff4cd65ca50c</stp>
        <tr r="F1" s="1"/>
      </tp>
      <tp>
        <v>1</v>
        <stp/>
        <stp>59a951c2-8401-4980-8401-d6ee0a381ed3</stp>
        <tr r="G26" s="1"/>
      </tp>
    </main>
    <main first="rtdsrv.873cffdadce54f418d5216d2bf4757b9">
      <tp>
        <v>1</v>
        <stp/>
        <stp>780b22d1-8ce4-4262-83f2-232c6c8fe4db</stp>
        <tr r="G22" s="1"/>
      </tp>
      <tp>
        <v>1</v>
        <stp/>
        <stp>d0d77364-1035-4338-b030-5024f8256387</stp>
        <tr r="G50" s="1"/>
      </tp>
      <tp>
        <v>1</v>
        <stp/>
        <stp>44d8e61b-101c-42b6-ba30-a1d36427e23e</stp>
        <tr r="G38" s="1"/>
      </tp>
      <tp>
        <v>1</v>
        <stp/>
        <stp>e84609a8-efc1-43a2-952d-db4d76316128</stp>
        <tr r="C2" s="2"/>
      </tp>
    </main>
    <main first="rtdsrv.873cffdadce54f418d5216d2bf4757b9">
      <tp>
        <v>1</v>
        <stp/>
        <stp>984b58f4-d9c3-46ed-9e47-3655b092a27d</stp>
        <tr r="G19" s="1"/>
      </tp>
      <tp>
        <v>1</v>
        <stp/>
        <stp>7c66cd0d-b3c6-420c-9c7f-5c17fc15e135</stp>
        <tr r="G45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J57"/>
  <sheetViews>
    <sheetView tabSelected="1" zoomScaleNormal="100" workbookViewId="0"/>
  </sheetViews>
  <sheetFormatPr defaultRowHeight="18.75" x14ac:dyDescent="0.4"/>
  <cols>
    <col min="1" max="1" width="2.25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JsonObject:137D0617-1D21-4064-8C8C-E2B7F2CDBA09</v>
      </c>
      <c r="K1" t="str">
        <f>EXLIBRIS_CONFIGURATION</f>
        <v>ExLibris.Core.ExLibrisConfiguration:ACCDE596-CF09-44AC-8E76-24D31709B1F6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JsonObject:43E1B2A4-39AE-4C6D-B493-1BDCE0D50D5F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_date":"2022-09-08","start_date":"2022-03-12","end_date":"2022-09-08","day_count_type":"ACT/360","amout":11000000,"fixed_rate":0.001},{"payment _date":"2023-03-07","start_date":"2022-09-08","end_date":"2023-03-07","day_count_type":"ACT/360","amout":12000000,"fixed_rate":0.001},{"payment _date":"2023-09-03","start_date":"2023-03-07","end_date":"2023-09-03","day_count_type":"ACT/360","amout":13000000,"fixed_rate":0.001},{"payment _date":"2024-03-01","start_date":"2023-09-03","end_date":"2024-03-01","day_count_type":"ACT/360","amout":14000000,"fixed_rate":0.001},{"payment _date":"2024-08-28","start_date":"2024-03-01","end_date":"2024-08-28","day_count_type":"ACT/360","amout":15000000,"fixed_rate":0.001}]}}</v>
      </c>
    </row>
    <row r="7" spans="2:25" x14ac:dyDescent="0.4">
      <c r="L7" t="s">
        <v>74</v>
      </c>
      <c r="M7" t="s">
        <v>100</v>
      </c>
    </row>
    <row r="8" spans="2:25" x14ac:dyDescent="0.4"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JsonObject:6C03C7DE-4D63-47DE-93E6-5F62F7AC4C81</v>
      </c>
      <c r="P19" t="s">
        <v>14</v>
      </c>
      <c r="Q19" t="s">
        <v>16</v>
      </c>
      <c r="R19" t="s">
        <v>16</v>
      </c>
      <c r="AA19" t="b">
        <f t="shared" ref="AA19:AA57" si="4">E19=P19</f>
        <v>1</v>
      </c>
      <c r="AB19" t="b">
        <f t="shared" ref="AB19:AB57" si="5">E19=P19</f>
        <v>1</v>
      </c>
      <c r="AC19" t="b">
        <f t="shared" ref="AC19:AC57" si="6">F19=Q19</f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4"/>
        <v>1</v>
      </c>
      <c r="AB20" t="b">
        <f t="shared" si="5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4"/>
        <v>1</v>
      </c>
      <c r="AB21" t="b">
        <f t="shared" si="5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11000000</v>
      </c>
      <c r="N22">
        <v>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11000000</v>
      </c>
      <c r="Y22">
        <v>1E-3</v>
      </c>
      <c r="AA22" t="b">
        <f t="shared" si="4"/>
        <v>1</v>
      </c>
      <c r="AB22" t="b">
        <f t="shared" si="5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12000000</v>
      </c>
      <c r="N23">
        <v>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12000000</v>
      </c>
      <c r="Y23">
        <v>1E-3</v>
      </c>
      <c r="AA23" t="b">
        <f t="shared" si="4"/>
        <v>1</v>
      </c>
      <c r="AB23" t="b">
        <f t="shared" si="5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13000000</v>
      </c>
      <c r="N24">
        <v>1E-3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13000000</v>
      </c>
      <c r="Y24">
        <v>1E-3</v>
      </c>
      <c r="AA24" t="b">
        <f t="shared" si="4"/>
        <v>1</v>
      </c>
      <c r="AB24" t="b">
        <f t="shared" si="5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14000000</v>
      </c>
      <c r="N25">
        <v>1E-3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14000000</v>
      </c>
      <c r="Y25">
        <v>1E-3</v>
      </c>
      <c r="AA25" t="b">
        <f t="shared" si="4"/>
        <v>1</v>
      </c>
      <c r="AB25" t="b">
        <f t="shared" si="5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15000000</v>
      </c>
      <c r="N26">
        <v>1E-3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15000000</v>
      </c>
      <c r="Y26">
        <v>1E-3</v>
      </c>
      <c r="AA26" t="b">
        <f t="shared" si="4"/>
        <v>1</v>
      </c>
      <c r="AB26" t="b">
        <f t="shared" si="5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4"/>
        <v>1</v>
      </c>
      <c r="AB27" t="b">
        <f t="shared" si="5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JsonObject:97254D4E-6075-4937-B9AC-D475AEBAB59F</v>
      </c>
      <c r="P28" t="s">
        <v>38</v>
      </c>
      <c r="Q28" t="s">
        <v>95</v>
      </c>
      <c r="R28" t="s">
        <v>95</v>
      </c>
      <c r="AA28" t="b">
        <f t="shared" si="4"/>
        <v>1</v>
      </c>
      <c r="AB28" t="b">
        <f t="shared" si="5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4"/>
        <v>1</v>
      </c>
      <c r="AB29" t="b">
        <f t="shared" si="5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12000000</v>
      </c>
      <c r="N30">
        <v>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12000000</v>
      </c>
      <c r="Y30">
        <v>1E-3</v>
      </c>
      <c r="AA30" t="b">
        <f t="shared" si="4"/>
        <v>1</v>
      </c>
      <c r="AB30" t="b">
        <f t="shared" si="5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4"/>
        <v>1</v>
      </c>
      <c r="AB31" t="b">
        <f t="shared" si="5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11000000</v>
      </c>
      <c r="G32" cm="1">
        <f t="array" ref="G32">_xll.ExLibris.Json.GetJsonValue($F$1,E32, EXLIBRIS_CONFIGURATION)</f>
        <v>11000000</v>
      </c>
      <c r="P32" t="s">
        <v>42</v>
      </c>
      <c r="Q32">
        <v>11000000</v>
      </c>
      <c r="R32">
        <v>11000000</v>
      </c>
      <c r="AA32" t="b">
        <f t="shared" si="4"/>
        <v>1</v>
      </c>
      <c r="AB32" t="b">
        <f t="shared" si="5"/>
        <v>1</v>
      </c>
      <c r="AC32" t="b">
        <f t="shared" si="6"/>
        <v>1</v>
      </c>
    </row>
    <row r="33" spans="5:29" x14ac:dyDescent="0.4">
      <c r="E33" t="str">
        <v>fixed_leg.cashflows.[1].fixed_rate</v>
      </c>
      <c r="F33">
        <v>1E-3</v>
      </c>
      <c r="G33" cm="1">
        <f t="array" ref="G33">_xll.ExLibris.Json.GetJsonValue($F$1,E33, EXLIBRIS_CONFIGURATION)</f>
        <v>1E-3</v>
      </c>
      <c r="P33" t="s">
        <v>43</v>
      </c>
      <c r="Q33">
        <v>1E-3</v>
      </c>
      <c r="R33">
        <v>1E-3</v>
      </c>
      <c r="AA33" t="b">
        <f t="shared" si="4"/>
        <v>1</v>
      </c>
      <c r="AB33" t="b">
        <f t="shared" si="5"/>
        <v>1</v>
      </c>
      <c r="AC33" t="b">
        <f t="shared" si="6"/>
        <v>1</v>
      </c>
    </row>
    <row r="34" spans="5:29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P34" t="s">
        <v>44</v>
      </c>
      <c r="Q34" t="s">
        <v>96</v>
      </c>
      <c r="R34" t="s">
        <v>96</v>
      </c>
      <c r="AA34" t="b">
        <f t="shared" si="4"/>
        <v>1</v>
      </c>
      <c r="AB34" t="b">
        <f t="shared" si="5"/>
        <v>1</v>
      </c>
      <c r="AC34" t="b">
        <f t="shared" si="6"/>
        <v>1</v>
      </c>
    </row>
    <row r="35" spans="5:29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P35" t="s">
        <v>45</v>
      </c>
      <c r="Q35" t="s">
        <v>95</v>
      </c>
      <c r="R35" t="s">
        <v>95</v>
      </c>
      <c r="AA35" t="b">
        <f t="shared" si="4"/>
        <v>1</v>
      </c>
      <c r="AB35" t="b">
        <f t="shared" si="5"/>
        <v>1</v>
      </c>
      <c r="AC35" t="b">
        <f t="shared" si="6"/>
        <v>1</v>
      </c>
    </row>
    <row r="36" spans="5:29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P36" t="s">
        <v>46</v>
      </c>
      <c r="Q36" t="s">
        <v>96</v>
      </c>
      <c r="R36" t="s">
        <v>96</v>
      </c>
      <c r="AA36" t="b">
        <f t="shared" si="4"/>
        <v>1</v>
      </c>
      <c r="AB36" t="b">
        <f t="shared" si="5"/>
        <v>1</v>
      </c>
      <c r="AC36" t="b">
        <f t="shared" si="6"/>
        <v>1</v>
      </c>
    </row>
    <row r="37" spans="5:29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4"/>
        <v>1</v>
      </c>
      <c r="AB37" t="b">
        <f t="shared" si="5"/>
        <v>1</v>
      </c>
      <c r="AC37" t="b">
        <f t="shared" si="6"/>
        <v>1</v>
      </c>
    </row>
    <row r="38" spans="5:29" x14ac:dyDescent="0.4">
      <c r="E38" t="str">
        <v>fixed_leg.cashflows.[2].amout</v>
      </c>
      <c r="F38">
        <v>12000000</v>
      </c>
      <c r="G38" cm="1">
        <f t="array" ref="G38">_xll.ExLibris.Json.GetJsonValue($F$1,E38, EXLIBRIS_CONFIGURATION)</f>
        <v>12000000</v>
      </c>
      <c r="P38" t="s">
        <v>48</v>
      </c>
      <c r="Q38">
        <v>12000000</v>
      </c>
      <c r="R38">
        <v>12000000</v>
      </c>
      <c r="AA38" t="b">
        <f t="shared" si="4"/>
        <v>1</v>
      </c>
      <c r="AB38" t="b">
        <f t="shared" si="5"/>
        <v>1</v>
      </c>
      <c r="AC38" t="b">
        <f t="shared" si="6"/>
        <v>1</v>
      </c>
    </row>
    <row r="39" spans="5:29" x14ac:dyDescent="0.4">
      <c r="E39" t="str">
        <v>fixed_leg.cashflows.[2].fixed_rate</v>
      </c>
      <c r="F39">
        <v>1E-3</v>
      </c>
      <c r="G39" cm="1">
        <f t="array" ref="G39">_xll.ExLibris.Json.GetJsonValue($F$1,E39, EXLIBRIS_CONFIGURATION)</f>
        <v>1E-3</v>
      </c>
      <c r="P39" t="s">
        <v>49</v>
      </c>
      <c r="Q39">
        <v>1E-3</v>
      </c>
      <c r="R39">
        <v>1E-3</v>
      </c>
      <c r="AA39" t="b">
        <f t="shared" si="4"/>
        <v>1</v>
      </c>
      <c r="AB39" t="b">
        <f t="shared" si="5"/>
        <v>1</v>
      </c>
      <c r="AC39" t="b">
        <f t="shared" si="6"/>
        <v>1</v>
      </c>
    </row>
    <row r="40" spans="5:29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P40" t="s">
        <v>50</v>
      </c>
      <c r="Q40" t="s">
        <v>97</v>
      </c>
      <c r="R40" t="s">
        <v>97</v>
      </c>
      <c r="AA40" t="b">
        <f t="shared" si="4"/>
        <v>1</v>
      </c>
      <c r="AB40" t="b">
        <f t="shared" si="5"/>
        <v>1</v>
      </c>
      <c r="AC40" t="b">
        <f t="shared" si="6"/>
        <v>1</v>
      </c>
    </row>
    <row r="41" spans="5:29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4"/>
        <v>1</v>
      </c>
      <c r="AB41" t="b">
        <f t="shared" si="5"/>
        <v>1</v>
      </c>
      <c r="AC41" t="b">
        <f t="shared" si="6"/>
        <v>1</v>
      </c>
    </row>
    <row r="42" spans="5:29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P42" t="s">
        <v>52</v>
      </c>
      <c r="Q42" t="s">
        <v>97</v>
      </c>
      <c r="R42" t="s">
        <v>97</v>
      </c>
      <c r="AA42" t="b">
        <f t="shared" si="4"/>
        <v>1</v>
      </c>
      <c r="AB42" t="b">
        <f t="shared" si="5"/>
        <v>1</v>
      </c>
      <c r="AC42" t="b">
        <f t="shared" si="6"/>
        <v>1</v>
      </c>
    </row>
    <row r="43" spans="5:29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P43" t="s">
        <v>53</v>
      </c>
      <c r="Q43" t="s">
        <v>8</v>
      </c>
      <c r="R43" t="s">
        <v>8</v>
      </c>
      <c r="AA43" t="b">
        <f t="shared" si="4"/>
        <v>1</v>
      </c>
      <c r="AB43" t="b">
        <f t="shared" si="5"/>
        <v>1</v>
      </c>
      <c r="AC43" t="b">
        <f t="shared" si="6"/>
        <v>1</v>
      </c>
    </row>
    <row r="44" spans="5:29" x14ac:dyDescent="0.4">
      <c r="E44" t="str">
        <v>fixed_leg.cashflows.[3].amout</v>
      </c>
      <c r="F44">
        <v>13000000</v>
      </c>
      <c r="G44" cm="1">
        <f t="array" ref="G44">_xll.ExLibris.Json.GetJsonValue($F$1,E44, EXLIBRIS_CONFIGURATION)</f>
        <v>13000000</v>
      </c>
      <c r="P44" t="s">
        <v>54</v>
      </c>
      <c r="Q44">
        <v>13000000</v>
      </c>
      <c r="R44">
        <v>13000000</v>
      </c>
      <c r="AA44" t="b">
        <f t="shared" si="4"/>
        <v>1</v>
      </c>
      <c r="AB44" t="b">
        <f t="shared" si="5"/>
        <v>1</v>
      </c>
      <c r="AC44" t="b">
        <f t="shared" si="6"/>
        <v>1</v>
      </c>
    </row>
    <row r="45" spans="5:29" x14ac:dyDescent="0.4">
      <c r="E45" t="str">
        <v>fixed_leg.cashflows.[3].fixed_rate</v>
      </c>
      <c r="F45">
        <v>1E-3</v>
      </c>
      <c r="G45" cm="1">
        <f t="array" ref="G45">_xll.ExLibris.Json.GetJsonValue($F$1,E45, EXLIBRIS_CONFIGURATION)</f>
        <v>1E-3</v>
      </c>
      <c r="P45" t="s">
        <v>55</v>
      </c>
      <c r="Q45">
        <v>1E-3</v>
      </c>
      <c r="R45">
        <v>1E-3</v>
      </c>
      <c r="AA45" t="b">
        <f t="shared" si="4"/>
        <v>1</v>
      </c>
      <c r="AB45" t="b">
        <f t="shared" si="5"/>
        <v>1</v>
      </c>
      <c r="AC45" t="b">
        <f t="shared" si="6"/>
        <v>1</v>
      </c>
    </row>
    <row r="46" spans="5:29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4"/>
        <v>1</v>
      </c>
      <c r="AB46" t="b">
        <f t="shared" si="5"/>
        <v>1</v>
      </c>
      <c r="AC46" t="b">
        <f t="shared" si="6"/>
        <v>1</v>
      </c>
    </row>
    <row r="47" spans="5:29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4"/>
        <v>1</v>
      </c>
      <c r="AB47" t="b">
        <f t="shared" si="5"/>
        <v>1</v>
      </c>
      <c r="AC47" t="b">
        <f t="shared" si="6"/>
        <v>1</v>
      </c>
    </row>
    <row r="48" spans="5:29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4"/>
        <v>1</v>
      </c>
      <c r="AB48" t="b">
        <f t="shared" si="5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4"/>
        <v>1</v>
      </c>
      <c r="AB49" t="b">
        <f t="shared" si="5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14000000</v>
      </c>
      <c r="G50" cm="1">
        <f t="array" ref="G50">_xll.ExLibris.Json.GetJsonValue($F$1,E50, EXLIBRIS_CONFIGURATION)</f>
        <v>14000000</v>
      </c>
      <c r="P50" t="s">
        <v>60</v>
      </c>
      <c r="Q50">
        <v>14000000</v>
      </c>
      <c r="R50">
        <v>14000000</v>
      </c>
      <c r="AA50" t="b">
        <f t="shared" si="4"/>
        <v>1</v>
      </c>
      <c r="AB50" t="b">
        <f t="shared" si="5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1E-3</v>
      </c>
      <c r="G51" cm="1">
        <f t="array" ref="G51">_xll.ExLibris.Json.GetJsonValue($F$1,E51, EXLIBRIS_CONFIGURATION)</f>
        <v>1E-3</v>
      </c>
      <c r="P51" t="s">
        <v>61</v>
      </c>
      <c r="Q51">
        <v>1E-3</v>
      </c>
      <c r="R51">
        <v>1E-3</v>
      </c>
      <c r="AA51" t="b">
        <f t="shared" si="4"/>
        <v>1</v>
      </c>
      <c r="AB51" t="b">
        <f t="shared" si="5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4"/>
        <v>1</v>
      </c>
      <c r="AB52" t="b">
        <f t="shared" si="5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4"/>
        <v>1</v>
      </c>
      <c r="AB53" t="b">
        <f t="shared" si="5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4"/>
        <v>1</v>
      </c>
      <c r="AB54" t="b">
        <f t="shared" si="5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4"/>
        <v>1</v>
      </c>
      <c r="AB55" t="b">
        <f t="shared" si="5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15000000</v>
      </c>
      <c r="G56" cm="1">
        <f t="array" ref="G56">_xll.ExLibris.Json.GetJsonValue($F$1,E56, EXLIBRIS_CONFIGURATION)</f>
        <v>15000000</v>
      </c>
      <c r="P56" t="s">
        <v>66</v>
      </c>
      <c r="Q56">
        <v>15000000</v>
      </c>
      <c r="R56">
        <v>15000000</v>
      </c>
      <c r="AA56" t="b">
        <f t="shared" si="4"/>
        <v>1</v>
      </c>
      <c r="AB56" t="b">
        <f t="shared" si="5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1E-3</v>
      </c>
      <c r="G57" cm="1">
        <f t="array" ref="G57">_xll.ExLibris.Json.GetJsonValue($F$1,E57, EXLIBRIS_CONFIGURATION)</f>
        <v>1E-3</v>
      </c>
      <c r="P57" t="s">
        <v>67</v>
      </c>
      <c r="Q57">
        <v>1E-3</v>
      </c>
      <c r="R57">
        <v>1E-3</v>
      </c>
      <c r="AA57" t="b">
        <f t="shared" si="4"/>
        <v>1</v>
      </c>
      <c r="AB57" t="b">
        <f t="shared" si="5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F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6" x14ac:dyDescent="0.4">
      <c r="B2" t="s">
        <v>84</v>
      </c>
      <c r="C2" t="str" cm="1">
        <f t="array" ref="C2">_xll.ExLibris.LoadConfiguration(B6:C15)</f>
        <v>ExLibris.Core.ExLibrisConfiguration:ACCDE596-CF09-44AC-8E76-24D31709B1F6</v>
      </c>
    </row>
    <row r="4" spans="2:6" s="4" customFormat="1" ht="18" x14ac:dyDescent="0.4">
      <c r="B4" s="4" t="s">
        <v>86</v>
      </c>
      <c r="E4" s="4" t="s">
        <v>85</v>
      </c>
    </row>
    <row r="6" spans="2:6" x14ac:dyDescent="0.4">
      <c r="B6" t="s">
        <v>76</v>
      </c>
      <c r="C6" t="s">
        <v>77</v>
      </c>
      <c r="E6" t="str" cm="1">
        <f t="array" ref="E6:F15">_xll.DumpObject(EXLIBRIS_CONFIGURATION)</f>
        <v>excel_value.excel_error_to</v>
      </c>
      <c r="F6" t="str">
        <v>Error</v>
      </c>
    </row>
    <row r="7" spans="2:6" x14ac:dyDescent="0.4">
      <c r="B7" t="s">
        <v>78</v>
      </c>
      <c r="C7" t="s">
        <v>79</v>
      </c>
      <c r="E7" t="str">
        <v>excel_value.excel_missing_to</v>
      </c>
      <c r="F7" t="str">
        <v>Null</v>
      </c>
    </row>
    <row r="8" spans="2:6" x14ac:dyDescent="0.4">
      <c r="B8" t="s">
        <v>80</v>
      </c>
      <c r="C8" t="s">
        <v>79</v>
      </c>
      <c r="E8" t="str">
        <v>excel_value.excel_empty_to</v>
      </c>
      <c r="F8" t="str">
        <v>Null</v>
      </c>
    </row>
    <row r="9" spans="2:6" x14ac:dyDescent="0.4">
      <c r="B9" t="s">
        <v>81</v>
      </c>
      <c r="C9" t="s">
        <v>79</v>
      </c>
      <c r="E9" t="str">
        <v>excel_value.excel_string_empty_to</v>
      </c>
      <c r="F9" t="str">
        <v>Null</v>
      </c>
    </row>
    <row r="10" spans="2:6" x14ac:dyDescent="0.4">
      <c r="B10" t="s">
        <v>82</v>
      </c>
      <c r="C10" t="s">
        <v>87</v>
      </c>
      <c r="E10" t="str">
        <v>excel_value.null_to_excel</v>
      </c>
      <c r="F10" t="str">
        <v>StringEmpty</v>
      </c>
    </row>
    <row r="11" spans="2:6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</row>
    <row r="12" spans="2:6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</row>
    <row r="13" spans="2:6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</row>
    <row r="14" spans="2:6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</row>
    <row r="15" spans="2:6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1</vt:i4>
      </vt:variant>
    </vt:vector>
  </HeadingPairs>
  <TitlesOfParts>
    <vt:vector size="3" baseType="lpstr">
      <vt:lpstr>json_test</vt:lpstr>
      <vt:lpstr>configuration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2021-09-12T15:14:34Z</dcterms:modified>
</cp:coreProperties>
</file>