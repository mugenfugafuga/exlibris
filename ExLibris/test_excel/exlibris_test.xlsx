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mp\"/>
    </mc:Choice>
  </mc:AlternateContent>
  <xr:revisionPtr revIDLastSave="0" documentId="13_ncr:1_{A2BA2617-794C-4BF5-8510-69D43FBB8FCD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1" r:id="rId1"/>
    <sheet name="context_te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B3" i="2" a="1"/>
  <c r="F10" i="1" l="1"/>
  <c r="G10" i="1" s="1"/>
  <c r="F11" i="1" s="1"/>
  <c r="G11" i="1" s="1"/>
  <c r="F12" i="1" s="1"/>
  <c r="G12" i="1" s="1"/>
  <c r="B3" i="2"/>
  <c r="E12" i="1"/>
  <c r="F13" i="1"/>
  <c r="G13" i="1" s="1"/>
  <c r="E11" i="1"/>
  <c r="E10" i="1"/>
  <c r="F14" i="1" l="1"/>
  <c r="G14" i="1" s="1"/>
  <c r="E14" i="1" s="1"/>
  <c r="E13" i="1"/>
  <c r="F6" i="1" a="1"/>
  <c r="F6" i="1" l="1"/>
  <c r="F1" i="1" a="1"/>
  <c r="F1" i="1" l="1"/>
  <c r="M6" i="1" a="1"/>
  <c r="E19" i="1" a="1"/>
  <c r="I19" i="1" a="1"/>
  <c r="G47" i="1" a="1"/>
  <c r="G43" i="1" a="1"/>
  <c r="G34" i="1" a="1"/>
  <c r="G56" i="1" a="1"/>
  <c r="G48" i="1" a="1"/>
  <c r="G46" i="1" a="1"/>
  <c r="G26" i="1" a="1"/>
  <c r="G52" i="1" a="1"/>
  <c r="G45" i="1" a="1"/>
  <c r="G38" i="1" a="1"/>
  <c r="G54" i="1" a="1"/>
  <c r="G20" i="1" a="1"/>
  <c r="G57" i="1" a="1"/>
  <c r="G21" i="1" a="1"/>
  <c r="G31" i="1" a="1"/>
  <c r="G44" i="1" a="1"/>
  <c r="G35" i="1" a="1"/>
  <c r="G51" i="1" a="1"/>
  <c r="G24" i="1" a="1"/>
  <c r="G36" i="1" a="1"/>
  <c r="G55" i="1" a="1"/>
  <c r="G25" i="1" a="1"/>
  <c r="G41" i="1" a="1"/>
  <c r="G22" i="1" a="1"/>
  <c r="G40" i="1" a="1"/>
  <c r="G50" i="1" a="1"/>
  <c r="G23" i="1" a="1"/>
  <c r="G29" i="1" a="1"/>
  <c r="G53" i="1" a="1"/>
  <c r="G28" i="1" a="1"/>
  <c r="G49" i="1" a="1"/>
  <c r="G32" i="1" a="1"/>
  <c r="G30" i="1" a="1"/>
  <c r="G27" i="1" a="1"/>
  <c r="G39" i="1" a="1"/>
  <c r="G42" i="1" a="1"/>
  <c r="G33" i="1" a="1"/>
  <c r="G37" i="1" a="1"/>
  <c r="G37" i="1" l="1"/>
  <c r="G33" i="1"/>
  <c r="G42" i="1"/>
  <c r="G39" i="1"/>
  <c r="G27" i="1"/>
  <c r="G30" i="1"/>
  <c r="G32" i="1"/>
  <c r="G49" i="1"/>
  <c r="G28" i="1"/>
  <c r="G53" i="1"/>
  <c r="G29" i="1"/>
  <c r="G23" i="1"/>
  <c r="G50" i="1"/>
  <c r="G40" i="1"/>
  <c r="G22" i="1"/>
  <c r="G41" i="1"/>
  <c r="G25" i="1"/>
  <c r="G55" i="1"/>
  <c r="G36" i="1"/>
  <c r="G24" i="1"/>
  <c r="G51" i="1"/>
  <c r="G35" i="1"/>
  <c r="G44" i="1"/>
  <c r="G31" i="1"/>
  <c r="G21" i="1"/>
  <c r="G57" i="1"/>
  <c r="G20" i="1"/>
  <c r="G54" i="1"/>
  <c r="G38" i="1"/>
  <c r="G45" i="1"/>
  <c r="G52" i="1"/>
  <c r="G26" i="1"/>
  <c r="G46" i="1"/>
  <c r="G48" i="1"/>
  <c r="G56" i="1"/>
  <c r="G34" i="1"/>
  <c r="G43" i="1"/>
  <c r="G47" i="1"/>
  <c r="I19" i="1"/>
  <c r="AA34" i="1"/>
  <c r="AA44" i="1"/>
  <c r="AC53" i="1"/>
  <c r="AC34" i="1"/>
  <c r="AC19" i="1"/>
  <c r="AC40" i="1"/>
  <c r="AA31" i="1"/>
  <c r="AA28" i="1"/>
  <c r="AC42" i="1"/>
  <c r="AC33" i="1"/>
  <c r="AB52" i="1"/>
  <c r="AB30" i="1"/>
  <c r="AB36" i="1"/>
  <c r="AC48" i="1"/>
  <c r="AB33" i="1"/>
  <c r="AC37" i="1"/>
  <c r="AA47" i="1"/>
  <c r="AA54" i="1"/>
  <c r="AA56" i="1"/>
  <c r="AA27" i="1"/>
  <c r="AC31" i="1"/>
  <c r="AA40" i="1"/>
  <c r="AC27" i="1"/>
  <c r="AB54" i="1"/>
  <c r="AB21" i="1"/>
  <c r="AB46" i="1"/>
  <c r="AA48" i="1"/>
  <c r="AA52" i="1"/>
  <c r="AB56" i="1"/>
  <c r="AC30" i="1"/>
  <c r="AA39" i="1"/>
  <c r="AC54" i="1"/>
  <c r="AC29" i="1"/>
  <c r="AB32" i="1"/>
  <c r="AA32" i="1"/>
  <c r="AC24" i="1"/>
  <c r="AB53" i="1"/>
  <c r="AC39" i="1"/>
  <c r="AA55" i="1"/>
  <c r="AB27" i="1"/>
  <c r="AB48" i="1"/>
  <c r="AA26" i="1"/>
  <c r="AA53" i="1"/>
  <c r="AC51" i="1"/>
  <c r="AB37" i="1"/>
  <c r="AB49" i="1"/>
  <c r="AC43" i="1"/>
  <c r="AC49" i="1"/>
  <c r="AC23" i="1"/>
  <c r="AB40" i="1"/>
  <c r="AA45" i="1"/>
  <c r="AB38" i="1"/>
  <c r="AB20" i="1"/>
  <c r="AA51" i="1"/>
  <c r="AA21" i="1"/>
  <c r="AC47" i="1"/>
  <c r="AC25" i="1"/>
  <c r="AC38" i="1"/>
  <c r="AB45" i="1"/>
  <c r="AB29" i="1"/>
  <c r="AC20" i="1"/>
  <c r="AA37" i="1"/>
  <c r="AB50" i="1"/>
  <c r="AC55" i="1"/>
  <c r="AC41" i="1"/>
  <c r="AB31" i="1"/>
  <c r="AB47" i="1"/>
  <c r="AC46" i="1"/>
  <c r="AC36" i="1"/>
  <c r="AB55" i="1"/>
  <c r="AB24" i="1"/>
  <c r="AA36" i="1"/>
  <c r="AC21" i="1"/>
  <c r="AC52" i="1"/>
  <c r="AC45" i="1"/>
  <c r="AA23" i="1"/>
  <c r="AC22" i="1"/>
  <c r="AC50" i="1"/>
  <c r="AC57" i="1"/>
  <c r="AA29" i="1"/>
  <c r="AA42" i="1"/>
  <c r="E19" i="1"/>
  <c r="AA20" i="1"/>
  <c r="AA41" i="1"/>
  <c r="AB51" i="1"/>
  <c r="AB41" i="1"/>
  <c r="AA38" i="1"/>
  <c r="AA46" i="1"/>
  <c r="AC26" i="1"/>
  <c r="AA24" i="1"/>
  <c r="AB28" i="1"/>
  <c r="AA57" i="1"/>
  <c r="AB26" i="1"/>
  <c r="AC35" i="1"/>
  <c r="AC56" i="1"/>
  <c r="AB25" i="1"/>
  <c r="AA30" i="1"/>
  <c r="AC44" i="1"/>
  <c r="AB43" i="1"/>
  <c r="AC32" i="1"/>
  <c r="AA25" i="1"/>
  <c r="AA22" i="1"/>
  <c r="AB42" i="1"/>
  <c r="AB22" i="1"/>
  <c r="AB23" i="1"/>
  <c r="AB57" i="1"/>
  <c r="AB34" i="1"/>
  <c r="AA33" i="1"/>
  <c r="AA49" i="1"/>
  <c r="AB44" i="1"/>
  <c r="AA50" i="1"/>
  <c r="AB35" i="1"/>
  <c r="AA43" i="1"/>
  <c r="AA35" i="1"/>
  <c r="AC28" i="1"/>
  <c r="AB39" i="1"/>
  <c r="M6" i="1"/>
  <c r="C5" i="1" s="1"/>
  <c r="G19" i="1" a="1"/>
  <c r="I28" i="1" a="1"/>
  <c r="I20" i="1" a="1"/>
  <c r="I20" i="1" l="1"/>
  <c r="AE20" i="1" s="1"/>
  <c r="AH26" i="1"/>
  <c r="AF21" i="1"/>
  <c r="AG20" i="1"/>
  <c r="AG21" i="1"/>
  <c r="AH24" i="1"/>
  <c r="AF20" i="1"/>
  <c r="AH20" i="1"/>
  <c r="AE23" i="1"/>
  <c r="AJ21" i="1"/>
  <c r="AJ22" i="1"/>
  <c r="AG25" i="1"/>
  <c r="AF24" i="1"/>
  <c r="AJ26" i="1"/>
  <c r="AI20" i="1"/>
  <c r="AF22" i="1"/>
  <c r="AE24" i="1"/>
  <c r="AI25" i="1"/>
  <c r="AH23" i="1"/>
  <c r="AG26" i="1"/>
  <c r="AF26" i="1"/>
  <c r="AH22" i="1"/>
  <c r="AE25" i="1"/>
  <c r="AI23" i="1"/>
  <c r="AJ24" i="1"/>
  <c r="AI24" i="1"/>
  <c r="AF23" i="1"/>
  <c r="AH21" i="1"/>
  <c r="AE21" i="1"/>
  <c r="AJ20" i="1"/>
  <c r="AH25" i="1"/>
  <c r="AG22" i="1"/>
  <c r="AG23" i="1"/>
  <c r="AG24" i="1"/>
  <c r="AI26" i="1"/>
  <c r="AJ23" i="1"/>
  <c r="AE22" i="1"/>
  <c r="AF25" i="1"/>
  <c r="AI21" i="1"/>
  <c r="AE26" i="1"/>
  <c r="AJ25" i="1"/>
  <c r="AI22" i="1"/>
  <c r="I28" i="1"/>
  <c r="G19" i="1"/>
  <c r="AA19" i="1"/>
  <c r="C3" i="1" s="1"/>
  <c r="AB19" i="1"/>
  <c r="C4" i="1"/>
  <c r="I29" i="1" a="1"/>
  <c r="AG29" i="1" l="1"/>
  <c r="C6" i="1" s="1"/>
  <c r="AI29" i="1"/>
  <c r="AG30" i="1"/>
  <c r="I29" i="1"/>
  <c r="AE29" i="1" s="1"/>
  <c r="AH29" i="1"/>
  <c r="AF29" i="1"/>
  <c r="AH30" i="1"/>
  <c r="AF30" i="1"/>
  <c r="AE30" i="1"/>
  <c r="AJ29" i="1"/>
  <c r="AI30" i="1"/>
  <c r="AJ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<sst xmlns="http://schemas.openxmlformats.org/spreadsheetml/2006/main" count="115" uniqueCount="78">
  <si>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</si>
  <si>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</si>
  <si>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</si>
  <si>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</si>
  <si>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</si>
  <si>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</si>
  <si>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</si>
  <si>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</si>
  <si>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</si>
  <si>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</si>
  <si>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</si>
  <si>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</si>
  <si>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</si>
  <si>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</si>
  <si>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</si>
  <si>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</si>
  <si>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</si>
  <si>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</si>
  <si>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</si>
  <si>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</si>
  <si>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</si>
  <si>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</si>
  <si>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</si>
  <si>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</si>
  <si>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</si>
  <si>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</si>
  <si>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</si>
  <si>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</si>
  <si>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</si>
  <si>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</si>
  <si>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</si>
  <si>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</si>
  <si>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</si>
  <si>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</si>
  <si>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</si>
  <si>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</si>
  <si>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</si>
  <si>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</si>
  <si>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</si>
  <si>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</si>
  <si>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</si>
  <si>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</si>
  <si>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</si>
  <si>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</si>
  <si>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</si>
  <si>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</si>
  <si>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</si>
  <si>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</si>
  <si>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</si>
  <si>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</si>
  <si>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</si>
  <si>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</si>
  <si>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</si>
  <si>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</si>
  <si>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</si>
  <si>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</si>
  <si>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</si>
  <si>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</si>
  <si>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</si>
  <si>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</si>
  <si>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</si>
  <si>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</si>
  <si>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</si>
  <si>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</si>
  <si>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</si>
  <si>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</si>
  <si>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</si>
  <si>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</si>
  <si>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</si>
  <si>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</si>
  <si>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</si>
  <si>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</si>
  <si>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</si>
  <si>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</si>
  <si>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</si>
  <si>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{"trade_code":"money_00001","couter_party":"CP00001","fixed_leg":{"pay_or_recieve":"Receive","cashflows":[{"payment _date":44631,"start_date":44451,"end_date":44631,"day_count_type":"ACT/360","amout":10000000,"fixed_rate":0.001},{"payment _date":44811,"start_date":44631,"end_date":44811,"day_count_type":"ACT/360","amout":11000000,"fixed_rate":0.001},{"payment _date":44991,"start_date":44811,"end_date":44991,"day_count_type":"ACT/360","amout":12000000,"fixed_rate":0.001},{"payment _date":45171,"start_date":44991,"end_date":45171,"day_count_type":"ACT/360","amout":13000000,"fixed_rate":0.001},{"payment _date":45351,"start_date":45171,"end_date":45351,"day_count_type":"ACT/360","amout":14000000,"fixed_rate":0.001},{"payment _date":45531,"start_date":45351,"end_date":45531,"day_count_type":"ACT/360","amout":15000000,"fixed_rate":0.001}]}}</t>
  </si>
  <si>
    <t>table2</t>
    <phoneticPr fontId="1"/>
  </si>
  <si>
    <t>show_default_configuration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</si>
</sst>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343a1f7361a481b8ebf7fe0fa643cd0">
      <tp>
        <v>1</v>
        <stp/>
        <stp>0527ca09-54e8-4dff-a045-951cff449b18</stp>
        <tr r="G24" s="1"/>
      </tp>
      <tp>
        <v>1</v>
        <stp/>
        <stp>efdfd3ce-3779-40fd-addd-bb0066fd8043</stp>
        <tr r="G33" s="1"/>
      </tp>
    </main>
    <main first="rtdsrv.4343a1f7361a481b8ebf7fe0fa643cd0">
      <tp>
        <v>1</v>
        <stp/>
        <stp>4b5d07a9-9892-4c60-99c2-221bc827f592</stp>
        <tr r="G55" s="1"/>
      </tp>
    </main>
    <main first="rtdsrv.4343a1f7361a481b8ebf7fe0fa643cd0">
      <tp>
        <v>1</v>
        <stp/>
        <stp>ae5ed71e-e5de-401d-b471-d0e78ded0073</stp>
        <tr r="G36" s="1"/>
      </tp>
    </main>
    <main first="rtdsrv.4343a1f7361a481b8ebf7fe0fa643cd0">
      <tp>
        <v>1</v>
        <stp/>
        <stp>5029c1d4-f97f-47ea-94e2-2001db9a0015</stp>
        <tr r="I19" s="1"/>
      </tp>
    </main>
    <main first="rtdsrv.4343a1f7361a481b8ebf7fe0fa643cd0">
      <tp>
        <v>1</v>
        <stp/>
        <stp>7c4d3bed-c5a3-430b-9c5f-63db863b8162</stp>
        <tr r="G22" s="1"/>
      </tp>
    </main>
    <main first="rtdsrv.4343a1f7361a481b8ebf7fe0fa643cd0">
      <tp>
        <v>1</v>
        <stp/>
        <stp>97ccd1c1-796d-4ee2-97bf-0a829c3c7b96</stp>
        <tr r="G49" s="1"/>
      </tp>
      <tp>
        <v>1</v>
        <stp/>
        <stp>6b814751-4d44-4a6a-ba04-21679f246f56</stp>
        <tr r="G53" s="1"/>
      </tp>
    </main>
    <main first="rtdsrv.4343a1f7361a481b8ebf7fe0fa643cd0">
      <tp>
        <v>1</v>
        <stp/>
        <stp>dde3eacd-d01e-4b0e-9cf2-4f7ce150f451</stp>
        <tr r="G30" s="1"/>
      </tp>
    </main>
    <main first="rtdsrv.4343a1f7361a481b8ebf7fe0fa643cd0">
      <tp>
        <v>1</v>
        <stp/>
        <stp>d2ea10e6-5f55-4eb7-b6a1-da3fa3c1b507</stp>
        <tr r="G27" s="1"/>
      </tp>
    </main>
    <main first="rtdsrv.4343a1f7361a481b8ebf7fe0fa643cd0">
      <tp>
        <v>1</v>
        <stp/>
        <stp>7df1055e-da16-44e7-96a8-654b618c6a82</stp>
        <tr r="G51" s="1"/>
      </tp>
    </main>
    <main first="rtdsrv.4343a1f7361a481b8ebf7fe0fa643cd0">
      <tp>
        <v>1</v>
        <stp/>
        <stp>e179e10a-d155-4010-bf05-bb0d2248916d</stp>
        <tr r="G23" s="1"/>
      </tp>
    </main>
    <main first="rtdsrv.4343a1f7361a481b8ebf7fe0fa643cd0">
      <tp>
        <v>1</v>
        <stp/>
        <stp>c55c2bfe-ce68-47f6-ac86-8b566d125671</stp>
        <tr r="G41" s="1"/>
      </tp>
    </main>
    <main first="rtdsrv.4343a1f7361a481b8ebf7fe0fa643cd0">
      <tp>
        <v>1</v>
        <stp/>
        <stp>c7ef99da-fc56-46ba-a0ac-ec7cbe5f1efb</stp>
        <tr r="G25" s="1"/>
      </tp>
      <tp>
        <v>1</v>
        <stp/>
        <stp>1eb0817b-79d0-483c-a370-18620a62ae1d</stp>
        <tr r="I28" s="1"/>
      </tp>
    </main>
    <main first="rtdsrv.4343a1f7361a481b8ebf7fe0fa643cd0">
      <tp>
        <v>1</v>
        <stp/>
        <stp>e50f7a07-a3e9-401a-8407-d2e35f46d886</stp>
        <tr r="G35" s="1"/>
      </tp>
    </main>
    <main first="rtdsrv.4343a1f7361a481b8ebf7fe0fa643cd0">
      <tp>
        <v>1</v>
        <stp/>
        <stp>ffc6d4e0-b64d-4108-8bab-cdf3e60e65ea</stp>
        <tr r="F6" s="1"/>
      </tp>
    </main>
    <main first="rtdsrv.4343a1f7361a481b8ebf7fe0fa643cd0">
      <tp>
        <v>1</v>
        <stp/>
        <stp>b43899d6-94a1-4b7f-a29a-27038cf1c39c</stp>
        <tr r="G39" s="1"/>
      </tp>
    </main>
    <main first="rtdsrv.4343a1f7361a481b8ebf7fe0fa643cd0">
      <tp>
        <v>1</v>
        <stp/>
        <stp>db6c2e01-de7e-496c-ac81-c33f131e05e2</stp>
        <tr r="G26" s="1"/>
      </tp>
    </main>
    <main first="rtdsrv.4343a1f7361a481b8ebf7fe0fa643cd0">
      <tp>
        <v>1</v>
        <stp/>
        <stp>6b431847-cfd9-4585-8627-df615caae694</stp>
        <tr r="G50" s="1"/>
      </tp>
    </main>
    <main first="rtdsrv.4343a1f7361a481b8ebf7fe0fa643cd0">
      <tp>
        <v>1</v>
        <stp/>
        <stp>cec2dd76-4076-4410-b40f-fd6a049ab6c2</stp>
        <tr r="G48" s="1"/>
      </tp>
    </main>
    <main first="rtdsrv.4343a1f7361a481b8ebf7fe0fa643cd0">
      <tp>
        <v>1</v>
        <stp/>
        <stp>0b090f43-49e1-46b3-81ce-df254c06a576</stp>
        <tr r="G46" s="1"/>
      </tp>
      <tp>
        <v>1</v>
        <stp/>
        <stp>be45c6b3-b689-4849-980b-999d13483bb0</stp>
        <tr r="G34" s="1"/>
      </tp>
      <tp>
        <v>1</v>
        <stp/>
        <stp>56ceb800-75a5-4cf8-8f15-25fc23256f3a</stp>
        <tr r="G32" s="1"/>
      </tp>
    </main>
    <main first="rtdsrv.4343a1f7361a481b8ebf7fe0fa643cd0">
      <tp>
        <v>1</v>
        <stp/>
        <stp>17d82d7b-120b-47a6-a301-1a7fe35f8fb3</stp>
        <tr r="G54" s="1"/>
      </tp>
    </main>
    <main first="rtdsrv.4343a1f7361a481b8ebf7fe0fa643cd0">
      <tp>
        <v>1</v>
        <stp/>
        <stp>c2298aca-4d17-4bef-88e6-6819699ce54d</stp>
        <tr r="G45" s="1"/>
      </tp>
    </main>
    <main first="rtdsrv.4343a1f7361a481b8ebf7fe0fa643cd0">
      <tp>
        <v>1</v>
        <stp/>
        <stp>cea2e731-1440-4175-8206-aa7d9ddf92a9</stp>
        <tr r="G31" s="1"/>
      </tp>
    </main>
    <main first="rtdsrv.4343a1f7361a481b8ebf7fe0fa643cd0">
      <tp>
        <v>1</v>
        <stp/>
        <stp>163ac39a-a77e-40a3-84f5-1dc49c99ba09</stp>
        <tr r="G57" s="1"/>
      </tp>
    </main>
    <main first="rtdsrv.4343a1f7361a481b8ebf7fe0fa643cd0">
      <tp>
        <v>1</v>
        <stp/>
        <stp>61768039-5580-41e5-99ad-120e73e99676</stp>
        <tr r="G21" s="1"/>
      </tp>
    </main>
    <main first="rtdsrv.4343a1f7361a481b8ebf7fe0fa643cd0">
      <tp>
        <v>1</v>
        <stp/>
        <stp>9bad48ab-8ee2-4803-ae57-d6a9979b01fc</stp>
        <tr r="G19" s="1"/>
      </tp>
    </main>
    <main first="rtdsrv.4343a1f7361a481b8ebf7fe0fa643cd0">
      <tp>
        <v>1</v>
        <stp/>
        <stp>b4b21615-ba3c-427c-8b51-22e802566bff</stp>
        <tr r="G37" s="1"/>
      </tp>
      <tp>
        <v>1</v>
        <stp/>
        <stp>737f4d70-5c76-4ca1-a2cb-e721b1cfbbdf</stp>
        <tr r="G40" s="1"/>
      </tp>
      <tp>
        <v>1</v>
        <stp/>
        <stp>188ec964-f8ac-4b2d-aee7-8ffa35a5ea0c</stp>
        <tr r="G42" s="1"/>
      </tp>
    </main>
    <main first="rtdsrv.4343a1f7361a481b8ebf7fe0fa643cd0">
      <tp>
        <v>1</v>
        <stp/>
        <stp>f0d8b9b4-40ae-4e6b-ae42-acf69d78e90b</stp>
        <tr r="G47" s="1"/>
      </tp>
    </main>
    <main first="rtdsrv.4343a1f7361a481b8ebf7fe0fa643cd0">
      <tp>
        <v>1</v>
        <stp/>
        <stp>613f31c7-5a3e-4e55-a6f5-4a9b0dd52648</stp>
        <tr r="G43" s="1"/>
      </tp>
    </main>
    <main first="rtdsrv.4343a1f7361a481b8ebf7fe0fa643cd0">
      <tp>
        <v>1</v>
        <stp/>
        <stp>ff16ceb9-0f0c-41dd-ab78-530566ad8020</stp>
        <tr r="G28" s="1"/>
      </tp>
    </main>
    <main first="rtdsrv.4343a1f7361a481b8ebf7fe0fa643cd0">
      <tp>
        <v>1</v>
        <stp/>
        <stp>d538a0bf-51c8-4b88-86cd-63d7820340ba</stp>
        <tr r="G44" s="1"/>
      </tp>
    </main>
    <main first="rtdsrv.4343a1f7361a481b8ebf7fe0fa643cd0">
      <tp>
        <v>1</v>
        <stp/>
        <stp>9523b0d4-e1a7-44c8-95be-da4b1a2afa03</stp>
        <tr r="G29" s="1"/>
      </tp>
      <tp>
        <v>1</v>
        <stp/>
        <stp>570ec179-8c39-4ece-a6f1-5f75f22b411c</stp>
        <tr r="G52" s="1"/>
      </tp>
    </main>
    <main first="rtdsrv.4343a1f7361a481b8ebf7fe0fa643cd0">
      <tp>
        <v>1</v>
        <stp/>
        <stp>23f6f80f-20bc-4fd6-b8bd-7d9442a5bcbf</stp>
        <tr r="G38" s="1"/>
      </tp>
    </main>
    <main first="rtdsrv.4343a1f7361a481b8ebf7fe0fa643cd0">
      <tp>
        <v>1</v>
        <stp/>
        <stp>89912d6a-08a9-4ee4-9618-cfb6bf0621bd</stp>
        <tr r="F1" s="1"/>
      </tp>
    </main>
    <main first="rtdsrv.4343a1f7361a481b8ebf7fe0fa643cd0">
      <tp>
        <v>1</v>
        <stp/>
        <stp>a7fe667c-1426-4978-994a-514100386bd6</stp>
        <tr r="G20" s="1"/>
      </tp>
    </main>
    <main first="rtdsrv.4343a1f7361a481b8ebf7fe0fa643cd0">
      <tp>
        <v>1</v>
        <stp/>
        <stp>b2771831-22c7-4d8e-ae03-47d0cb1f6d8e</stp>
        <tr r="G5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tabSelected="1"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0.25" bestFit="1" customWidth="1"/>
    <col min="8" max="8" width="15.5" bestFit="1" customWidth="1"/>
    <col min="9" max="9" width="11.125" bestFit="1" customWidth="1"/>
    <col min="10" max="10" width="9.875" bestFit="1" customWidth="1"/>
    <col min="11" max="11" width="15.5" bestFit="1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_xll.ExLibris.Json.CreateJsonObject(E3:F6)</f>
        <v>JsonObject:0B5CD2E3-25C9-4CB0-9551-A81EA3ED4467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76</v>
      </c>
      <c r="C6" s="6">
        <f>COUNTIF(AE29:AJ30,FALSE)</f>
        <v>0</v>
      </c>
      <c r="E6" t="s">
        <v>26</v>
      </c>
      <c r="F6" t="str" cm="1">
        <f t="array" ref="F6">_xll.ExLibris.Json.CreateJsonArray(E8:J14)</f>
        <v>JsonObject:30B50CF0-9DC3-43FD-8687-DAE655A266A0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_date":44631,"start_date":44451,"end_date":44631,"day_count_type":"ACT/360","amout":10000000,"fixed_rate":0.001},{"payment _date":44811,"start_date":44631,"end_date":44811,"day_count_type":"ACT/360","amout":11000000,"fixed_rate":0.001},{"payment _date":44991,"start_date":44811,"end_date":44991,"day_count_type":"ACT/360","amout":12000000,"fixed_rate":0.001},{"payment _date":45171,"start_date":44991,"end_date":45171,"day_count_type":"ACT/360","amout":13000000,"fixed_rate":0.001},{"payment _date":45351,"start_date":45171,"end_date":45351,"day_count_type":"ACT/360","amout":14000000,"fixed_rate":0.001},{"payment _date":45531,"start_date":45351,"end_date":45531,"day_count_type":"ACT/360","amout":15000000,"fixed_rate":0.001}]}}</v>
      </c>
    </row>
    <row r="7" spans="2:25" x14ac:dyDescent="0.4">
      <c r="L7" t="s">
        <v>74</v>
      </c>
      <c r="M7" t="s">
        <v>75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44631</v>
      </c>
      <c r="F9" s="1">
        <v>44451</v>
      </c>
      <c r="G9" s="1">
        <f>F9+180</f>
        <v>44631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44811</v>
      </c>
      <c r="F10" s="1">
        <f>G9</f>
        <v>44631</v>
      </c>
      <c r="G10" s="1">
        <f>F10+180</f>
        <v>44811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44991</v>
      </c>
      <c r="F11" s="1">
        <f t="shared" ref="F11:F14" si="1">G10</f>
        <v>44811</v>
      </c>
      <c r="G11" s="1">
        <f t="shared" ref="G11:G14" si="2">F11+180</f>
        <v>44991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45171</v>
      </c>
      <c r="F12" s="1">
        <f t="shared" si="1"/>
        <v>44991</v>
      </c>
      <c r="G12" s="1">
        <f t="shared" si="2"/>
        <v>45171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45351</v>
      </c>
      <c r="F13" s="1">
        <f t="shared" si="1"/>
        <v>45171</v>
      </c>
      <c r="G13" s="1">
        <f t="shared" si="2"/>
        <v>45351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45531</v>
      </c>
      <c r="F14" s="1">
        <f t="shared" si="1"/>
        <v>45351</v>
      </c>
      <c r="G14" s="1">
        <f t="shared" si="2"/>
        <v>45531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JsonObject:6C1BC38B-802B-40E1-9CC0-085F622ADCF2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44631</v>
      </c>
      <c r="J21">
        <v>44451</v>
      </c>
      <c r="K21">
        <v>44631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>
        <v>44631</v>
      </c>
      <c r="U21">
        <v>44451</v>
      </c>
      <c r="V21">
        <v>44631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>
        <v>44631</v>
      </c>
      <c r="G22" cm="1">
        <f t="array" ref="G22">_xll.ExLibris.Json.GetJsonValue($F$1,E22)</f>
        <v>44631</v>
      </c>
      <c r="I22">
        <v>44811</v>
      </c>
      <c r="J22">
        <v>44631</v>
      </c>
      <c r="K22">
        <v>44811</v>
      </c>
      <c r="L22" t="str">
        <v>ACT/360</v>
      </c>
      <c r="M22">
        <v>11000000</v>
      </c>
      <c r="N22">
        <v>1E-3</v>
      </c>
      <c r="P22" t="s">
        <v>32</v>
      </c>
      <c r="Q22">
        <v>44631</v>
      </c>
      <c r="R22">
        <v>44631</v>
      </c>
      <c r="T22">
        <v>44811</v>
      </c>
      <c r="U22">
        <v>44631</v>
      </c>
      <c r="V22">
        <v>44811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>
        <v>44451</v>
      </c>
      <c r="G23" cm="1">
        <f t="array" ref="G23">_xll.ExLibris.Json.GetJsonValue($F$1,E23)</f>
        <v>44451</v>
      </c>
      <c r="I23">
        <v>44991</v>
      </c>
      <c r="J23">
        <v>44811</v>
      </c>
      <c r="K23">
        <v>44991</v>
      </c>
      <c r="L23" t="str">
        <v>ACT/360</v>
      </c>
      <c r="M23">
        <v>12000000</v>
      </c>
      <c r="N23">
        <v>1E-3</v>
      </c>
      <c r="P23" t="s">
        <v>33</v>
      </c>
      <c r="Q23">
        <v>44451</v>
      </c>
      <c r="R23">
        <v>44451</v>
      </c>
      <c r="T23">
        <v>44991</v>
      </c>
      <c r="U23">
        <v>44811</v>
      </c>
      <c r="V23">
        <v>44991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>
        <v>44631</v>
      </c>
      <c r="G24" cm="1">
        <f t="array" ref="G24">_xll.ExLibris.Json.GetJsonValue($F$1,E24)</f>
        <v>44631</v>
      </c>
      <c r="I24">
        <v>45171</v>
      </c>
      <c r="J24">
        <v>44991</v>
      </c>
      <c r="K24">
        <v>45171</v>
      </c>
      <c r="L24" t="str">
        <v>ACT/360</v>
      </c>
      <c r="M24">
        <v>13000000</v>
      </c>
      <c r="N24">
        <v>1E-3</v>
      </c>
      <c r="P24" t="s">
        <v>34</v>
      </c>
      <c r="Q24">
        <v>44631</v>
      </c>
      <c r="R24">
        <v>44631</v>
      </c>
      <c r="T24">
        <v>45171</v>
      </c>
      <c r="U24">
        <v>44991</v>
      </c>
      <c r="V24">
        <v>45171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45351</v>
      </c>
      <c r="J25">
        <v>45171</v>
      </c>
      <c r="K25">
        <v>45351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>
        <v>45351</v>
      </c>
      <c r="U25">
        <v>45171</v>
      </c>
      <c r="V25">
        <v>45351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45531</v>
      </c>
      <c r="J26">
        <v>45351</v>
      </c>
      <c r="K26">
        <v>45531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>
        <v>45531</v>
      </c>
      <c r="U26">
        <v>45351</v>
      </c>
      <c r="V26">
        <v>45531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>
        <v>44811</v>
      </c>
      <c r="G28" cm="1">
        <f t="array" ref="G28">_xll.ExLibris.Json.GetJsonValue($F$1,E28)</f>
        <v>44811</v>
      </c>
      <c r="I28" t="str" cm="1">
        <f t="array" ref="I28">_xll.ExLibris.Json.GetJsonValue(I19,"[2]")</f>
        <v>JsonObject:799724C4-C694-4D1A-A2D4-1116094E0A20</v>
      </c>
      <c r="P28" t="s">
        <v>38</v>
      </c>
      <c r="Q28">
        <v>44811</v>
      </c>
      <c r="R28">
        <v>44811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>
        <v>44631</v>
      </c>
      <c r="G29" cm="1">
        <f t="array" ref="G29">_xll.ExLibris.Json.GetJsonValue($F$1,E29)</f>
        <v>44631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>
        <v>44631</v>
      </c>
      <c r="R29">
        <v>44631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>
        <v>44811</v>
      </c>
      <c r="G30" cm="1">
        <f t="array" ref="G30">_xll.ExLibris.Json.GetJsonValue($F$1,E30)</f>
        <v>44811</v>
      </c>
      <c r="I30">
        <v>44991</v>
      </c>
      <c r="J30">
        <v>44811</v>
      </c>
      <c r="K30">
        <v>44991</v>
      </c>
      <c r="L30" t="str">
        <v>ACT/360</v>
      </c>
      <c r="M30">
        <v>12000000</v>
      </c>
      <c r="N30">
        <v>1E-3</v>
      </c>
      <c r="P30" t="s">
        <v>40</v>
      </c>
      <c r="Q30">
        <v>44811</v>
      </c>
      <c r="R30">
        <v>44811</v>
      </c>
      <c r="T30">
        <v>44991</v>
      </c>
      <c r="U30">
        <v>44811</v>
      </c>
      <c r="V30">
        <v>44991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>
        <v>44991</v>
      </c>
      <c r="G34" cm="1">
        <f t="array" ref="G34">_xll.ExLibris.Json.GetJsonValue($F$1,E34)</f>
        <v>44991</v>
      </c>
      <c r="P34" t="s">
        <v>44</v>
      </c>
      <c r="Q34">
        <v>44991</v>
      </c>
      <c r="R34">
        <v>44991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>
        <v>44811</v>
      </c>
      <c r="G35" cm="1">
        <f t="array" ref="G35">_xll.ExLibris.Json.GetJsonValue($F$1,E35)</f>
        <v>44811</v>
      </c>
      <c r="P35" t="s">
        <v>45</v>
      </c>
      <c r="Q35">
        <v>44811</v>
      </c>
      <c r="R35">
        <v>44811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>
        <v>44991</v>
      </c>
      <c r="G36" cm="1">
        <f t="array" ref="G36">_xll.ExLibris.Json.GetJsonValue($F$1,E36)</f>
        <v>44991</v>
      </c>
      <c r="P36" t="s">
        <v>46</v>
      </c>
      <c r="Q36">
        <v>44991</v>
      </c>
      <c r="R36">
        <v>44991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>
        <v>45171</v>
      </c>
      <c r="G40" cm="1">
        <f t="array" ref="G40">_xll.ExLibris.Json.GetJsonValue($F$1,E40)</f>
        <v>45171</v>
      </c>
      <c r="P40" t="s">
        <v>50</v>
      </c>
      <c r="Q40">
        <v>45171</v>
      </c>
      <c r="R40">
        <v>45171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>
        <v>44991</v>
      </c>
      <c r="G41" cm="1">
        <f t="array" ref="G41">_xll.ExLibris.Json.GetJsonValue($F$1,E41)</f>
        <v>44991</v>
      </c>
      <c r="P41" t="s">
        <v>51</v>
      </c>
      <c r="Q41">
        <v>44991</v>
      </c>
      <c r="R41">
        <v>44991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>
        <v>45171</v>
      </c>
      <c r="G42" cm="1">
        <f t="array" ref="G42">_xll.ExLibris.Json.GetJsonValue($F$1,E42)</f>
        <v>45171</v>
      </c>
      <c r="P42" t="s">
        <v>52</v>
      </c>
      <c r="Q42">
        <v>45171</v>
      </c>
      <c r="R42">
        <v>45171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>
        <v>45351</v>
      </c>
      <c r="G46" cm="1">
        <f t="array" ref="G46">_xll.ExLibris.Json.GetJsonValue($F$1,E46)</f>
        <v>45351</v>
      </c>
      <c r="P46" t="s">
        <v>56</v>
      </c>
      <c r="Q46">
        <v>45351</v>
      </c>
      <c r="R46">
        <v>45351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>
        <v>45171</v>
      </c>
      <c r="G47" cm="1">
        <f t="array" ref="G47">_xll.ExLibris.Json.GetJsonValue($F$1,E47)</f>
        <v>45171</v>
      </c>
      <c r="P47" t="s">
        <v>57</v>
      </c>
      <c r="Q47">
        <v>45171</v>
      </c>
      <c r="R47">
        <v>45171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>
        <v>45351</v>
      </c>
      <c r="G48" cm="1">
        <f t="array" ref="G48">_xll.ExLibris.Json.GetJsonValue($F$1,E48)</f>
        <v>45351</v>
      </c>
      <c r="P48" t="s">
        <v>58</v>
      </c>
      <c r="Q48">
        <v>45351</v>
      </c>
      <c r="R48">
        <v>45351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>
        <v>45531</v>
      </c>
      <c r="G52" cm="1">
        <f t="array" ref="G52">_xll.ExLibris.Json.GetJsonValue($F$1,E52)</f>
        <v>45531</v>
      </c>
      <c r="P52" t="s">
        <v>62</v>
      </c>
      <c r="Q52">
        <v>45531</v>
      </c>
      <c r="R52">
        <v>45531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>
        <v>45351</v>
      </c>
      <c r="G53" cm="1">
        <f t="array" ref="G53">_xll.ExLibris.Json.GetJsonValue($F$1,E53)</f>
        <v>45351</v>
      </c>
      <c r="P53" t="s">
        <v>63</v>
      </c>
      <c r="Q53">
        <v>45351</v>
      </c>
      <c r="R53">
        <v>45351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>
        <v>45531</v>
      </c>
      <c r="G54" cm="1">
        <f t="array" ref="G54">_xll.ExLibris.Json.GetJsonValue($F$1,E54)</f>
        <v>45531</v>
      </c>
      <c r="P54" t="s">
        <v>64</v>
      </c>
      <c r="Q54">
        <v>45531</v>
      </c>
      <c r="R54">
        <v>45531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C8"/>
  <sheetViews>
    <sheetView workbookViewId="0"/>
  </sheetViews>
  <sheetFormatPr defaultRowHeight="18.75" x14ac:dyDescent="0.4"/>
  <cols>
    <col min="2" max="2" width="33.25" bestFit="1" customWidth="1"/>
  </cols>
  <sheetData>
    <row r="2" spans="2:3" x14ac:dyDescent="0.4">
      <c r="B2" t="s">
        <v>77</v>
      </c>
    </row>
    <row r="3" spans="2:3" x14ac:dyDescent="0.4">
      <c r="B3" t="str" cm="1">
        <f t="array" ref="B3:C8">_xll.ExLibris.Context.ShowDefaultConfiguration()</f>
        <v>excel_value.excel_error_to</v>
      </c>
      <c r="C3" t="str">
        <v>Error</v>
      </c>
    </row>
    <row r="4" spans="2:3" x14ac:dyDescent="0.4">
      <c r="B4" t="str">
        <v>excel_value.excel_missing_to</v>
      </c>
      <c r="C4" t="str">
        <v>Null</v>
      </c>
    </row>
    <row r="5" spans="2:3" x14ac:dyDescent="0.4">
      <c r="B5" t="str">
        <v>excel_value.excel_empty_to</v>
      </c>
      <c r="C5" t="str">
        <v>Null</v>
      </c>
    </row>
    <row r="6" spans="2:3" x14ac:dyDescent="0.4">
      <c r="B6" t="str">
        <v>excel_value.excel_string_empty_to</v>
      </c>
      <c r="C6" t="str">
        <v>Null</v>
      </c>
    </row>
    <row r="7" spans="2:3" x14ac:dyDescent="0.4">
      <c r="B7" t="str">
        <v>excel_value.null_to_excel</v>
      </c>
      <c r="C7" t="str">
        <v>ExcelEmpty</v>
      </c>
    </row>
    <row r="8" spans="2:3" x14ac:dyDescent="0.4">
      <c r="B8" t="str">
        <v>excel_value.string_empty_to_excel</v>
      </c>
      <c r="C8" t="str">
        <v>ExcelEmpty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json_test</vt:lpstr>
      <vt:lpstr>context_test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2021-09-12T13:07:40Z</dcterms:modified>
</cp:coreProperties>
</file>