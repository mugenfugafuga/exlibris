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8B702E38-73D1-4505-AF4C-2D9F472F20AE}" xr6:coauthVersionLast="47" xr6:coauthVersionMax="47" xr10:uidLastSave="{00000000-0000-0000-0000-000000000000}"/>
  <bookViews>
    <workbookView xWindow="-120" yWindow="-120" windowWidth="29040" windowHeight="15840" activeTab="4" xr2:uid="{705CD0B7-27A9-4291-85BD-6034C0FEE3E4}"/>
  </bookViews>
  <sheets>
    <sheet name="json_test" sheetId="1" r:id="rId1"/>
    <sheet name="json_w_conf_test" sheetId="4" r:id="rId2"/>
    <sheet name="configuration" sheetId="2" r:id="rId3"/>
    <sheet name="websocket" sheetId="3" r:id="rId4"/>
    <sheet name="webapi" sheetId="5" r:id="rId5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9" i="5" l="1"/>
  <c r="N48" i="5"/>
  <c r="N34" i="5"/>
  <c r="N23" i="5"/>
  <c r="D35" i="5"/>
  <c r="D24" i="5"/>
  <c r="D14" i="5"/>
  <c r="J11" i="4"/>
  <c r="J12" i="4" s="1"/>
  <c r="J13" i="4" s="1"/>
  <c r="J14" i="4" s="1"/>
  <c r="J10" i="4"/>
  <c r="I14" i="4"/>
  <c r="I12" i="4"/>
  <c r="I10" i="4"/>
  <c r="I11" i="4"/>
  <c r="I13" i="4" s="1"/>
  <c r="G9" i="4"/>
  <c r="E9" i="4" s="1"/>
  <c r="I10" i="1"/>
  <c r="I11" i="1" s="1"/>
  <c r="I12" i="1" s="1"/>
  <c r="I13" i="1" s="1"/>
  <c r="I14" i="1" s="1"/>
  <c r="G9" i="1"/>
  <c r="E9" i="1" s="1"/>
  <c r="C23" i="5" a="1"/>
  <c r="C2" i="2" a="1"/>
  <c r="C13" i="5" a="1"/>
  <c r="E4" i="3" a="1"/>
  <c r="H6" i="2" a="1"/>
  <c r="C48" i="5" a="1"/>
  <c r="C5" i="5" a="1"/>
  <c r="C34" i="5" a="1"/>
  <c r="N33" i="5" a="1"/>
  <c r="E17" i="3" a="1"/>
  <c r="N47" i="5" a="1"/>
  <c r="C48" i="5" l="1"/>
  <c r="N47" i="5"/>
  <c r="N33" i="5"/>
  <c r="C34" i="5"/>
  <c r="C23" i="5"/>
  <c r="C13" i="5"/>
  <c r="C5" i="5"/>
  <c r="H6" i="2"/>
  <c r="E17" i="3"/>
  <c r="E4" i="3"/>
  <c r="F10" i="4"/>
  <c r="G10" i="4" s="1"/>
  <c r="C2" i="2"/>
  <c r="F10" i="1"/>
  <c r="G10" i="1" s="1"/>
  <c r="F11" i="1" s="1"/>
  <c r="G11" i="1" s="1"/>
  <c r="F12" i="1" s="1"/>
  <c r="G12" i="1" s="1"/>
  <c r="E12" i="1" s="1"/>
  <c r="E7" i="3" a="1"/>
  <c r="D15" i="5" a="1"/>
  <c r="E19" i="3" a="1"/>
  <c r="D50" i="5" a="1"/>
  <c r="E20" i="3" a="1"/>
  <c r="E6" i="2" a="1"/>
  <c r="E6" i="3" a="1"/>
  <c r="D25" i="5" a="1"/>
  <c r="D36" i="5" a="1"/>
  <c r="D7" i="5" a="1"/>
  <c r="D50" i="5" l="1"/>
  <c r="D15" i="5"/>
  <c r="D25" i="5"/>
  <c r="D36" i="5"/>
  <c r="D7" i="5"/>
  <c r="E6" i="2"/>
  <c r="E19" i="3"/>
  <c r="E20" i="3"/>
  <c r="K1" i="1"/>
  <c r="K1" i="4"/>
  <c r="F11" i="4"/>
  <c r="G11" i="4" s="1"/>
  <c r="E10" i="4"/>
  <c r="E7" i="3"/>
  <c r="E6" i="3"/>
  <c r="F13" i="1"/>
  <c r="G13" i="1" s="1"/>
  <c r="F14" i="1" s="1"/>
  <c r="G14" i="1" s="1"/>
  <c r="E14" i="1" s="1"/>
  <c r="E10" i="1"/>
  <c r="E11" i="1"/>
  <c r="D17" i="5" a="1"/>
  <c r="D27" i="5" a="1"/>
  <c r="D51" i="5" a="1"/>
  <c r="D26" i="5" a="1"/>
  <c r="D16" i="5" a="1"/>
  <c r="E22" i="3" a="1"/>
  <c r="D38" i="5" a="1"/>
  <c r="D37" i="5" a="1"/>
  <c r="D8" i="5" a="1"/>
  <c r="D9" i="5" a="1"/>
  <c r="E9" i="3" a="1"/>
  <c r="D38" i="5" l="1"/>
  <c r="D27" i="5"/>
  <c r="D17" i="5"/>
  <c r="D9" i="5"/>
  <c r="D51" i="5"/>
  <c r="D37" i="5"/>
  <c r="D26" i="5"/>
  <c r="D16" i="5"/>
  <c r="D8" i="5"/>
  <c r="E22" i="3"/>
  <c r="E11" i="4"/>
  <c r="F12" i="4"/>
  <c r="G12" i="4" s="1"/>
  <c r="E9" i="3"/>
  <c r="E13" i="1"/>
  <c r="F6" i="1" a="1"/>
  <c r="E10" i="3" a="1"/>
  <c r="E23" i="3" a="1"/>
  <c r="F6" i="1" l="1"/>
  <c r="E23" i="3"/>
  <c r="F13" i="4"/>
  <c r="G13" i="4" s="1"/>
  <c r="E12" i="4"/>
  <c r="E10" i="3"/>
  <c r="E11" i="3" a="1"/>
  <c r="E24" i="3" a="1"/>
  <c r="F1" i="1" a="1"/>
  <c r="F1" i="1" l="1"/>
  <c r="E24" i="3"/>
  <c r="E13" i="4"/>
  <c r="F14" i="4"/>
  <c r="G14" i="4" s="1"/>
  <c r="E14" i="4" s="1"/>
  <c r="E11" i="3"/>
  <c r="M6" i="1" a="1"/>
  <c r="F6" i="4" a="1"/>
  <c r="I19" i="1" a="1"/>
  <c r="E19" i="1" a="1"/>
  <c r="G55" i="1" a="1"/>
  <c r="E25" i="3" a="1"/>
  <c r="G43" i="1" a="1"/>
  <c r="G44" i="1" a="1"/>
  <c r="G38" i="1" a="1"/>
  <c r="G54" i="1" a="1"/>
  <c r="G29" i="1" a="1"/>
  <c r="G20" i="1" a="1"/>
  <c r="P19" i="1" a="1"/>
  <c r="G52" i="1" a="1"/>
  <c r="G30" i="1" a="1"/>
  <c r="G25" i="1" a="1"/>
  <c r="G57" i="1" a="1"/>
  <c r="G23" i="1" a="1"/>
  <c r="G39" i="1" a="1"/>
  <c r="G56" i="1" a="1"/>
  <c r="G46" i="1" a="1"/>
  <c r="G32" i="1" a="1"/>
  <c r="G31" i="1" a="1"/>
  <c r="E12" i="3" a="1"/>
  <c r="G49" i="1" a="1"/>
  <c r="G24" i="1" a="1"/>
  <c r="G53" i="1" a="1"/>
  <c r="G22" i="1" a="1"/>
  <c r="G51" i="1" a="1"/>
  <c r="G42" i="1" a="1"/>
  <c r="G21" i="1" a="1"/>
  <c r="G27" i="1" a="1"/>
  <c r="G26" i="1" a="1"/>
  <c r="G50" i="1" a="1"/>
  <c r="G34" i="1" a="1"/>
  <c r="G41" i="1" a="1"/>
  <c r="G45" i="1" a="1"/>
  <c r="G35" i="1" a="1"/>
  <c r="G36" i="1" a="1"/>
  <c r="G48" i="1" a="1"/>
  <c r="G37" i="1" a="1"/>
  <c r="G28" i="1" a="1"/>
  <c r="G33" i="1" a="1"/>
  <c r="G47" i="1" a="1"/>
  <c r="G40" i="1" a="1"/>
  <c r="AS21" i="1" l="1"/>
  <c r="AR21" i="1"/>
  <c r="AS19" i="1"/>
  <c r="AS20" i="1"/>
  <c r="AR20" i="1"/>
  <c r="P19" i="1"/>
  <c r="AR19" i="1" s="1"/>
  <c r="G44" i="1"/>
  <c r="G40" i="1"/>
  <c r="G45" i="1"/>
  <c r="G42" i="1"/>
  <c r="G57" i="1"/>
  <c r="G41" i="1"/>
  <c r="G33" i="1"/>
  <c r="G24" i="1"/>
  <c r="G35" i="1"/>
  <c r="G29" i="1"/>
  <c r="G21" i="1"/>
  <c r="G32" i="1"/>
  <c r="G53" i="1"/>
  <c r="G36" i="1"/>
  <c r="G31" i="1"/>
  <c r="G55" i="1"/>
  <c r="G50" i="1"/>
  <c r="G52" i="1"/>
  <c r="G28" i="1"/>
  <c r="G48" i="1"/>
  <c r="G37" i="1"/>
  <c r="G26" i="1"/>
  <c r="G51" i="1"/>
  <c r="G56" i="1"/>
  <c r="G27" i="1"/>
  <c r="G49" i="1"/>
  <c r="G34" i="1"/>
  <c r="G20" i="1"/>
  <c r="G22" i="1"/>
  <c r="G43" i="1"/>
  <c r="G47" i="1"/>
  <c r="G25" i="1"/>
  <c r="G54" i="1"/>
  <c r="G46" i="1"/>
  <c r="G38" i="1"/>
  <c r="G39" i="1"/>
  <c r="G30" i="1"/>
  <c r="G23" i="1"/>
  <c r="E19" i="1"/>
  <c r="I19" i="1"/>
  <c r="E25" i="3"/>
  <c r="F6" i="4"/>
  <c r="E12" i="3"/>
  <c r="AG27" i="1"/>
  <c r="AH42" i="1"/>
  <c r="AH46" i="1"/>
  <c r="AI55" i="1"/>
  <c r="AH51" i="1"/>
  <c r="AH22" i="1"/>
  <c r="AH28" i="1"/>
  <c r="AG39" i="1"/>
  <c r="AG24" i="1"/>
  <c r="AH57" i="1"/>
  <c r="AH45" i="1"/>
  <c r="AI28" i="1"/>
  <c r="AH26" i="1"/>
  <c r="AG44" i="1"/>
  <c r="AI21" i="1"/>
  <c r="AH55" i="1"/>
  <c r="AG53" i="1"/>
  <c r="AG51" i="1"/>
  <c r="AG29" i="1"/>
  <c r="AG46" i="1"/>
  <c r="AH48" i="1"/>
  <c r="AI26" i="1"/>
  <c r="AI45" i="1"/>
  <c r="AG41" i="1"/>
  <c r="AH30" i="1"/>
  <c r="AH35" i="1"/>
  <c r="AG36" i="1"/>
  <c r="AG56" i="1"/>
  <c r="AI22" i="1"/>
  <c r="AG21" i="1"/>
  <c r="AH43" i="1"/>
  <c r="AH20" i="1"/>
  <c r="AG28" i="1"/>
  <c r="AI40" i="1"/>
  <c r="AG32" i="1"/>
  <c r="AI57" i="1"/>
  <c r="AI52" i="1"/>
  <c r="AG43" i="1"/>
  <c r="AI49" i="1"/>
  <c r="AI36" i="1"/>
  <c r="AI43" i="1"/>
  <c r="AH32" i="1"/>
  <c r="AH33" i="1"/>
  <c r="AH27" i="1"/>
  <c r="AG34" i="1"/>
  <c r="AG48" i="1"/>
  <c r="AI32" i="1"/>
  <c r="AI42" i="1"/>
  <c r="AG50" i="1"/>
  <c r="AI41" i="1"/>
  <c r="AI20" i="1"/>
  <c r="AI30" i="1"/>
  <c r="AI19" i="1"/>
  <c r="AH34" i="1"/>
  <c r="AH53" i="1"/>
  <c r="AG23" i="1"/>
  <c r="AG55" i="1"/>
  <c r="AI37" i="1"/>
  <c r="AH23" i="1"/>
  <c r="AG54" i="1"/>
  <c r="AG42" i="1"/>
  <c r="AI48" i="1"/>
  <c r="AG45" i="1"/>
  <c r="AH31" i="1"/>
  <c r="AI46" i="1"/>
  <c r="AH50" i="1"/>
  <c r="AI47" i="1"/>
  <c r="AG37" i="1"/>
  <c r="AH47" i="1"/>
  <c r="AG49" i="1"/>
  <c r="AH41" i="1"/>
  <c r="AG25" i="1"/>
  <c r="AI51" i="1"/>
  <c r="AH52" i="1"/>
  <c r="AH25" i="1"/>
  <c r="AH56" i="1"/>
  <c r="AG26" i="1"/>
  <c r="AH37" i="1"/>
  <c r="AI29" i="1"/>
  <c r="AI38" i="1"/>
  <c r="AG35" i="1"/>
  <c r="AG57" i="1"/>
  <c r="AH38" i="1"/>
  <c r="AI34" i="1"/>
  <c r="AH54" i="1"/>
  <c r="AH21" i="1"/>
  <c r="AI44" i="1"/>
  <c r="AI31" i="1"/>
  <c r="AI39" i="1"/>
  <c r="AI54" i="1"/>
  <c r="AH29" i="1"/>
  <c r="AH39" i="1"/>
  <c r="AI27" i="1"/>
  <c r="AG40" i="1"/>
  <c r="AH40" i="1"/>
  <c r="AG33" i="1"/>
  <c r="AI35" i="1"/>
  <c r="AI33" i="1"/>
  <c r="AG30" i="1"/>
  <c r="AH36" i="1"/>
  <c r="AH49" i="1"/>
  <c r="AG47" i="1"/>
  <c r="AI53" i="1"/>
  <c r="AI23" i="1"/>
  <c r="AG31" i="1"/>
  <c r="AI56" i="1"/>
  <c r="AI25" i="1"/>
  <c r="AG38" i="1"/>
  <c r="AI24" i="1"/>
  <c r="AG22" i="1"/>
  <c r="AH44" i="1"/>
  <c r="AH24" i="1"/>
  <c r="AG52" i="1"/>
  <c r="AG20" i="1"/>
  <c r="AI50" i="1"/>
  <c r="M6" i="1"/>
  <c r="C5" i="1" s="1"/>
  <c r="I28" i="1" a="1"/>
  <c r="E13" i="3" a="1"/>
  <c r="E26" i="3" a="1"/>
  <c r="F1" i="4" a="1"/>
  <c r="I20" i="1" a="1"/>
  <c r="P29" i="1" a="1"/>
  <c r="G19" i="1" a="1"/>
  <c r="C7" i="1" l="1"/>
  <c r="P29" i="1"/>
  <c r="I20" i="1"/>
  <c r="AK20" i="1" s="1"/>
  <c r="I28" i="1"/>
  <c r="G19" i="1"/>
  <c r="E26" i="3"/>
  <c r="F1" i="4"/>
  <c r="E13" i="3"/>
  <c r="AP22" i="1"/>
  <c r="AO23" i="1"/>
  <c r="AM24" i="1"/>
  <c r="AP26" i="1"/>
  <c r="AP24" i="1"/>
  <c r="AN26" i="1"/>
  <c r="AL24" i="1"/>
  <c r="AL26" i="1"/>
  <c r="AK21" i="1"/>
  <c r="AL23" i="1"/>
  <c r="AO24" i="1"/>
  <c r="AP20" i="1"/>
  <c r="AM26" i="1"/>
  <c r="AO22" i="1"/>
  <c r="AP25" i="1"/>
  <c r="AN21" i="1"/>
  <c r="AP21" i="1"/>
  <c r="AK26" i="1"/>
  <c r="AM23" i="1"/>
  <c r="AK24" i="1"/>
  <c r="AN23" i="1"/>
  <c r="AN24" i="1"/>
  <c r="AL21" i="1"/>
  <c r="AL22" i="1"/>
  <c r="AL20" i="1"/>
  <c r="AK23" i="1"/>
  <c r="AO20" i="1"/>
  <c r="AN25" i="1"/>
  <c r="AO26" i="1"/>
  <c r="AN20" i="1"/>
  <c r="AN22" i="1"/>
  <c r="AK22" i="1"/>
  <c r="AP23" i="1"/>
  <c r="AO25" i="1"/>
  <c r="AO21" i="1"/>
  <c r="AM20" i="1"/>
  <c r="AM22" i="1"/>
  <c r="AL25" i="1"/>
  <c r="AM21" i="1"/>
  <c r="AM25" i="1"/>
  <c r="AK25" i="1"/>
  <c r="AH19" i="1"/>
  <c r="AG19" i="1"/>
  <c r="E19" i="4" a="1"/>
  <c r="G40" i="4" a="1"/>
  <c r="G28" i="4" a="1"/>
  <c r="G26" i="4" a="1"/>
  <c r="G45" i="4" a="1"/>
  <c r="G43" i="4" a="1"/>
  <c r="G39" i="4" a="1"/>
  <c r="G36" i="4" a="1"/>
  <c r="G22" i="4" a="1"/>
  <c r="G32" i="4" a="1"/>
  <c r="M6" i="4" a="1"/>
  <c r="G55" i="4" a="1"/>
  <c r="G25" i="4" a="1"/>
  <c r="G44" i="4" a="1"/>
  <c r="G33" i="4" a="1"/>
  <c r="I19" i="4" a="1"/>
  <c r="G46" i="4" a="1"/>
  <c r="G49" i="4" a="1"/>
  <c r="G30" i="4" a="1"/>
  <c r="G48" i="4" a="1"/>
  <c r="E27" i="3" a="1"/>
  <c r="I32" i="4" a="1"/>
  <c r="G20" i="4" a="1"/>
  <c r="G34" i="4" a="1"/>
  <c r="G53" i="4" a="1"/>
  <c r="G23" i="4" a="1"/>
  <c r="I29" i="1" a="1"/>
  <c r="G56" i="4" a="1"/>
  <c r="G51" i="4" a="1"/>
  <c r="G24" i="4" a="1"/>
  <c r="G50" i="4" a="1"/>
  <c r="G37" i="4" a="1"/>
  <c r="E14" i="3" a="1"/>
  <c r="G57" i="4" a="1"/>
  <c r="G27" i="4" a="1"/>
  <c r="G35" i="4" a="1"/>
  <c r="G31" i="4" a="1"/>
  <c r="G42" i="4" a="1"/>
  <c r="G38" i="4" a="1"/>
  <c r="P30" i="1" a="1"/>
  <c r="G54" i="4" a="1"/>
  <c r="G52" i="4" a="1"/>
  <c r="G41" i="4" a="1"/>
  <c r="G29" i="4" a="1"/>
  <c r="I32" i="4" l="1"/>
  <c r="AR47" i="1"/>
  <c r="AS50" i="1"/>
  <c r="AR54" i="1"/>
  <c r="AS53" i="1"/>
  <c r="AR53" i="1"/>
  <c r="AS56" i="1"/>
  <c r="AR60" i="1"/>
  <c r="AS59" i="1"/>
  <c r="P30" i="1"/>
  <c r="AR30" i="1" s="1"/>
  <c r="AS62" i="1"/>
  <c r="AS33" i="1"/>
  <c r="AR40" i="1"/>
  <c r="AR55" i="1"/>
  <c r="AR62" i="1"/>
  <c r="AS32" i="1"/>
  <c r="AR36" i="1"/>
  <c r="AS65" i="1"/>
  <c r="AR43" i="1"/>
  <c r="AS46" i="1"/>
  <c r="AR50" i="1"/>
  <c r="AS49" i="1"/>
  <c r="AR49" i="1"/>
  <c r="AS52" i="1"/>
  <c r="AR56" i="1"/>
  <c r="AS55" i="1"/>
  <c r="AS30" i="1"/>
  <c r="AR33" i="1"/>
  <c r="AS39" i="1"/>
  <c r="AS64" i="1"/>
  <c r="AR65" i="1"/>
  <c r="AR39" i="1"/>
  <c r="AS42" i="1"/>
  <c r="AR46" i="1"/>
  <c r="AS45" i="1"/>
  <c r="AR45" i="1"/>
  <c r="AS48" i="1"/>
  <c r="AR52" i="1"/>
  <c r="AS51" i="1"/>
  <c r="AR34" i="1"/>
  <c r="AR61" i="1"/>
  <c r="AS63" i="1"/>
  <c r="AR35" i="1"/>
  <c r="AS38" i="1"/>
  <c r="AR42" i="1"/>
  <c r="AS41" i="1"/>
  <c r="AR41" i="1"/>
  <c r="AS44" i="1"/>
  <c r="AR48" i="1"/>
  <c r="AS47" i="1"/>
  <c r="AS61" i="1"/>
  <c r="AR63" i="1"/>
  <c r="AR31" i="1"/>
  <c r="AS34" i="1"/>
  <c r="AR38" i="1"/>
  <c r="AS37" i="1"/>
  <c r="AR37" i="1"/>
  <c r="AS40" i="1"/>
  <c r="AR44" i="1"/>
  <c r="AS43" i="1"/>
  <c r="AR59" i="1"/>
  <c r="AS36" i="1"/>
  <c r="AS58" i="1"/>
  <c r="AS35" i="1"/>
  <c r="AR51" i="1"/>
  <c r="AS54" i="1"/>
  <c r="AR58" i="1"/>
  <c r="AS57" i="1"/>
  <c r="AR57" i="1"/>
  <c r="AS60" i="1"/>
  <c r="AR64" i="1"/>
  <c r="AR32" i="1"/>
  <c r="AS31" i="1"/>
  <c r="I29" i="1"/>
  <c r="AK29" i="1" s="1"/>
  <c r="E27" i="3"/>
  <c r="C3" i="1"/>
  <c r="C4" i="1"/>
  <c r="G50" i="4"/>
  <c r="G23" i="4"/>
  <c r="G29" i="4"/>
  <c r="G31" i="4"/>
  <c r="G39" i="4"/>
  <c r="G55" i="4"/>
  <c r="G26" i="4"/>
  <c r="G28" i="4"/>
  <c r="G36" i="4"/>
  <c r="G44" i="4"/>
  <c r="G52" i="4"/>
  <c r="G34" i="4"/>
  <c r="G33" i="4"/>
  <c r="G41" i="4"/>
  <c r="G49" i="4"/>
  <c r="G57" i="4"/>
  <c r="G24" i="4"/>
  <c r="G38" i="4"/>
  <c r="G46" i="4"/>
  <c r="G54" i="4"/>
  <c r="G42" i="4"/>
  <c r="G53" i="4"/>
  <c r="G45" i="4"/>
  <c r="G37" i="4"/>
  <c r="G25" i="4"/>
  <c r="G56" i="4"/>
  <c r="G48" i="4"/>
  <c r="G40" i="4"/>
  <c r="G32" i="4"/>
  <c r="G30" i="4"/>
  <c r="G22" i="4"/>
  <c r="G20" i="4"/>
  <c r="G51" i="4"/>
  <c r="G43" i="4"/>
  <c r="G35" i="4"/>
  <c r="G27" i="4"/>
  <c r="AC57" i="4"/>
  <c r="AB54" i="4"/>
  <c r="AA51" i="4"/>
  <c r="AC49" i="4"/>
  <c r="AB46" i="4"/>
  <c r="AA43" i="4"/>
  <c r="AC41" i="4"/>
  <c r="AB38" i="4"/>
  <c r="AA35" i="4"/>
  <c r="AC33" i="4"/>
  <c r="AC29" i="4"/>
  <c r="AB28" i="4"/>
  <c r="AA27" i="4"/>
  <c r="AB24" i="4"/>
  <c r="AC21" i="4"/>
  <c r="AC24" i="4"/>
  <c r="AB57" i="4"/>
  <c r="AA54" i="4"/>
  <c r="AC52" i="4"/>
  <c r="AB49" i="4"/>
  <c r="AA46" i="4"/>
  <c r="AC44" i="4"/>
  <c r="AB41" i="4"/>
  <c r="AA38" i="4"/>
  <c r="AC36" i="4"/>
  <c r="AB33" i="4"/>
  <c r="AB29" i="4"/>
  <c r="AA28" i="4"/>
  <c r="AC26" i="4"/>
  <c r="AA24" i="4"/>
  <c r="AB21" i="4"/>
  <c r="E19" i="4"/>
  <c r="AC28" i="4"/>
  <c r="AA22" i="4"/>
  <c r="AA57" i="4"/>
  <c r="AC55" i="4"/>
  <c r="AB52" i="4"/>
  <c r="AA49" i="4"/>
  <c r="AC47" i="4"/>
  <c r="AB44" i="4"/>
  <c r="AA41" i="4"/>
  <c r="AC39" i="4"/>
  <c r="AB36" i="4"/>
  <c r="AA33" i="4"/>
  <c r="AC31" i="4"/>
  <c r="AA29" i="4"/>
  <c r="AB26" i="4"/>
  <c r="AC23" i="4"/>
  <c r="AA21" i="4"/>
  <c r="AC19" i="4"/>
  <c r="AC54" i="4"/>
  <c r="AB43" i="4"/>
  <c r="AA30" i="4"/>
  <c r="AB55" i="4"/>
  <c r="AA52" i="4"/>
  <c r="AC50" i="4"/>
  <c r="AB47" i="4"/>
  <c r="AA44" i="4"/>
  <c r="AC42" i="4"/>
  <c r="AB39" i="4"/>
  <c r="AA36" i="4"/>
  <c r="AC34" i="4"/>
  <c r="AB31" i="4"/>
  <c r="AA26" i="4"/>
  <c r="AB23" i="4"/>
  <c r="AC20" i="4"/>
  <c r="AC46" i="4"/>
  <c r="AA32" i="4"/>
  <c r="AB27" i="4"/>
  <c r="AA55" i="4"/>
  <c r="AC53" i="4"/>
  <c r="AB50" i="4"/>
  <c r="AA47" i="4"/>
  <c r="AC45" i="4"/>
  <c r="AB42" i="4"/>
  <c r="AA39" i="4"/>
  <c r="AC37" i="4"/>
  <c r="AB34" i="4"/>
  <c r="AA31" i="4"/>
  <c r="AC25" i="4"/>
  <c r="AA23" i="4"/>
  <c r="AB20" i="4"/>
  <c r="AA48" i="4"/>
  <c r="AC38" i="4"/>
  <c r="AC56" i="4"/>
  <c r="AB53" i="4"/>
  <c r="AA50" i="4"/>
  <c r="AC48" i="4"/>
  <c r="AB45" i="4"/>
  <c r="AA42" i="4"/>
  <c r="AC40" i="4"/>
  <c r="AB37" i="4"/>
  <c r="AA34" i="4"/>
  <c r="AC32" i="4"/>
  <c r="AC30" i="4"/>
  <c r="AB25" i="4"/>
  <c r="AC22" i="4"/>
  <c r="AA20" i="4"/>
  <c r="AB56" i="4"/>
  <c r="AA53" i="4"/>
  <c r="AC51" i="4"/>
  <c r="AB48" i="4"/>
  <c r="AA45" i="4"/>
  <c r="AC43" i="4"/>
  <c r="AB40" i="4"/>
  <c r="AA37" i="4"/>
  <c r="AC35" i="4"/>
  <c r="AB32" i="4"/>
  <c r="AB30" i="4"/>
  <c r="AC27" i="4"/>
  <c r="AA25" i="4"/>
  <c r="AB22" i="4"/>
  <c r="AA56" i="4"/>
  <c r="AB51" i="4"/>
  <c r="AA40" i="4"/>
  <c r="AB35" i="4"/>
  <c r="M6" i="4"/>
  <c r="C5" i="4" s="1"/>
  <c r="I19" i="4"/>
  <c r="E14" i="3"/>
  <c r="AL29" i="1"/>
  <c r="AM30" i="1"/>
  <c r="AP30" i="1"/>
  <c r="AM29" i="1"/>
  <c r="AN29" i="1"/>
  <c r="AO30" i="1"/>
  <c r="AP29" i="1"/>
  <c r="AN30" i="1"/>
  <c r="AL30" i="1"/>
  <c r="AO29" i="1"/>
  <c r="AK30" i="1"/>
  <c r="G19" i="4" a="1"/>
  <c r="I20" i="4" a="1"/>
  <c r="I28" i="4" a="1"/>
  <c r="G21" i="4" a="1"/>
  <c r="G47" i="4" a="1"/>
  <c r="I42" i="4" a="1"/>
  <c r="E28" i="3" a="1"/>
  <c r="E15" i="3" a="1"/>
  <c r="I33" i="4" a="1"/>
  <c r="I38" i="4" a="1"/>
  <c r="G21" i="4" l="1"/>
  <c r="I42" i="4"/>
  <c r="G47" i="4"/>
  <c r="I38" i="4"/>
  <c r="C8" i="1"/>
  <c r="I33" i="4"/>
  <c r="E28" i="3"/>
  <c r="G19" i="4"/>
  <c r="I28" i="4"/>
  <c r="AE26" i="4"/>
  <c r="AH25" i="4"/>
  <c r="AF23" i="4"/>
  <c r="AI22" i="4"/>
  <c r="AG20" i="4"/>
  <c r="AG25" i="4"/>
  <c r="AJ24" i="4"/>
  <c r="AE23" i="4"/>
  <c r="AH22" i="4"/>
  <c r="AF20" i="4"/>
  <c r="AF25" i="4"/>
  <c r="AI24" i="4"/>
  <c r="AG22" i="4"/>
  <c r="AJ21" i="4"/>
  <c r="AI25" i="4"/>
  <c r="AE21" i="4"/>
  <c r="AJ26" i="4"/>
  <c r="AE25" i="4"/>
  <c r="AH24" i="4"/>
  <c r="AF22" i="4"/>
  <c r="AI21" i="4"/>
  <c r="AG23" i="4"/>
  <c r="AI26" i="4"/>
  <c r="AG24" i="4"/>
  <c r="AJ23" i="4"/>
  <c r="AE22" i="4"/>
  <c r="AH21" i="4"/>
  <c r="AH20" i="4"/>
  <c r="AH26" i="4"/>
  <c r="AF24" i="4"/>
  <c r="AI23" i="4"/>
  <c r="AG21" i="4"/>
  <c r="AJ20" i="4"/>
  <c r="AG26" i="4"/>
  <c r="AJ25" i="4"/>
  <c r="AE24" i="4"/>
  <c r="AH23" i="4"/>
  <c r="AF21" i="4"/>
  <c r="AI20" i="4"/>
  <c r="I20" i="4"/>
  <c r="AE20" i="4" s="1"/>
  <c r="AF26" i="4"/>
  <c r="AJ22" i="4"/>
  <c r="AB19" i="4"/>
  <c r="AA19" i="4"/>
  <c r="E15" i="3"/>
  <c r="C6" i="1"/>
  <c r="I34" i="4" a="1"/>
  <c r="I43" i="4" a="1"/>
  <c r="I29" i="4" a="1"/>
  <c r="I39" i="4" a="1"/>
  <c r="AI40" i="4" l="1"/>
  <c r="AG39" i="4"/>
  <c r="AF40" i="4"/>
  <c r="AI39" i="4"/>
  <c r="AJ40" i="4"/>
  <c r="AH39" i="4"/>
  <c r="AH40" i="4"/>
  <c r="AF39" i="4"/>
  <c r="AG40" i="4"/>
  <c r="AE40" i="4"/>
  <c r="AJ39" i="4"/>
  <c r="I39" i="4"/>
  <c r="AE39" i="4" s="1"/>
  <c r="I43" i="4"/>
  <c r="AE43" i="4" s="1"/>
  <c r="C9" i="4" s="1"/>
  <c r="AE36" i="4"/>
  <c r="AI34" i="4"/>
  <c r="AJ36" i="4"/>
  <c r="AH35" i="4"/>
  <c r="AF34" i="4"/>
  <c r="AF36" i="4"/>
  <c r="AJ34" i="4"/>
  <c r="AJ35" i="4"/>
  <c r="AH34" i="4"/>
  <c r="AI35" i="4"/>
  <c r="AG34" i="4"/>
  <c r="AI36" i="4"/>
  <c r="AG35" i="4"/>
  <c r="AH36" i="4"/>
  <c r="AF35" i="4"/>
  <c r="AG36" i="4"/>
  <c r="AE35" i="4"/>
  <c r="I34" i="4"/>
  <c r="AE34" i="4" s="1"/>
  <c r="C3" i="4"/>
  <c r="AI30" i="4"/>
  <c r="AH30" i="4"/>
  <c r="AG30" i="4"/>
  <c r="AJ29" i="4"/>
  <c r="AF30" i="4"/>
  <c r="AI29" i="4"/>
  <c r="I29" i="4"/>
  <c r="AE29" i="4" s="1"/>
  <c r="AE30" i="4"/>
  <c r="AH29" i="4"/>
  <c r="AG29" i="4"/>
  <c r="AF29" i="4"/>
  <c r="AJ30" i="4"/>
  <c r="C4" i="4"/>
  <c r="C8" i="4" l="1"/>
  <c r="C7" i="4"/>
  <c r="C6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<sst xmlns="http://schemas.openxmlformats.org/spreadsheetml/2006/main" count="455" uniqueCount="138">
  <si>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</si>
  <si>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</si>
  <si>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</si>
  <si>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</si>
  <si>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</si>
  <si>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</si>
  <si>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</si>
  <si>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</si>
  <si>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</si>
  <si>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</si>
  <si>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</si>
  <si>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</si>
  <si>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</si>
  <si>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</si>
  <si>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</si>
  <si>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</si>
  <si>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</si>
  <si>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</si>
  <si>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</si>
  <si>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</si>
  <si>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</si>
  <si>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</si>
  <si>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</si>
  <si>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</si>
  <si>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</si>
  <si>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</si>
  <si>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</si>
  <si>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</si>
  <si>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</si>
  <si>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</si>
  <si>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</si>
  <si>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</si>
  <si>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</si>
  <si>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</si>
  <si>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</si>
  <si>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</si>
  <si>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</si>
  <si>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</si>
  <si>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</si>
  <si>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</si>
  <si>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</si>
  <si>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</si>
  <si>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</si>
  <si>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</si>
  <si>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</si>
  <si>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</si>
  <si>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</si>
  <si>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</si>
  <si>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</si>
  <si>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</si>
  <si>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</si>
  <si>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</si>
  <si>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</si>
  <si>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</si>
  <si>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</si>
  <si>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</si>
  <si>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</si>
  <si>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</si>
  <si>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</si>
  <si>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</si>
  <si>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</si>
  <si>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</si>
  <si>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</si>
  <si>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</si>
  <si>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</si>
  <si>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</si>
  <si>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</si>
  <si>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</si>
  <si>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</si>
  <si>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</si>
  <si>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</si>
  <si>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</si>
  <si>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</si>
  <si>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</si>
  <si>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</si>
  <si>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</si>
  <si>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</si>
  <si>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</si>
  <si>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</si>
  <si>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</si>
  <si>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</si>
  <si>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</si>
  <si>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</si>
  <si>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</si>
  <si>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</si>
  <si>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</si>
  <si>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</si>
  <si>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</si>
  <si>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</si>
  <si>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</si>
  <si>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</si>
  <si>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</si>
  <si>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</si>
  <si>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</si>
  <si>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</si>
  <si>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</si>
  <si>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</si>
  <si>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</si>
  <si>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</si>
  <si>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</si>
  <si>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client</t>
    <phoneticPr fontId="1"/>
  </si>
  <si>
    <t>status</t>
    <phoneticPr fontId="1"/>
  </si>
  <si>
    <t>message</t>
    <phoneticPr fontId="1"/>
  </si>
  <si>
    <t>message 0</t>
    <phoneticPr fontId="1"/>
  </si>
  <si>
    <t>message 1</t>
  </si>
  <si>
    <t>message 2</t>
  </si>
  <si>
    <t>message 3</t>
  </si>
  <si>
    <t>message 4</t>
  </si>
  <si>
    <t>message 5</t>
  </si>
  <si>
    <t>message 6</t>
  </si>
  <si>
    <t>client0</t>
    <phoneticPr fontId="1"/>
  </si>
  <si>
    <t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t>
  </si>
  <si>
    <t>client1</t>
    <phoneticPr fontId="1"/>
  </si>
  <si>
    <t>keyvalues1</t>
    <phoneticPr fontId="1"/>
  </si>
  <si>
    <t>table3</t>
    <phoneticPr fontId="1"/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</si>
  <si>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t>
  </si>
  <si>
    <t/>
  </si>
  <si>
    <t>search</t>
    <phoneticPr fontId="1"/>
  </si>
  <si>
    <t>search1</t>
    <phoneticPr fontId="1"/>
  </si>
  <si>
    <t>search2</t>
    <phoneticPr fontId="1"/>
  </si>
  <si>
    <t>base uri</t>
    <phoneticPr fontId="1"/>
  </si>
  <si>
    <t>get</t>
    <phoneticPr fontId="1"/>
  </si>
  <si>
    <t>response</t>
    <phoneticPr fontId="1"/>
  </si>
  <si>
    <t>content</t>
    <phoneticPr fontId="1"/>
  </si>
  <si>
    <t>uri</t>
    <phoneticPr fontId="1"/>
  </si>
  <si>
    <t>GET</t>
    <phoneticPr fontId="1"/>
  </si>
  <si>
    <t>https://httpbin.org/</t>
  </si>
  <si>
    <t>http://localhost:80/</t>
    <phoneticPr fontId="1"/>
  </si>
  <si>
    <t>WebAPI1</t>
    <phoneticPr fontId="1"/>
  </si>
  <si>
    <t>WebAPI0</t>
    <phoneticPr fontId="1"/>
  </si>
  <si>
    <t>WebAPI2</t>
    <phoneticPr fontId="1"/>
  </si>
  <si>
    <t>key0</t>
    <phoneticPr fontId="1"/>
  </si>
  <si>
    <t>key1.int</t>
    <phoneticPr fontId="1"/>
  </si>
  <si>
    <t>key1.string</t>
    <phoneticPr fontId="1"/>
  </si>
  <si>
    <t>value1</t>
    <phoneticPr fontId="1"/>
  </si>
  <si>
    <t>parameters</t>
    <phoneticPr fontId="1"/>
  </si>
  <si>
    <t>WebAPI3</t>
    <phoneticPr fontId="1"/>
  </si>
  <si>
    <t>WebAPI4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</si>
</sst>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  <xf numFmtId="0" fontId="3" fillId="0" borderId="0" xfId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9294a37bf46144138589d864f892b4b2">
      <tp>
        <v>1</v>
        <stp/>
        <stp>e49d3222-b8e1-4835-ac45-8b0638b4c1bf</stp>
        <tr r="G50" s="4"/>
      </tp>
    </main>
    <main first="rtdsrv.9294a37bf46144138589d864f892b4b2">
      <tp>
        <v>1</v>
        <stp/>
        <stp>9fe0c5c8-6efd-4152-af00-67d1afb438fc</stp>
        <tr r="G55" s="1"/>
      </tp>
      <tp>
        <v>1</v>
        <stp/>
        <stp>0516b8eb-e26e-42a5-a373-50d5f1bd9eab</stp>
        <tr r="G33" s="1"/>
      </tp>
    </main>
    <main first="rtdsrv.9294a37bf46144138589d864f892b4b2">
      <tp>
        <v>1</v>
        <stp/>
        <stp>c6eaafd0-b44b-40b8-8368-551cebb8ce5e</stp>
        <tr r="E7" s="3"/>
      </tp>
    </main>
    <main first="rtdsrv.9294a37bf46144138589d864f892b4b2">
      <tp>
        <v>1</v>
        <stp/>
        <stp>b63df1d7-4bcd-4538-9e10-ae16de5074d7</stp>
        <tr r="G22" s="1"/>
      </tp>
      <tp>
        <v>1</v>
        <stp/>
        <stp>a5a86a84-cc40-48b7-ba61-659d892044ef</stp>
        <tr r="G54" s="1"/>
      </tp>
      <tp>
        <v>1</v>
        <stp/>
        <stp>6aa85fdb-f2b0-4cbd-9686-745fb6e4113e</stp>
        <tr r="D36" s="5"/>
      </tp>
    </main>
    <main first="rtdsrv.9294a37bf46144138589d864f892b4b2">
      <tp>
        <v>1</v>
        <stp/>
        <stp>dbc5369f-17bd-4c18-b8fb-9e9ed4ebdec6</stp>
        <tr r="D25" s="5"/>
      </tp>
    </main>
    <main first="rtdsrv.9294a37bf46144138589d864f892b4b2">
      <tp>
        <v>1</v>
        <stp/>
        <stp>e8c2a691-b4a8-4983-b5f0-5fbfdfcd765a</stp>
        <tr r="G31" s="4"/>
      </tp>
      <tp>
        <v>1</v>
        <stp/>
        <stp>4198fce6-d435-4297-afaa-88e17b347567</stp>
        <tr r="G48" s="4"/>
      </tp>
      <tp>
        <v>1</v>
        <stp/>
        <stp>efb71d43-c071-4a46-90c7-5731b68729a2</stp>
        <tr r="E4" s="3"/>
      </tp>
      <tp>
        <v>1</v>
        <stp/>
        <stp>deda18a8-b8b4-48dc-8a38-2bc8926423e9</stp>
        <tr r="G48" s="1"/>
      </tp>
      <tp>
        <v>1</v>
        <stp/>
        <stp>912f5689-d75b-4a68-bba4-46a5dc6bbc08</stp>
        <tr r="G20" s="1"/>
      </tp>
    </main>
    <main first="rtdsrv.9294a37bf46144138589d864f892b4b2">
      <tp>
        <v>1</v>
        <stp/>
        <stp>c5f4761a-3edf-4e11-8a59-ac32dcfa9895</stp>
        <tr r="G53" s="4"/>
      </tp>
    </main>
    <main first="rtdsrv.9294a37bf46144138589d864f892b4b2">
      <tp>
        <v>1</v>
        <stp/>
        <stp>53f4eba8-15ce-415f-a72c-e0c7d078799a</stp>
        <tr r="G32" s="1"/>
      </tp>
    </main>
    <main first="rtdsrv.9294a37bf46144138589d864f892b4b2">
      <tp>
        <v>1</v>
        <stp/>
        <stp>a9721c48-28db-4d35-98fe-c3dbda30cdf8</stp>
        <tr r="G26" s="1"/>
      </tp>
      <tp>
        <v>1</v>
        <stp/>
        <stp>504c2805-d916-415f-8c8f-16da210c38f6</stp>
        <tr r="G35" s="1"/>
      </tp>
      <tp>
        <v>1</v>
        <stp/>
        <stp>dc0ea811-aded-498a-b576-6f6d1051b77a</stp>
        <tr r="G34" s="4"/>
      </tp>
    </main>
    <main first="rtdsrv.9294a37bf46144138589d864f892b4b2">
      <tp>
        <v>1</v>
        <stp/>
        <stp>257e6878-5182-44b3-8d6e-329594ab315c</stp>
        <tr r="P29" s="1"/>
      </tp>
      <tp>
        <v>1</v>
        <stp/>
        <stp>01bcd33e-76dd-4f38-ad2e-fef0b2ea3b9c</stp>
        <tr r="G52" s="1"/>
      </tp>
      <tp>
        <v>1</v>
        <stp/>
        <stp>ee7b89d7-062f-455f-803d-533e98c708d9</stp>
        <tr r="G52" s="4"/>
      </tp>
      <tp>
        <v>1</v>
        <stp/>
        <stp>30c9b59b-2bfc-4d66-a180-ef5b9013eebd</stp>
        <tr r="G49" s="4"/>
      </tp>
    </main>
    <main first="rtdsrv.9294a37bf46144138589d864f892b4b2">
      <tp>
        <v>1</v>
        <stp/>
        <stp>29502d2d-7aab-448e-9c33-4c296498ea74</stp>
        <tr r="G38" s="4"/>
      </tp>
    </main>
    <main first="rtdsrv.9294a37bf46144138589d864f892b4b2">
      <tp>
        <v>5</v>
        <stp/>
        <stp>c489efa5-e2d6-4274-be27-f98505bba65b</stp>
        <tr r="E20" s="3"/>
      </tp>
      <tp>
        <v>1</v>
        <stp/>
        <stp>c09c88ac-15ad-4f16-b192-0d9208f09a3c</stp>
        <tr r="G37" s="4"/>
      </tp>
      <tp>
        <v>1</v>
        <stp/>
        <stp>5a92aa99-a4ca-4126-8e9b-38b538d0aec1</stp>
        <tr r="G49" s="1"/>
      </tp>
      <tp>
        <v>1</v>
        <stp/>
        <stp>8cbfa009-c42e-4f8a-9b97-f2e175cced8f</stp>
        <tr r="F1" s="1"/>
      </tp>
      <tp>
        <v>1</v>
        <stp/>
        <stp>4396c3b4-cacf-43d7-b847-71a35b129849</stp>
        <tr r="G23" s="4"/>
      </tp>
      <tp>
        <v>1</v>
        <stp/>
        <stp>138b44af-5769-4b73-a31e-f6e8d8640599</stp>
        <tr r="G22" s="4"/>
      </tp>
      <tp>
        <v>1</v>
        <stp/>
        <stp>53b7d0dc-bf4e-4a85-ab11-a9a62d3cd087</stp>
        <tr r="G40" s="4"/>
      </tp>
    </main>
    <main first="rtdsrv.9294a37bf46144138589d864f892b4b2">
      <tp>
        <v>1</v>
        <stp/>
        <stp>43c54def-3fd5-46df-b4ec-f72119c61ac9</stp>
        <tr r="D15" s="5"/>
      </tp>
    </main>
    <main first="rtdsrv.9294a37bf46144138589d864f892b4b2">
      <tp>
        <v>1</v>
        <stp/>
        <stp>2daf5979-0ef6-40ca-a8a4-b0fbb611ac21</stp>
        <tr r="G41" s="4"/>
      </tp>
    </main>
    <main first="rtdsrv.9294a37bf46144138589d864f892b4b2">
      <tp>
        <v>1</v>
        <stp/>
        <stp>5231133c-655f-4513-bddd-195a447c1dc0</stp>
        <tr r="F6" s="4"/>
      </tp>
      <tp>
        <v>1</v>
        <stp/>
        <stp>b770c516-1ff4-4c9e-9f25-070978914b0c</stp>
        <tr r="D50" s="5"/>
      </tp>
    </main>
    <main first="rtdsrv.9294a37bf46144138589d864f892b4b2">
      <tp>
        <v>1</v>
        <stp/>
        <stp>df9fdfa5-0081-4c33-9f37-b454e69af491</stp>
        <tr r="G45" s="4"/>
      </tp>
    </main>
    <main first="rtdsrv.9294a37bf46144138589d864f892b4b2">
      <tp>
        <v>1</v>
        <stp/>
        <stp>f1676391-fd80-4876-a0a8-52f712c67534</stp>
        <tr r="G57" s="1"/>
      </tp>
    </main>
    <main first="rtdsrv.9294a37bf46144138589d864f892b4b2">
      <tp>
        <v>1</v>
        <stp/>
        <stp>9005576a-1b82-454c-b140-576c66679f6c</stp>
        <tr r="G51" s="4"/>
      </tp>
    </main>
    <main first="rtdsrv.9294a37bf46144138589d864f892b4b2">
      <tp>
        <v>1</v>
        <stp/>
        <stp>5fb2772e-dc55-41b3-b087-3dc7e9f12ecb</stp>
        <tr r="G32" s="4"/>
      </tp>
    </main>
    <main first="rtdsrv.9294a37bf46144138589d864f892b4b2">
      <tp>
        <v>1</v>
        <stp/>
        <stp>fc8227c0-46a8-4cba-b240-3b04f4c55d40</stp>
        <tr r="G29" s="1"/>
      </tp>
      <tp>
        <v>1</v>
        <stp/>
        <stp>6df45cb7-2828-4376-976c-a8a063c0e9ef</stp>
        <tr r="G30" s="1"/>
      </tp>
      <tp>
        <v>1</v>
        <stp/>
        <stp>779d2546-dee3-4ae2-994b-9265561c3c89</stp>
        <tr r="G53" s="1"/>
      </tp>
    </main>
    <main first="rtdsrv.9294a37bf46144138589d864f892b4b2">
      <tp>
        <v>2</v>
        <stp/>
        <stp>2cb74e17-2ca2-4246-bc70-ed0cae76d3a5</stp>
        <tr r="H6" s="2"/>
      </tp>
      <tp>
        <v>1</v>
        <stp/>
        <stp>b915fd81-f040-4516-835e-55ecf9b8c38d</stp>
        <tr r="G21" s="4"/>
      </tp>
    </main>
    <main first="rtdsrv.9294a37bf46144138589d864f892b4b2">
      <tp>
        <v>1</v>
        <stp/>
        <stp>f6ecdd08-b847-485f-bdd7-9a4edc6004f8</stp>
        <tr r="G33" s="4"/>
      </tp>
    </main>
    <main first="rtdsrv.9294a37bf46144138589d864f892b4b2">
      <tp>
        <v>1</v>
        <stp/>
        <stp>44dfbb1a-0974-4f92-9327-417061e51b0f</stp>
        <tr r="G35" s="4"/>
      </tp>
    </main>
    <main first="rtdsrv.9294a37bf46144138589d864f892b4b2">
      <tp>
        <v>1</v>
        <stp/>
        <stp>288d8d66-aebe-4eff-8c9d-26db1cc883b6</stp>
        <tr r="G36" s="1"/>
      </tp>
      <tp>
        <v>1</v>
        <stp/>
        <stp>e20d85d4-8900-4d39-ad1a-51dae66cd44a</stp>
        <tr r="G24" s="4"/>
      </tp>
      <tp>
        <v>1</v>
        <stp/>
        <stp>568d4c4c-7a6a-4143-8f52-d58f53649f9d</stp>
        <tr r="G55" s="4"/>
      </tp>
    </main>
    <main first="rtdsrv.9294a37bf46144138589d864f892b4b2">
      <tp>
        <v>1</v>
        <stp/>
        <stp>231f3076-7d7d-4b9b-907c-0a7a5ae9dd7f</stp>
        <tr r="G47" s="1"/>
      </tp>
      <tp>
        <v>1</v>
        <stp/>
        <stp>4e787276-cb37-47d3-8337-663c4e204b71</stp>
        <tr r="G31" s="1"/>
      </tp>
      <tp>
        <v>1</v>
        <stp/>
        <stp>5ad96e94-cae4-485a-8456-759285db6650</stp>
        <tr r="C34" s="5"/>
      </tp>
      <tp>
        <v>1</v>
        <stp/>
        <stp>efafecdb-ddfd-4aa1-a3b2-5dd776cc0e64</stp>
        <tr r="G43" s="4"/>
      </tp>
      <tp>
        <v>1</v>
        <stp/>
        <stp>6e094bd0-040b-4029-a03c-f9badb893dee</stp>
        <tr r="G24" s="1"/>
      </tp>
    </main>
    <main first="rtdsrv.9294a37bf46144138589d864f892b4b2">
      <tp>
        <v>1</v>
        <stp/>
        <stp>889e2315-b9fc-4f86-aa9f-db0696a7a060</stp>
        <tr r="N47" s="5"/>
      </tp>
      <tp>
        <v>1</v>
        <stp/>
        <stp>6ec2ff54-ffe1-430c-9869-0cd0f33f2b6f</stp>
        <tr r="G34" s="1"/>
      </tp>
      <tp>
        <v>1</v>
        <stp/>
        <stp>60658a06-566c-4549-bcfb-91a809a91173</stp>
        <tr r="G27" s="4"/>
      </tp>
      <tp>
        <v>1</v>
        <stp/>
        <stp>99d58e17-82f3-4cfd-9b04-d9b19803c3c8</stp>
        <tr r="G41" s="1"/>
      </tp>
    </main>
    <main first="rtdsrv.9294a37bf46144138589d864f892b4b2">
      <tp>
        <v>1</v>
        <stp/>
        <stp>ab11f734-ce08-4cdc-9d13-243cba61b2af</stp>
        <tr r="G50" s="1"/>
      </tp>
    </main>
    <main first="rtdsrv.9294a37bf46144138589d864f892b4b2">
      <tp>
        <v>1</v>
        <stp/>
        <stp>bb4c0a39-2278-4542-b523-c364672606de</stp>
        <tr r="I38" s="4"/>
      </tp>
    </main>
    <main first="rtdsrv.9294a37bf46144138589d864f892b4b2">
      <tp>
        <v>1</v>
        <stp/>
        <stp>ec68eeca-a530-4cac-81c6-da006064c53a</stp>
        <tr r="D7" s="5"/>
      </tp>
      <tp>
        <v>1</v>
        <stp/>
        <stp>272b0b8d-02d1-4c74-88b0-0189cdf63e7c</stp>
        <tr r="G45" s="1"/>
      </tp>
    </main>
    <main first="rtdsrv.9294a37bf46144138589d864f892b4b2">
      <tp>
        <v>1</v>
        <stp/>
        <stp>f89398ab-69a5-4a22-9037-b394919b05fd</stp>
        <tr r="G42" s="4"/>
      </tp>
      <tp>
        <v>1</v>
        <stp/>
        <stp>735e5ae4-ddd9-4d7d-8017-44215ac6669a</stp>
        <tr r="G54" s="4"/>
      </tp>
    </main>
    <main first="rtdsrv.9294a37bf46144138589d864f892b4b2">
      <tp>
        <v>1</v>
        <stp/>
        <stp>35583adc-39a0-40fe-825e-84b9a234c0ca</stp>
        <tr r="G44" s="4"/>
      </tp>
    </main>
    <main first="rtdsrv.9294a37bf46144138589d864f892b4b2">
      <tp>
        <v>1</v>
        <stp/>
        <stp>602d55fd-ec7f-4569-b738-3003386cdc26</stp>
        <tr r="C23" s="5"/>
      </tp>
    </main>
    <main first="rtdsrv.9294a37bf46144138589d864f892b4b2">
      <tp>
        <v>1</v>
        <stp/>
        <stp>2844c389-96ba-4fe3-8acc-7e9794cd0267</stp>
        <tr r="I28" s="1"/>
      </tp>
    </main>
    <main first="rtdsrv.9294a37bf46144138589d864f892b4b2">
      <tp>
        <v>1</v>
        <stp/>
        <stp>7580bc91-bb32-4baa-b824-4a5f570d70ad</stp>
        <tr r="G27" s="1"/>
      </tp>
      <tp>
        <v>1</v>
        <stp/>
        <stp>8a5d73da-58c0-49a1-be50-9b000491245f</stp>
        <tr r="G44" s="1"/>
      </tp>
      <tp>
        <v>1</v>
        <stp/>
        <stp>2e8e0230-1d72-4a78-b8fd-ab91c269e692</stp>
        <tr r="G28" s="1"/>
      </tp>
    </main>
    <main first="rtdsrv.9294a37bf46144138589d864f892b4b2">
      <tp>
        <v>1</v>
        <stp/>
        <stp>85749355-6608-48ba-9a96-5a5d82882e56</stp>
        <tr r="P19" s="1"/>
      </tp>
    </main>
    <main first="rtdsrv.9294a37bf46144138589d864f892b4b2">
      <tp>
        <v>1</v>
        <stp/>
        <stp>3a36f82f-b194-4b10-8d58-d08c03475cb3</stp>
        <tr r="G25" s="1"/>
      </tp>
      <tp>
        <v>1</v>
        <stp/>
        <stp>dff14e1b-3cb2-4175-a92f-09a7713cbabf</stp>
        <tr r="G30" s="4"/>
      </tp>
      <tp>
        <v>1</v>
        <stp/>
        <stp>51c70317-793e-4998-8462-754eb3d79b79</stp>
        <tr r="C2" s="2"/>
      </tp>
    </main>
    <main first="rtdsrv.9294a37bf46144138589d864f892b4b2">
      <tp>
        <v>1</v>
        <stp/>
        <stp>03615b15-0d79-4a34-b9b2-6c31e2cf495a</stp>
        <tr r="F1" s="4"/>
      </tp>
      <tp>
        <v>1</v>
        <stp/>
        <stp>40e7ac0d-7adb-4198-aa1b-7d671eb6730d</stp>
        <tr r="G19" s="1"/>
      </tp>
    </main>
    <main first="rtdsrv.9294a37bf46144138589d864f892b4b2">
      <tp>
        <v>1</v>
        <stp/>
        <stp>efca1b93-a4a9-4596-af8c-fba76a9ac4e8</stp>
        <tr r="G26" s="4"/>
      </tp>
      <tp>
        <v>1</v>
        <stp/>
        <stp>a91bd692-01fa-4e90-a056-aa4b8fd09a32</stp>
        <tr r="I33" s="4"/>
      </tp>
    </main>
    <main first="rtdsrv.9294a37bf46144138589d864f892b4b2">
      <tp>
        <v>1</v>
        <stp/>
        <stp>e576e17f-f55a-4278-bff2-efe777b4b1ef</stp>
        <tr r="I32" s="4"/>
        <tr r="I19" s="4"/>
      </tp>
      <tp>
        <v>1</v>
        <stp/>
        <stp>4ae0db84-c112-4314-9ac4-fa87f2a998ae</stp>
        <tr r="C5" s="5"/>
      </tp>
    </main>
    <main first="rtdsrv.9294a37bf46144138589d864f892b4b2">
      <tp>
        <v>1</v>
        <stp/>
        <stp>f7155d65-8dcf-4295-8533-cc67edc5376f</stp>
        <tr r="G25" s="4"/>
      </tp>
    </main>
    <main first="rtdsrv.9294a37bf46144138589d864f892b4b2">
      <tp>
        <v>1</v>
        <stp/>
        <stp>b1497367-e1ae-4074-af52-76cd1880456e</stp>
        <tr r="C48" s="5"/>
      </tp>
      <tp>
        <v>1</v>
        <stp/>
        <stp>ee01dd84-b0e3-4de1-a826-917ac23d4916</stp>
        <tr r="G46" s="1"/>
      </tp>
    </main>
    <main first="rtdsrv.9294a37bf46144138589d864f892b4b2">
      <tp>
        <v>1</v>
        <stp/>
        <stp>53502a7d-560b-44be-b38c-bf9d6c93fe2d</stp>
        <tr r="N33" s="5"/>
      </tp>
    </main>
    <main first="rtdsrv.9294a37bf46144138589d864f892b4b2">
      <tp>
        <v>1</v>
        <stp/>
        <stp>0b1e2d11-7872-4755-9765-4828cbf34286</stp>
        <tr r="G47" s="4"/>
      </tp>
    </main>
    <main first="rtdsrv.9294a37bf46144138589d864f892b4b2">
      <tp>
        <v>1</v>
        <stp/>
        <stp>df77d06f-a4cf-4dbd-a1a1-6f9279099657</stp>
        <tr r="G39" s="1"/>
      </tp>
      <tp>
        <v>1</v>
        <stp/>
        <stp>d553a7a9-11ee-4528-82ea-e5ea3a436aac</stp>
        <tr r="G46" s="4"/>
      </tp>
    </main>
    <main first="rtdsrv.9294a37bf46144138589d864f892b4b2">
      <tp>
        <v>1</v>
        <stp/>
        <stp>dc71c9be-9d77-4a95-b9ce-a360cdfae9e6</stp>
        <tr r="I42" s="4"/>
      </tp>
    </main>
    <main first="rtdsrv.9294a37bf46144138589d864f892b4b2">
      <tp>
        <v>1</v>
        <stp/>
        <stp>07318989-0078-4bc4-a339-55a8ec7857d0</stp>
        <tr r="E6" s="3"/>
      </tp>
    </main>
    <main first="rtdsrv.9294a37bf46144138589d864f892b4b2">
      <tp>
        <v>1</v>
        <stp/>
        <stp>1a5d5332-6c3b-4b98-8754-38c1ed973c6c</stp>
        <tr r="F6" s="1"/>
      </tp>
      <tp>
        <v>1</v>
        <stp/>
        <stp>799d4b2b-f074-4a18-b7a3-2e4b8f91c199</stp>
        <tr r="G43" s="1"/>
      </tp>
    </main>
    <main first="rtdsrv.9294a37bf46144138589d864f892b4b2">
      <tp>
        <v>1</v>
        <stp/>
        <stp>46a5e6f1-0885-40e6-951a-22913f23b5f4</stp>
        <tr r="G39" s="4"/>
      </tp>
      <tp>
        <v>1</v>
        <stp/>
        <stp>2b76d571-fe8c-479f-91b8-8a6dec76da6f</stp>
        <tr r="G29" s="4"/>
      </tp>
    </main>
    <main first="rtdsrv.9294a37bf46144138589d864f892b4b2">
      <tp>
        <v>1</v>
        <stp/>
        <stp>1e0e0966-91dd-4e2c-92b4-5e5e70693f6a</stp>
        <tr r="G28" s="4"/>
      </tp>
    </main>
    <main first="rtdsrv.9294a37bf46144138589d864f892b4b2">
      <tp>
        <v>1</v>
        <stp/>
        <stp>9ae9fde9-22c6-48d5-b2d8-62af33cd7089</stp>
        <tr r="G51" s="1"/>
      </tp>
    </main>
    <main first="rtdsrv.9294a37bf46144138589d864f892b4b2">
      <tp>
        <v>1</v>
        <stp/>
        <stp>96811725-5890-4eae-a4ae-6f3767612644</stp>
        <tr r="G19" s="4"/>
      </tp>
      <tp>
        <v>1</v>
        <stp/>
        <stp>fdf7784e-99a8-40ba-ab20-453c8c4014d0</stp>
        <tr r="G40" s="1"/>
      </tp>
    </main>
    <main first="rtdsrv.9294a37bf46144138589d864f892b4b2">
      <tp>
        <v>1</v>
        <stp/>
        <stp>720a6186-283f-4071-b7d5-4b0b3336aae7</stp>
        <tr r="G20" s="4"/>
      </tp>
    </main>
    <main first="rtdsrv.9294a37bf46144138589d864f892b4b2">
      <tp>
        <v>1</v>
        <stp/>
        <stp>fcb392be-3bf2-4273-bb7c-69fb394553d3</stp>
        <tr r="G42" s="1"/>
      </tp>
      <tp>
        <v>1</v>
        <stp/>
        <stp>5a3e3e4c-0700-47cd-ac30-fcb53be8074e</stp>
        <tr r="G56" s="4"/>
      </tp>
      <tp>
        <v>1</v>
        <stp/>
        <stp>c6543139-d881-4aeb-bc70-275d1d040091</stp>
        <tr r="I19" s="1"/>
      </tp>
    </main>
    <main first="rtdsrv.9294a37bf46144138589d864f892b4b2">
      <tp>
        <v>1</v>
        <stp/>
        <stp>9c78a35f-3b8c-4c12-bfee-77e0fb942452</stp>
        <tr r="C13" s="5"/>
      </tp>
    </main>
    <main first="rtdsrv.9294a37bf46144138589d864f892b4b2">
      <tp>
        <v>1</v>
        <stp/>
        <stp>5212752e-4312-4e91-a01a-34aa6ce83675</stp>
        <tr r="I28" s="4"/>
      </tp>
    </main>
    <main first="rtdsrv.9294a37bf46144138589d864f892b4b2">
      <tp>
        <v>1</v>
        <stp/>
        <stp>d7c8f597-e7ed-45ad-80f8-8903393f96a1</stp>
        <tr r="G57" s="4"/>
      </tp>
    </main>
    <main first="rtdsrv.9294a37bf46144138589d864f892b4b2">
      <tp>
        <v>2</v>
        <stp/>
        <stp>dded3bd4-79cb-4887-9768-0ac0af819d34</stp>
        <tr r="E19" s="3"/>
      </tp>
    </main>
    <main first="rtdsrv.9294a37bf46144138589d864f892b4b2">
      <tp>
        <v>1</v>
        <stp/>
        <stp>e78030f4-a932-4bec-b4ca-49cc878ee8f0</stp>
        <tr r="G38" s="1"/>
      </tp>
      <tp>
        <v>1</v>
        <stp/>
        <stp>12e157a9-a7d8-4de0-b059-c5c7aaad9e1a</stp>
        <tr r="G36" s="4"/>
      </tp>
      <tp>
        <v>1</v>
        <stp/>
        <stp>42e80191-085a-4032-a255-a5acbaf320cb</stp>
        <tr r="E17" s="3"/>
      </tp>
    </main>
    <main first="rtdsrv.9294a37bf46144138589d864f892b4b2">
      <tp>
        <v>1</v>
        <stp/>
        <stp>d796521c-5627-4c99-a377-5b1214e249ab</stp>
        <tr r="G56" s="1"/>
      </tp>
      <tp>
        <v>1</v>
        <stp/>
        <stp>276f69dd-3787-4fc2-a070-4878b2a27c9d</stp>
        <tr r="G21" s="1"/>
      </tp>
    </main>
    <main first="rtdsrv.9294a37bf46144138589d864f892b4b2">
      <tp>
        <v>1</v>
        <stp/>
        <stp>6e704c78-38c2-405f-af47-6bd351071e06</stp>
        <tr r="G37" s="1"/>
      </tp>
    </main>
    <main first="rtdsrv.9294a37bf46144138589d864f892b4b2">
      <tp>
        <v>1</v>
        <stp/>
        <stp>bdc834df-43a3-4186-a2a9-fb9a693509b0</stp>
        <tr r="G2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localho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S65"/>
  <sheetViews>
    <sheetView zoomScaleNormal="100" workbookViewId="0"/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40.75" customWidth="1"/>
    <col min="17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27</v>
      </c>
      <c r="F1" t="str" cm="1">
        <f t="array" ref="F1">_xll.ExLibris.Json.CreateJsonObject(E3:F6)</f>
        <v>JsonObject:3B7AEFA4-7FC3-49C6-8851-05B00222F03C</v>
      </c>
      <c r="K1" t="str">
        <f>EXLIBRIS_CONFIGURATION</f>
        <v>ExLibris.Core.ExLibrisConfiguration:51D38C1F-4D61-44B6-9A50-21366B1926F1</v>
      </c>
    </row>
    <row r="2" spans="2:28" x14ac:dyDescent="0.4">
      <c r="B2" s="5" t="s">
        <v>70</v>
      </c>
      <c r="C2" s="5"/>
    </row>
    <row r="3" spans="2:28" x14ac:dyDescent="0.4">
      <c r="B3" s="6" t="s">
        <v>71</v>
      </c>
      <c r="C3" s="6">
        <f>COUNTIF(AG19:AI57,FALSE)</f>
        <v>0</v>
      </c>
      <c r="E3" t="s">
        <v>15</v>
      </c>
      <c r="F3" t="s">
        <v>17</v>
      </c>
    </row>
    <row r="4" spans="2:28" x14ac:dyDescent="0.4">
      <c r="B4" s="6" t="s">
        <v>72</v>
      </c>
      <c r="C4" s="6">
        <f>COUNTIF(AK20:AP26,FALSE)</f>
        <v>0</v>
      </c>
      <c r="E4" t="s">
        <v>19</v>
      </c>
      <c r="F4" t="s">
        <v>21</v>
      </c>
    </row>
    <row r="5" spans="2:28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8" x14ac:dyDescent="0.4">
      <c r="B6" s="6" t="s">
        <v>75</v>
      </c>
      <c r="C6" s="6">
        <f>COUNTIF(AK29:AP30,FALSE)</f>
        <v>0</v>
      </c>
      <c r="E6" t="s">
        <v>26</v>
      </c>
      <c r="F6" t="str" cm="1">
        <f t="array" ref="F6">_xll.ExLibris.Json.CreateJsonArray(E8:J14)</f>
        <v>JsonObject:04DDA2EF-5216-424A-B741-301ECCF53067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8" x14ac:dyDescent="0.4">
      <c r="B7" s="6" t="s">
        <v>113</v>
      </c>
      <c r="C7" s="6">
        <f>COUNTIF(AR19:AS21,FALSE)</f>
        <v>0</v>
      </c>
      <c r="L7" t="s">
        <v>74</v>
      </c>
      <c r="M7" t="s">
        <v>111</v>
      </c>
    </row>
    <row r="8" spans="2:28" x14ac:dyDescent="0.4">
      <c r="B8" s="6" t="s">
        <v>114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8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68</v>
      </c>
      <c r="S16" s="4" t="s">
        <v>69</v>
      </c>
      <c r="AB16" s="4" t="s">
        <v>70</v>
      </c>
    </row>
    <row r="18" spans="5:45" x14ac:dyDescent="0.4">
      <c r="E18" t="s">
        <v>29</v>
      </c>
      <c r="I18" t="s">
        <v>31</v>
      </c>
      <c r="S18" t="s">
        <v>28</v>
      </c>
      <c r="W18" t="s">
        <v>30</v>
      </c>
      <c r="AG18" t="s">
        <v>28</v>
      </c>
      <c r="AK18" t="s">
        <v>30</v>
      </c>
    </row>
    <row r="19" spans="5:45" x14ac:dyDescent="0.4">
      <c r="E19" t="str" cm="1">
        <f t="array" ref="E19:F57">_xll.ExLibris.Json.GetJsonKeyValues(F1)</f>
        <v>trade_code</v>
      </c>
      <c r="F19" t="str">
        <v>money_00001</v>
      </c>
      <c r="G19" t="str" cm="1">
        <f t="array" ref="G19">_xll.ExLibris.Json.GetJsonValue($F$1,E19)</f>
        <v>money_00001</v>
      </c>
      <c r="I19" t="str" cm="1">
        <f t="array" ref="I19">_xll.ExLibris.Json.GetJsonValue(F1,E6)</f>
        <v>JsonObject:456DA369-81AC-404D-9774-AD63FE06A69A</v>
      </c>
      <c r="P19" t="str" cm="1">
        <f t="array" ref="P19:Q27">_xll.ExLibris.Json.GetJsonKeyValues(F1,,3)</f>
        <v>trade_code</v>
      </c>
      <c r="Q19" t="str">
        <v>money_00001</v>
      </c>
      <c r="S19" t="s">
        <v>14</v>
      </c>
      <c r="T19" t="s">
        <v>16</v>
      </c>
      <c r="U19" t="s">
        <v>16</v>
      </c>
      <c r="AD19" t="s">
        <v>14</v>
      </c>
      <c r="AE19" t="s">
        <v>16</v>
      </c>
      <c r="AG19" t="b">
        <f t="shared" ref="AG19:AG57" si="4">E19=S19</f>
        <v>1</v>
      </c>
      <c r="AH19" t="b">
        <f t="shared" ref="AH19:AH57" si="5">E19=S19</f>
        <v>1</v>
      </c>
      <c r="AI19" t="b">
        <f t="shared" ref="AI19:AI57" si="6">F19=T19</f>
        <v>1</v>
      </c>
      <c r="AR19" t="b">
        <f t="shared" ref="AR19:AS21" si="7">P19=AD19</f>
        <v>1</v>
      </c>
      <c r="AS19" t="b">
        <f t="shared" si="7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_xll.ExLibris.Json.GetJsonValue($F$1,E20)</f>
        <v>CP00001</v>
      </c>
      <c r="I20" t="str" cm="1">
        <f t="array" ref="I20:N26">_xll.ExLibris.Json.GetJsonTable(I19)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tr">
        <v>couter_party</v>
      </c>
      <c r="Q20" t="str">
        <v>CP00001</v>
      </c>
      <c r="S20" t="s">
        <v>18</v>
      </c>
      <c r="T20" t="s">
        <v>20</v>
      </c>
      <c r="U20" t="s">
        <v>20</v>
      </c>
      <c r="W20" t="s">
        <v>0</v>
      </c>
      <c r="X20" t="s">
        <v>2</v>
      </c>
      <c r="Y20" t="s">
        <v>4</v>
      </c>
      <c r="Z20" t="s">
        <v>6</v>
      </c>
      <c r="AA20" t="s">
        <v>10</v>
      </c>
      <c r="AB20" t="s">
        <v>12</v>
      </c>
      <c r="AD20" t="s">
        <v>18</v>
      </c>
      <c r="AE20" t="s">
        <v>20</v>
      </c>
      <c r="AG20" t="b">
        <f t="shared" si="4"/>
        <v>1</v>
      </c>
      <c r="AH20" t="b">
        <f t="shared" si="5"/>
        <v>1</v>
      </c>
      <c r="AI20" t="b">
        <f t="shared" si="6"/>
        <v>1</v>
      </c>
      <c r="AK20" t="b">
        <f t="shared" ref="AK20:AP26" si="8">I20=W20</f>
        <v>1</v>
      </c>
      <c r="AL20" t="b">
        <f t="shared" si="8"/>
        <v>1</v>
      </c>
      <c r="AM20" t="b">
        <f t="shared" si="8"/>
        <v>1</v>
      </c>
      <c r="AN20" t="b">
        <f t="shared" si="8"/>
        <v>1</v>
      </c>
      <c r="AO20" t="b">
        <f t="shared" si="8"/>
        <v>1</v>
      </c>
      <c r="AP20" t="b">
        <f t="shared" si="8"/>
        <v>1</v>
      </c>
      <c r="AR20" t="b">
        <f t="shared" si="7"/>
        <v>1</v>
      </c>
      <c r="AS20" t="b">
        <f t="shared" si="7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22</v>
      </c>
      <c r="T21" t="s">
        <v>24</v>
      </c>
      <c r="U21" t="s">
        <v>24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22</v>
      </c>
      <c r="AE21" t="s">
        <v>24</v>
      </c>
      <c r="AG21" t="b">
        <f t="shared" si="4"/>
        <v>1</v>
      </c>
      <c r="AH21" t="b">
        <f t="shared" si="5"/>
        <v>1</v>
      </c>
      <c r="AI21" t="b">
        <f t="shared" si="6"/>
        <v>1</v>
      </c>
      <c r="AK21" t="b">
        <f t="shared" si="8"/>
        <v>1</v>
      </c>
      <c r="AL21" t="b">
        <f t="shared" si="8"/>
        <v>1</v>
      </c>
      <c r="AM21" t="b">
        <f t="shared" si="8"/>
        <v>1</v>
      </c>
      <c r="AN21" t="b">
        <f t="shared" si="8"/>
        <v>1</v>
      </c>
      <c r="AO21" t="b">
        <f t="shared" si="8"/>
        <v>1</v>
      </c>
      <c r="AP21" t="b">
        <f t="shared" si="8"/>
        <v>1</v>
      </c>
      <c r="AR21" t="b">
        <f t="shared" si="7"/>
        <v>1</v>
      </c>
      <c r="AS21" t="b">
        <f t="shared" si="7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JsonObject:E3A49C1F-8FF0-49C2-9855-809683ABA05F</v>
      </c>
      <c r="S22" t="s">
        <v>32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6"/>
        <v>1</v>
      </c>
      <c r="AK22" t="b">
        <f t="shared" si="8"/>
        <v>1</v>
      </c>
      <c r="AL22" t="b">
        <f t="shared" si="8"/>
        <v>1</v>
      </c>
      <c r="AM22" t="b">
        <f t="shared" si="8"/>
        <v>1</v>
      </c>
      <c r="AN22" t="b">
        <f t="shared" si="8"/>
        <v>1</v>
      </c>
      <c r="AO22" t="b">
        <f t="shared" si="8"/>
        <v>1</v>
      </c>
      <c r="AP22" t="b">
        <f t="shared" si="8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JsonObject:4BEBEEF1-8CD3-47B4-9E72-00D3C809659B</v>
      </c>
      <c r="S23" t="s">
        <v>33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6"/>
        <v>1</v>
      </c>
      <c r="AK23" t="b">
        <f t="shared" si="8"/>
        <v>1</v>
      </c>
      <c r="AL23" t="b">
        <f t="shared" si="8"/>
        <v>1</v>
      </c>
      <c r="AM23" t="b">
        <f t="shared" si="8"/>
        <v>1</v>
      </c>
      <c r="AN23" t="b">
        <f t="shared" si="8"/>
        <v>1</v>
      </c>
      <c r="AO23" t="b">
        <f t="shared" si="8"/>
        <v>1</v>
      </c>
      <c r="AP23" t="b">
        <f t="shared" si="8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JsonObject:B76E2DC0-8B6A-4C8F-9478-51E06994B53D</v>
      </c>
      <c r="S24" t="s">
        <v>34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6"/>
        <v>1</v>
      </c>
      <c r="AK24" t="b">
        <f t="shared" si="8"/>
        <v>1</v>
      </c>
      <c r="AL24" t="b">
        <f t="shared" si="8"/>
        <v>1</v>
      </c>
      <c r="AM24" t="b">
        <f t="shared" si="8"/>
        <v>1</v>
      </c>
      <c r="AN24" t="b">
        <f t="shared" si="8"/>
        <v>1</v>
      </c>
      <c r="AO24" t="b">
        <f t="shared" si="8"/>
        <v>1</v>
      </c>
      <c r="AP24" t="b">
        <f t="shared" si="8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JsonObject:B14FCA09-9C2F-46EB-8CF4-99C54BB4848C</v>
      </c>
      <c r="S25" t="s">
        <v>35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6"/>
        <v>1</v>
      </c>
      <c r="AK25" t="b">
        <f t="shared" si="8"/>
        <v>1</v>
      </c>
      <c r="AL25" t="b">
        <f t="shared" si="8"/>
        <v>1</v>
      </c>
      <c r="AM25" t="b">
        <f t="shared" si="8"/>
        <v>1</v>
      </c>
      <c r="AN25" t="b">
        <f t="shared" si="8"/>
        <v>1</v>
      </c>
      <c r="AO25" t="b">
        <f t="shared" si="8"/>
        <v>1</v>
      </c>
      <c r="AP25" t="b">
        <f t="shared" si="8"/>
        <v>1</v>
      </c>
    </row>
    <row r="26" spans="5:45" x14ac:dyDescent="0.4">
      <c r="E26" t="str">
        <v>fixed_leg.cashflows.[0].amout</v>
      </c>
      <c r="F26">
        <v>10000000</v>
      </c>
      <c r="G26" cm="1">
        <f t="array" ref="G26">_xll.ExLibris.Json.GetJsonValue($F$1,E26)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JsonObject:E16BF373-88DD-4242-8FCA-ADA73562B180</v>
      </c>
      <c r="S26" t="s">
        <v>36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6"/>
        <v>1</v>
      </c>
      <c r="AK26" t="b">
        <f t="shared" si="8"/>
        <v>1</v>
      </c>
      <c r="AL26" t="b">
        <f t="shared" si="8"/>
        <v>1</v>
      </c>
      <c r="AM26" t="b">
        <f t="shared" si="8"/>
        <v>1</v>
      </c>
      <c r="AN26" t="b">
        <f t="shared" si="8"/>
        <v>1</v>
      </c>
      <c r="AO26" t="b">
        <f t="shared" si="8"/>
        <v>1</v>
      </c>
      <c r="AP26" t="b">
        <f t="shared" si="8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_xll.ExLibris.Json.GetJsonValue($F$1,E27)</f>
        <v>1E-3</v>
      </c>
      <c r="P27" t="str">
        <v>fixed_leg.cashflows.[5]</v>
      </c>
      <c r="Q27" t="str">
        <v>JsonObject:3EB377C4-3A04-4B8B-8DC4-543BFD45DF79</v>
      </c>
      <c r="S27" t="s">
        <v>37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6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_xll.ExLibris.Json.GetJsonValue($F$1,E28)</f>
        <v>44812</v>
      </c>
      <c r="I28" t="str" cm="1">
        <f t="array" ref="I28">_xll.ExLibris.Json.GetJsonValue(I19,"[2]")</f>
        <v>JsonObject:219693B5-EED9-4888-B0AE-6F14237D3ABA</v>
      </c>
      <c r="S28" t="s">
        <v>38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6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_xll.ExLibris.Json.GetJsonValue($F$1,E29)</f>
        <v>44632</v>
      </c>
      <c r="I29" t="str" cm="1">
        <f t="array" ref="I29:N30">_xll.ExLibris.Json.GetJsonTable(I28)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tr" cm="1">
        <f t="array" ref="P29">_xll.ExLibris.Json.CreateJsonObject(P22:Q27)</f>
        <v>JsonObject:72A6606C-766E-475E-B3E2-6975282F049F</v>
      </c>
      <c r="S29" t="s">
        <v>39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10</v>
      </c>
      <c r="AB29" t="s">
        <v>12</v>
      </c>
      <c r="AG29" t="b">
        <f t="shared" si="4"/>
        <v>1</v>
      </c>
      <c r="AH29" t="b">
        <f t="shared" si="5"/>
        <v>1</v>
      </c>
      <c r="AI29" t="b">
        <f t="shared" si="6"/>
        <v>1</v>
      </c>
      <c r="AK29" t="b">
        <f t="shared" ref="AK29:AP30" si="9">I29=W29</f>
        <v>1</v>
      </c>
      <c r="AL29" t="b">
        <f t="shared" si="9"/>
        <v>1</v>
      </c>
      <c r="AM29" t="b">
        <f t="shared" si="9"/>
        <v>1</v>
      </c>
      <c r="AN29" t="b">
        <f t="shared" si="9"/>
        <v>1</v>
      </c>
      <c r="AO29" t="b">
        <f t="shared" si="9"/>
        <v>1</v>
      </c>
      <c r="AP29" t="b">
        <f t="shared" si="9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_xll.ExLibris.Json.GetJsonKeyValues(P29)</f>
        <v>fixed_leg.cashflows.[0].payment _date</v>
      </c>
      <c r="Q30">
        <v>44632</v>
      </c>
      <c r="S30" t="s">
        <v>40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32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6"/>
        <v>1</v>
      </c>
      <c r="AK30" t="b">
        <f t="shared" si="9"/>
        <v>1</v>
      </c>
      <c r="AL30" t="b">
        <f t="shared" si="9"/>
        <v>1</v>
      </c>
      <c r="AM30" t="b">
        <f t="shared" si="9"/>
        <v>1</v>
      </c>
      <c r="AN30" t="b">
        <f t="shared" si="9"/>
        <v>1</v>
      </c>
      <c r="AO30" t="b">
        <f t="shared" si="9"/>
        <v>1</v>
      </c>
      <c r="AP30" t="b">
        <f t="shared" si="9"/>
        <v>1</v>
      </c>
      <c r="AR30" t="b">
        <f t="shared" ref="AR30:AR64" si="10">P30=AD30</f>
        <v>1</v>
      </c>
      <c r="AS30" t="b">
        <f t="shared" ref="AS30:AS64" si="11">Q30=AE30</f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_xll.ExLibris.Json.GetJsonValue($F$1,E31)</f>
        <v>ACT/360</v>
      </c>
      <c r="P31" t="str">
        <v>fixed_leg.cashflows.[0].start_date</v>
      </c>
      <c r="Q31">
        <v>44452</v>
      </c>
      <c r="S31" t="s">
        <v>41</v>
      </c>
      <c r="T31" t="s">
        <v>8</v>
      </c>
      <c r="U31" t="s">
        <v>8</v>
      </c>
      <c r="AD31" t="s">
        <v>33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6"/>
        <v>1</v>
      </c>
      <c r="AR31" t="b">
        <f t="shared" si="10"/>
        <v>1</v>
      </c>
      <c r="AS31" t="b">
        <f t="shared" si="11"/>
        <v>1</v>
      </c>
    </row>
    <row r="32" spans="5:45" x14ac:dyDescent="0.4">
      <c r="E32" t="str">
        <v>fixed_leg.cashflows.[1].amout</v>
      </c>
      <c r="F32">
        <v>11000000</v>
      </c>
      <c r="G32" cm="1">
        <f t="array" ref="G32">_xll.ExLibris.Json.GetJsonValue($F$1,E32)</f>
        <v>11000000</v>
      </c>
      <c r="P32" t="str">
        <v>fixed_leg.cashflows.[0].end_date</v>
      </c>
      <c r="Q32">
        <v>44632</v>
      </c>
      <c r="S32" t="s">
        <v>42</v>
      </c>
      <c r="T32">
        <v>11000000</v>
      </c>
      <c r="U32">
        <v>11000000</v>
      </c>
      <c r="AD32" t="s">
        <v>34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6"/>
        <v>1</v>
      </c>
      <c r="AR32" t="b">
        <f t="shared" si="10"/>
        <v>1</v>
      </c>
      <c r="AS32" t="b">
        <f t="shared" si="11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_xll.ExLibris.Json.GetJsonValue($F$1,E33)</f>
        <v>1E-3</v>
      </c>
      <c r="P33" t="str">
        <v>fixed_leg.cashflows.[0].day_count_type</v>
      </c>
      <c r="Q33" t="str">
        <v>ACT/360</v>
      </c>
      <c r="S33" t="s">
        <v>43</v>
      </c>
      <c r="T33">
        <v>1E-3</v>
      </c>
      <c r="U33">
        <v>1E-3</v>
      </c>
      <c r="AD33" t="s">
        <v>35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6"/>
        <v>1</v>
      </c>
      <c r="AR33" t="b">
        <f t="shared" si="10"/>
        <v>1</v>
      </c>
      <c r="AS33" t="b">
        <f t="shared" si="11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_xll.ExLibris.Json.GetJsonValue($F$1,E34)</f>
        <v>44992</v>
      </c>
      <c r="P34" t="str">
        <v>fixed_leg.cashflows.[0].amout</v>
      </c>
      <c r="Q34">
        <v>10000000</v>
      </c>
      <c r="S34" t="s">
        <v>44</v>
      </c>
      <c r="T34">
        <v>44992</v>
      </c>
      <c r="U34">
        <v>44992</v>
      </c>
      <c r="AD34" t="s">
        <v>36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6"/>
        <v>1</v>
      </c>
      <c r="AR34" t="b">
        <f t="shared" si="10"/>
        <v>1</v>
      </c>
      <c r="AS34" t="b">
        <f t="shared" si="11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_xll.ExLibris.Json.GetJsonValue($F$1,E35)</f>
        <v>44812</v>
      </c>
      <c r="P35" t="str">
        <v>fixed_leg.cashflows.[0].fixed_rate</v>
      </c>
      <c r="Q35">
        <v>1E-3</v>
      </c>
      <c r="S35" t="s">
        <v>45</v>
      </c>
      <c r="T35">
        <v>44812</v>
      </c>
      <c r="U35">
        <v>44812</v>
      </c>
      <c r="AD35" t="s">
        <v>37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6"/>
        <v>1</v>
      </c>
      <c r="AR35" t="b">
        <f t="shared" si="10"/>
        <v>1</v>
      </c>
      <c r="AS35" t="b">
        <f t="shared" si="11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_xll.ExLibris.Json.GetJsonValue($F$1,E36)</f>
        <v>44992</v>
      </c>
      <c r="P36" t="str">
        <v>fixed_leg.cashflows.[1].payment _date</v>
      </c>
      <c r="Q36">
        <v>44812</v>
      </c>
      <c r="S36" t="s">
        <v>46</v>
      </c>
      <c r="T36">
        <v>44992</v>
      </c>
      <c r="U36">
        <v>44992</v>
      </c>
      <c r="AD36" t="s">
        <v>38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6"/>
        <v>1</v>
      </c>
      <c r="AR36" t="b">
        <f t="shared" si="10"/>
        <v>1</v>
      </c>
      <c r="AS36" t="b">
        <f t="shared" si="11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_xll.ExLibris.Json.GetJsonValue($F$1,E37)</f>
        <v>ACT/360</v>
      </c>
      <c r="P37" t="str">
        <v>fixed_leg.cashflows.[1].start_date</v>
      </c>
      <c r="Q37">
        <v>44632</v>
      </c>
      <c r="S37" t="s">
        <v>47</v>
      </c>
      <c r="T37" t="s">
        <v>8</v>
      </c>
      <c r="U37" t="s">
        <v>8</v>
      </c>
      <c r="AD37" t="s">
        <v>39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6"/>
        <v>1</v>
      </c>
      <c r="AR37" t="b">
        <f t="shared" si="10"/>
        <v>1</v>
      </c>
      <c r="AS37" t="b">
        <f t="shared" si="11"/>
        <v>1</v>
      </c>
    </row>
    <row r="38" spans="5:45" x14ac:dyDescent="0.4">
      <c r="E38" t="str">
        <v>fixed_leg.cashflows.[2].amout</v>
      </c>
      <c r="F38">
        <v>12000000</v>
      </c>
      <c r="G38" cm="1">
        <f t="array" ref="G38">_xll.ExLibris.Json.GetJsonValue($F$1,E38)</f>
        <v>12000000</v>
      </c>
      <c r="P38" t="str">
        <v>fixed_leg.cashflows.[1].end_date</v>
      </c>
      <c r="Q38">
        <v>44812</v>
      </c>
      <c r="S38" t="s">
        <v>48</v>
      </c>
      <c r="T38">
        <v>12000000</v>
      </c>
      <c r="U38">
        <v>12000000</v>
      </c>
      <c r="AD38" t="s">
        <v>40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6"/>
        <v>1</v>
      </c>
      <c r="AR38" t="b">
        <f t="shared" si="10"/>
        <v>1</v>
      </c>
      <c r="AS38" t="b">
        <f t="shared" si="11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_xll.ExLibris.Json.GetJsonValue($F$1,E39)</f>
        <v>1E-3</v>
      </c>
      <c r="P39" t="str">
        <v>fixed_leg.cashflows.[1].day_count_type</v>
      </c>
      <c r="Q39" t="str">
        <v>ACT/360</v>
      </c>
      <c r="S39" t="s">
        <v>49</v>
      </c>
      <c r="T39">
        <v>1E-3</v>
      </c>
      <c r="U39">
        <v>1E-3</v>
      </c>
      <c r="AD39" t="s">
        <v>41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6"/>
        <v>1</v>
      </c>
      <c r="AR39" t="b">
        <f t="shared" si="10"/>
        <v>1</v>
      </c>
      <c r="AS39" t="b">
        <f t="shared" si="11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_xll.ExLibris.Json.GetJsonValue($F$1,E40)</f>
        <v>45172</v>
      </c>
      <c r="P40" t="str">
        <v>fixed_leg.cashflows.[1].amout</v>
      </c>
      <c r="Q40">
        <v>11000000</v>
      </c>
      <c r="S40" t="s">
        <v>50</v>
      </c>
      <c r="T40">
        <v>45172</v>
      </c>
      <c r="U40">
        <v>45172</v>
      </c>
      <c r="AD40" t="s">
        <v>42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6"/>
        <v>1</v>
      </c>
      <c r="AR40" t="b">
        <f t="shared" si="10"/>
        <v>1</v>
      </c>
      <c r="AS40" t="b">
        <f t="shared" si="11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_xll.ExLibris.Json.GetJsonValue($F$1,E41)</f>
        <v>44992</v>
      </c>
      <c r="P41" t="str">
        <v>fixed_leg.cashflows.[1].fixed_rate</v>
      </c>
      <c r="Q41">
        <v>1E-3</v>
      </c>
      <c r="S41" t="s">
        <v>51</v>
      </c>
      <c r="T41">
        <v>44992</v>
      </c>
      <c r="U41">
        <v>44992</v>
      </c>
      <c r="AD41" t="s">
        <v>43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6"/>
        <v>1</v>
      </c>
      <c r="AR41" t="b">
        <f t="shared" si="10"/>
        <v>1</v>
      </c>
      <c r="AS41" t="b">
        <f t="shared" si="11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_xll.ExLibris.Json.GetJsonValue($F$1,E42)</f>
        <v>45172</v>
      </c>
      <c r="P42" t="str">
        <v>fixed_leg.cashflows.[2].payment _date</v>
      </c>
      <c r="Q42">
        <v>44992</v>
      </c>
      <c r="S42" t="s">
        <v>52</v>
      </c>
      <c r="T42">
        <v>45172</v>
      </c>
      <c r="U42">
        <v>45172</v>
      </c>
      <c r="AD42" t="s">
        <v>44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6"/>
        <v>1</v>
      </c>
      <c r="AR42" t="b">
        <f t="shared" si="10"/>
        <v>1</v>
      </c>
      <c r="AS42" t="b">
        <f t="shared" si="11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_xll.ExLibris.Json.GetJsonValue($F$1,E43)</f>
        <v>ACT/360</v>
      </c>
      <c r="P43" t="str">
        <v>fixed_leg.cashflows.[2].start_date</v>
      </c>
      <c r="Q43">
        <v>44812</v>
      </c>
      <c r="S43" t="s">
        <v>53</v>
      </c>
      <c r="T43" t="s">
        <v>8</v>
      </c>
      <c r="U43" t="s">
        <v>8</v>
      </c>
      <c r="AD43" t="s">
        <v>45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6"/>
        <v>1</v>
      </c>
      <c r="AR43" t="b">
        <f t="shared" si="10"/>
        <v>1</v>
      </c>
      <c r="AS43" t="b">
        <f t="shared" si="11"/>
        <v>1</v>
      </c>
    </row>
    <row r="44" spans="5:45" x14ac:dyDescent="0.4">
      <c r="E44" t="str">
        <v>fixed_leg.cashflows.[3].amout</v>
      </c>
      <c r="F44">
        <v>13000000</v>
      </c>
      <c r="G44" cm="1">
        <f t="array" ref="G44">_xll.ExLibris.Json.GetJsonValue($F$1,E44)</f>
        <v>13000000</v>
      </c>
      <c r="P44" t="str">
        <v>fixed_leg.cashflows.[2].end_date</v>
      </c>
      <c r="Q44">
        <v>44992</v>
      </c>
      <c r="S44" t="s">
        <v>54</v>
      </c>
      <c r="T44">
        <v>13000000</v>
      </c>
      <c r="U44">
        <v>13000000</v>
      </c>
      <c r="AD44" t="s">
        <v>46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6"/>
        <v>1</v>
      </c>
      <c r="AR44" t="b">
        <f t="shared" si="10"/>
        <v>1</v>
      </c>
      <c r="AS44" t="b">
        <f t="shared" si="11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_xll.ExLibris.Json.GetJsonValue($F$1,E45)</f>
        <v>1E-3</v>
      </c>
      <c r="P45" t="str">
        <v>fixed_leg.cashflows.[2].day_count_type</v>
      </c>
      <c r="Q45" t="str">
        <v>ACT/360</v>
      </c>
      <c r="S45" t="s">
        <v>55</v>
      </c>
      <c r="T45">
        <v>1E-3</v>
      </c>
      <c r="U45">
        <v>1E-3</v>
      </c>
      <c r="AD45" t="s">
        <v>47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6"/>
        <v>1</v>
      </c>
      <c r="AR45" t="b">
        <f t="shared" si="10"/>
        <v>1</v>
      </c>
      <c r="AS45" t="b">
        <f t="shared" si="11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_xll.ExLibris.Json.GetJsonValue($F$1,E46)</f>
        <v>45352</v>
      </c>
      <c r="P46" t="str">
        <v>fixed_leg.cashflows.[2].amout</v>
      </c>
      <c r="Q46">
        <v>12000000</v>
      </c>
      <c r="S46" t="s">
        <v>56</v>
      </c>
      <c r="T46">
        <v>45352</v>
      </c>
      <c r="U46">
        <v>45352</v>
      </c>
      <c r="AD46" t="s">
        <v>48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6"/>
        <v>1</v>
      </c>
      <c r="AR46" t="b">
        <f t="shared" si="10"/>
        <v>1</v>
      </c>
      <c r="AS46" t="b">
        <f t="shared" si="11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_xll.ExLibris.Json.GetJsonValue($F$1,E47)</f>
        <v>45172</v>
      </c>
      <c r="P47" t="str">
        <v>fixed_leg.cashflows.[2].fixed_rate</v>
      </c>
      <c r="Q47">
        <v>1E-3</v>
      </c>
      <c r="S47" t="s">
        <v>57</v>
      </c>
      <c r="T47">
        <v>45172</v>
      </c>
      <c r="U47">
        <v>45172</v>
      </c>
      <c r="AD47" t="s">
        <v>49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6"/>
        <v>1</v>
      </c>
      <c r="AR47" t="b">
        <f t="shared" si="10"/>
        <v>1</v>
      </c>
      <c r="AS47" t="b">
        <f t="shared" si="11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_xll.ExLibris.Json.GetJsonValue($F$1,E48)</f>
        <v>45352</v>
      </c>
      <c r="P48" t="str">
        <v>fixed_leg.cashflows.[3].payment _date</v>
      </c>
      <c r="Q48">
        <v>45172</v>
      </c>
      <c r="S48" t="s">
        <v>58</v>
      </c>
      <c r="T48">
        <v>45352</v>
      </c>
      <c r="U48">
        <v>45352</v>
      </c>
      <c r="AD48" t="s">
        <v>50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6"/>
        <v>1</v>
      </c>
      <c r="AR48" t="b">
        <f t="shared" si="10"/>
        <v>1</v>
      </c>
      <c r="AS48" t="b">
        <f t="shared" si="11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_xll.ExLibris.Json.GetJsonValue($F$1,E49)</f>
        <v>ACT/360</v>
      </c>
      <c r="P49" t="str">
        <v>fixed_leg.cashflows.[3].start_date</v>
      </c>
      <c r="Q49">
        <v>44992</v>
      </c>
      <c r="S49" t="s">
        <v>59</v>
      </c>
      <c r="T49" t="s">
        <v>8</v>
      </c>
      <c r="U49" t="s">
        <v>8</v>
      </c>
      <c r="AD49" t="s">
        <v>51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6"/>
        <v>1</v>
      </c>
      <c r="AR49" t="b">
        <f t="shared" si="10"/>
        <v>1</v>
      </c>
      <c r="AS49" t="b">
        <f t="shared" si="11"/>
        <v>1</v>
      </c>
    </row>
    <row r="50" spans="5:45" x14ac:dyDescent="0.4">
      <c r="E50" t="str">
        <v>fixed_leg.cashflows.[4].amout</v>
      </c>
      <c r="F50">
        <v>14000000</v>
      </c>
      <c r="G50" cm="1">
        <f t="array" ref="G50">_xll.ExLibris.Json.GetJsonValue($F$1,E50)</f>
        <v>14000000</v>
      </c>
      <c r="P50" t="str">
        <v>fixed_leg.cashflows.[3].end_date</v>
      </c>
      <c r="Q50">
        <v>45172</v>
      </c>
      <c r="S50" t="s">
        <v>60</v>
      </c>
      <c r="T50">
        <v>14000000</v>
      </c>
      <c r="U50">
        <v>14000000</v>
      </c>
      <c r="AD50" t="s">
        <v>52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6"/>
        <v>1</v>
      </c>
      <c r="AR50" t="b">
        <f t="shared" si="10"/>
        <v>1</v>
      </c>
      <c r="AS50" t="b">
        <f t="shared" si="11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_xll.ExLibris.Json.GetJsonValue($F$1,E51)</f>
        <v>1E-3</v>
      </c>
      <c r="P51" t="str">
        <v>fixed_leg.cashflows.[3].day_count_type</v>
      </c>
      <c r="Q51" t="str">
        <v>ACT/360</v>
      </c>
      <c r="S51" t="s">
        <v>61</v>
      </c>
      <c r="T51">
        <v>1E-3</v>
      </c>
      <c r="U51">
        <v>1E-3</v>
      </c>
      <c r="AD51" t="s">
        <v>53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6"/>
        <v>1</v>
      </c>
      <c r="AR51" t="b">
        <f t="shared" si="10"/>
        <v>1</v>
      </c>
      <c r="AS51" t="b">
        <f t="shared" si="11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_xll.ExLibris.Json.GetJsonValue($F$1,E52)</f>
        <v>45532</v>
      </c>
      <c r="P52" t="str">
        <v>fixed_leg.cashflows.[3].amout</v>
      </c>
      <c r="Q52">
        <v>13000000</v>
      </c>
      <c r="S52" t="s">
        <v>62</v>
      </c>
      <c r="T52">
        <v>45532</v>
      </c>
      <c r="U52">
        <v>45532</v>
      </c>
      <c r="AD52" t="s">
        <v>54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6"/>
        <v>1</v>
      </c>
      <c r="AR52" t="b">
        <f t="shared" si="10"/>
        <v>1</v>
      </c>
      <c r="AS52" t="b">
        <f t="shared" si="11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_xll.ExLibris.Json.GetJsonValue($F$1,E53)</f>
        <v>45352</v>
      </c>
      <c r="P53" t="str">
        <v>fixed_leg.cashflows.[3].fixed_rate</v>
      </c>
      <c r="Q53">
        <v>1E-3</v>
      </c>
      <c r="S53" t="s">
        <v>63</v>
      </c>
      <c r="T53">
        <v>45352</v>
      </c>
      <c r="U53">
        <v>45352</v>
      </c>
      <c r="AD53" t="s">
        <v>55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6"/>
        <v>1</v>
      </c>
      <c r="AR53" t="b">
        <f t="shared" si="10"/>
        <v>1</v>
      </c>
      <c r="AS53" t="b">
        <f t="shared" si="11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_xll.ExLibris.Json.GetJsonValue($F$1,E54)</f>
        <v>45532</v>
      </c>
      <c r="P54" t="str">
        <v>fixed_leg.cashflows.[4].payment _date</v>
      </c>
      <c r="Q54">
        <v>45352</v>
      </c>
      <c r="S54" t="s">
        <v>64</v>
      </c>
      <c r="T54">
        <v>45532</v>
      </c>
      <c r="U54">
        <v>45532</v>
      </c>
      <c r="AD54" t="s">
        <v>56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6"/>
        <v>1</v>
      </c>
      <c r="AR54" t="b">
        <f t="shared" si="10"/>
        <v>1</v>
      </c>
      <c r="AS54" t="b">
        <f t="shared" si="11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_xll.ExLibris.Json.GetJsonValue($F$1,E55)</f>
        <v>ACT/360</v>
      </c>
      <c r="P55" t="str">
        <v>fixed_leg.cashflows.[4].start_date</v>
      </c>
      <c r="Q55">
        <v>45172</v>
      </c>
      <c r="S55" t="s">
        <v>65</v>
      </c>
      <c r="T55" t="s">
        <v>8</v>
      </c>
      <c r="U55" t="s">
        <v>8</v>
      </c>
      <c r="AD55" t="s">
        <v>57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6"/>
        <v>1</v>
      </c>
      <c r="AR55" t="b">
        <f t="shared" si="10"/>
        <v>1</v>
      </c>
      <c r="AS55" t="b">
        <f t="shared" si="11"/>
        <v>1</v>
      </c>
    </row>
    <row r="56" spans="5:45" x14ac:dyDescent="0.4">
      <c r="E56" t="str">
        <v>fixed_leg.cashflows.[5].amout</v>
      </c>
      <c r="F56">
        <v>15000000</v>
      </c>
      <c r="G56" cm="1">
        <f t="array" ref="G56">_xll.ExLibris.Json.GetJsonValue($F$1,E56)</f>
        <v>15000000</v>
      </c>
      <c r="P56" t="str">
        <v>fixed_leg.cashflows.[4].end_date</v>
      </c>
      <c r="Q56">
        <v>45352</v>
      </c>
      <c r="S56" t="s">
        <v>66</v>
      </c>
      <c r="T56">
        <v>15000000</v>
      </c>
      <c r="U56">
        <v>15000000</v>
      </c>
      <c r="AD56" t="s">
        <v>58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6"/>
        <v>1</v>
      </c>
      <c r="AR56" t="b">
        <f t="shared" si="10"/>
        <v>1</v>
      </c>
      <c r="AS56" t="b">
        <f t="shared" si="11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_xll.ExLibris.Json.GetJsonValue($F$1,E57)</f>
        <v>1E-3</v>
      </c>
      <c r="P57" t="str">
        <v>fixed_leg.cashflows.[4].day_count_type</v>
      </c>
      <c r="Q57" t="str">
        <v>ACT/360</v>
      </c>
      <c r="S57" t="s">
        <v>67</v>
      </c>
      <c r="T57">
        <v>1E-3</v>
      </c>
      <c r="U57">
        <v>1E-3</v>
      </c>
      <c r="AD57" t="s">
        <v>59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6"/>
        <v>1</v>
      </c>
      <c r="AR57" t="b">
        <f t="shared" si="10"/>
        <v>1</v>
      </c>
      <c r="AS57" t="b">
        <f t="shared" si="11"/>
        <v>1</v>
      </c>
    </row>
    <row r="58" spans="5:45" x14ac:dyDescent="0.4">
      <c r="P58" t="str">
        <v>fixed_leg.cashflows.[4].amout</v>
      </c>
      <c r="Q58">
        <v>14000000</v>
      </c>
      <c r="AD58" t="s">
        <v>60</v>
      </c>
      <c r="AE58">
        <v>14000000</v>
      </c>
      <c r="AR58" t="b">
        <f t="shared" si="10"/>
        <v>1</v>
      </c>
      <c r="AS58" t="b">
        <f t="shared" si="11"/>
        <v>1</v>
      </c>
    </row>
    <row r="59" spans="5:45" x14ac:dyDescent="0.4">
      <c r="P59" t="str">
        <v>fixed_leg.cashflows.[4].fixed_rate</v>
      </c>
      <c r="Q59">
        <v>1E-3</v>
      </c>
      <c r="AD59" t="s">
        <v>61</v>
      </c>
      <c r="AE59">
        <v>1E-3</v>
      </c>
      <c r="AR59" t="b">
        <f t="shared" si="10"/>
        <v>1</v>
      </c>
      <c r="AS59" t="b">
        <f t="shared" si="11"/>
        <v>1</v>
      </c>
    </row>
    <row r="60" spans="5:45" x14ac:dyDescent="0.4">
      <c r="P60" t="str">
        <v>fixed_leg.cashflows.[5].payment _date</v>
      </c>
      <c r="Q60">
        <v>45532</v>
      </c>
      <c r="AD60" t="s">
        <v>62</v>
      </c>
      <c r="AE60">
        <v>45532</v>
      </c>
      <c r="AR60" t="b">
        <f t="shared" si="10"/>
        <v>1</v>
      </c>
      <c r="AS60" t="b">
        <f t="shared" si="11"/>
        <v>1</v>
      </c>
    </row>
    <row r="61" spans="5:45" x14ac:dyDescent="0.4">
      <c r="P61" t="str">
        <v>fixed_leg.cashflows.[5].start_date</v>
      </c>
      <c r="Q61">
        <v>45352</v>
      </c>
      <c r="AD61" t="s">
        <v>63</v>
      </c>
      <c r="AE61">
        <v>45352</v>
      </c>
      <c r="AR61" t="b">
        <f t="shared" si="10"/>
        <v>1</v>
      </c>
      <c r="AS61" t="b">
        <f t="shared" si="11"/>
        <v>1</v>
      </c>
    </row>
    <row r="62" spans="5:45" x14ac:dyDescent="0.4">
      <c r="P62" t="str">
        <v>fixed_leg.cashflows.[5].end_date</v>
      </c>
      <c r="Q62">
        <v>45532</v>
      </c>
      <c r="AD62" t="s">
        <v>64</v>
      </c>
      <c r="AE62">
        <v>45532</v>
      </c>
      <c r="AR62" t="b">
        <f t="shared" si="10"/>
        <v>1</v>
      </c>
      <c r="AS62" t="b">
        <f t="shared" si="11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65</v>
      </c>
      <c r="AE63" t="s">
        <v>8</v>
      </c>
      <c r="AR63" t="b">
        <f t="shared" si="10"/>
        <v>1</v>
      </c>
      <c r="AS63" t="b">
        <f t="shared" si="11"/>
        <v>1</v>
      </c>
    </row>
    <row r="64" spans="5:45" x14ac:dyDescent="0.4">
      <c r="P64" t="str">
        <v>fixed_leg.cashflows.[5].amout</v>
      </c>
      <c r="Q64">
        <v>15000000</v>
      </c>
      <c r="AD64" t="s">
        <v>66</v>
      </c>
      <c r="AE64">
        <v>15000000</v>
      </c>
      <c r="AR64" t="b">
        <f t="shared" si="10"/>
        <v>1</v>
      </c>
      <c r="AS64" t="b">
        <f t="shared" si="11"/>
        <v>1</v>
      </c>
    </row>
    <row r="65" spans="16:45" x14ac:dyDescent="0.4">
      <c r="P65" t="str">
        <v>fixed_leg.cashflows.[5].fixed_rate</v>
      </c>
      <c r="Q65">
        <v>1E-3</v>
      </c>
      <c r="AD65" t="s">
        <v>67</v>
      </c>
      <c r="AE65">
        <v>1E-3</v>
      </c>
      <c r="AR65" t="b">
        <f>P65=AD65</f>
        <v>1</v>
      </c>
      <c r="AS65" t="b">
        <f>Q65=AE65</f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D89E-C884-4680-AA73-D86C4BBD7CCE}">
  <dimension ref="B1:AJ57"/>
  <sheetViews>
    <sheetView zoomScaleNormal="100" workbookViewId="0"/>
  </sheetViews>
  <sheetFormatPr defaultRowHeight="18.75" x14ac:dyDescent="0.4"/>
  <cols>
    <col min="1" max="1" width="2.25" customWidth="1"/>
    <col min="2" max="2" width="1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_xll.ExLibris.Json.CreateJsonObject(E3:F6, EXLIBRIS_CONFIGURATION)</f>
        <v>JsonObject:E57310A4-CEC6-468C-A9CA-BC71623E5851</v>
      </c>
      <c r="K1" t="str">
        <f>EXLIBRIS_CONFIGURATION</f>
        <v>ExLibris.Core.ExLibrisConfiguration:51D38C1F-4D61-44B6-9A50-21366B1926F1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_xll.ExLibris.Json.CreateJsonArray(E8:J14, EXLIBRIS_CONFIGURATION)</f>
        <v>JsonObject:FAA9C35A-C8BC-4843-A409-5A5C5F92F5F9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v>
      </c>
    </row>
    <row r="7" spans="2:25" x14ac:dyDescent="0.4">
      <c r="B7" s="6" t="s">
        <v>117</v>
      </c>
      <c r="C7" s="6">
        <f>COUNTIF(AE34:AJ36,FALSE)</f>
        <v>0</v>
      </c>
      <c r="L7" t="s">
        <v>74</v>
      </c>
      <c r="M7" t="s">
        <v>115</v>
      </c>
    </row>
    <row r="8" spans="2:25" x14ac:dyDescent="0.4">
      <c r="B8" s="6" t="s">
        <v>118</v>
      </c>
      <c r="C8" s="6">
        <f>COUNTIF(AE39:AJ40,FALSE)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B9" s="6" t="s">
        <v>119</v>
      </c>
      <c r="C9" s="6">
        <f>COUNTIF(AE43,FALSE)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</f>
        <v>10000000</v>
      </c>
      <c r="J10" s="3">
        <f>J9+0.0001</f>
        <v>1.1000000000000001E-3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3" si="3">I10+1000000</f>
        <v>11000000</v>
      </c>
      <c r="J11" s="3">
        <f t="shared" ref="J11:J14" si="4">J10+0.0001</f>
        <v>1.2000000000000001E-3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>I11</f>
        <v>11000000</v>
      </c>
      <c r="J12" s="3">
        <f t="shared" si="4"/>
        <v>1.3000000000000002E-3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12000000</v>
      </c>
      <c r="J13" s="3">
        <f t="shared" si="4"/>
        <v>1.4000000000000002E-3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>I13</f>
        <v>12000000</v>
      </c>
      <c r="J14" s="3">
        <f t="shared" si="4"/>
        <v>1.5000000000000002E-3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_xll.ExLibris.Json.GetJsonKeyValues(F1, EXLIBRIS_CONFIGURATION)</f>
        <v>trade_code</v>
      </c>
      <c r="F19" t="str">
        <v>money_00001</v>
      </c>
      <c r="G19" t="str" cm="1">
        <f t="array" ref="G19">_xll.ExLibris.Json.GetJsonValue($F$1,E19, EXLIBRIS_CONFIGURATION)</f>
        <v>money_00001</v>
      </c>
      <c r="I19" t="str" cm="1">
        <f t="array" ref="I19">_xll.ExLibris.Json.GetJsonValue(F1,E6, EXLIBRIS_CONFIGURATION)</f>
        <v>JsonObject:C7674CFE-16DA-42D9-BA9F-398D3AF7EB71</v>
      </c>
      <c r="P19" t="s">
        <v>14</v>
      </c>
      <c r="Q19" t="s">
        <v>16</v>
      </c>
      <c r="R19" t="s">
        <v>16</v>
      </c>
      <c r="AA19" t="b">
        <f t="shared" ref="AA19:AA57" si="5">E19=P19</f>
        <v>1</v>
      </c>
      <c r="AB19" t="b">
        <f t="shared" ref="AB19:AC57" si="6">E19=P19</f>
        <v>1</v>
      </c>
      <c r="AC19" t="b">
        <f t="shared" si="6"/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_xll.ExLibris.Json.GetJsonValue($F$1,E20, EXLIBRIS_CONFIGURATION)</f>
        <v>CP00001</v>
      </c>
      <c r="I20" t="str" cm="1">
        <f t="array" ref="I20:N26">_xll.ExLibris.Json.GetJsonTable(I19,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5"/>
        <v>1</v>
      </c>
      <c r="AB20" t="b">
        <f t="shared" si="6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5"/>
        <v>1</v>
      </c>
      <c r="AB21" t="b">
        <f t="shared" si="6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s="1" t="str" cm="1">
        <f t="array" ref="G22">_xll.ExLibris.Json.GetJsonValue($F$1,E22,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10000000</v>
      </c>
      <c r="N22">
        <v>1.1000000000000001E-3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10000000</v>
      </c>
      <c r="Y22">
        <v>1.1000000000000001E-3</v>
      </c>
      <c r="AA22" t="b">
        <f t="shared" si="5"/>
        <v>1</v>
      </c>
      <c r="AB22" t="b">
        <f t="shared" si="6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11000000</v>
      </c>
      <c r="N23">
        <v>1.2000000000000001E-3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11000000</v>
      </c>
      <c r="Y23">
        <v>1.2000000000000001E-3</v>
      </c>
      <c r="AA23" t="b">
        <f t="shared" si="5"/>
        <v>1</v>
      </c>
      <c r="AB23" t="b">
        <f t="shared" si="6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11000000</v>
      </c>
      <c r="N24">
        <v>1.3000000000000002E-3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11000000</v>
      </c>
      <c r="Y24">
        <v>1.3000000000000002E-3</v>
      </c>
      <c r="AA24" t="b">
        <f t="shared" si="5"/>
        <v>1</v>
      </c>
      <c r="AB24" t="b">
        <f t="shared" si="6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12000000</v>
      </c>
      <c r="N25">
        <v>1.4000000000000002E-3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12000000</v>
      </c>
      <c r="Y25">
        <v>1.4000000000000002E-3</v>
      </c>
      <c r="AA25" t="b">
        <f t="shared" si="5"/>
        <v>1</v>
      </c>
      <c r="AB25" t="b">
        <f t="shared" si="6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12000000</v>
      </c>
      <c r="N26">
        <v>1.5000000000000002E-3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12000000</v>
      </c>
      <c r="Y26">
        <v>1.5000000000000002E-3</v>
      </c>
      <c r="AA26" t="b">
        <f t="shared" si="5"/>
        <v>1</v>
      </c>
      <c r="AB26" t="b">
        <f t="shared" si="6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_xll.ExLibris.Json.GetJsonValue($F$1,E27, EXLIBRIS_CONFIGURATION)</f>
        <v>1E-3</v>
      </c>
      <c r="P27" t="s">
        <v>37</v>
      </c>
      <c r="Q27">
        <v>1E-3</v>
      </c>
      <c r="R27">
        <v>1E-3</v>
      </c>
      <c r="AA27" t="b">
        <f t="shared" si="5"/>
        <v>1</v>
      </c>
      <c r="AB27" t="b">
        <f t="shared" si="6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_xll.ExLibris.Json.GetJsonValue($F$1,E28, EXLIBRIS_CONFIGURATION)</f>
        <v>2022-09-08</v>
      </c>
      <c r="I28" t="str" cm="1">
        <f t="array" ref="I28">_xll.ExLibris.Json.GetJsonValue(I19,"[2]", EXLIBRIS_CONFIGURATION)</f>
        <v>JsonObject:559D2557-0832-4D7B-BFFC-8068A3C20BC4</v>
      </c>
      <c r="P28" t="s">
        <v>38</v>
      </c>
      <c r="Q28" t="s">
        <v>95</v>
      </c>
      <c r="R28" t="s">
        <v>95</v>
      </c>
      <c r="AA28" t="b">
        <f t="shared" si="5"/>
        <v>1</v>
      </c>
      <c r="AB28" t="b">
        <f t="shared" si="6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_xll.ExLibris.Json.GetJsonValue($F$1,E29, EXLIBRIS_CONFIGURATION)</f>
        <v>2022-03-12</v>
      </c>
      <c r="I29" t="str" cm="1">
        <f t="array" ref="I29:N30">_xll.ExLibris.Json.GetJsonTable(I28,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5"/>
        <v>1</v>
      </c>
      <c r="AB29" t="b">
        <f t="shared" si="6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11000000</v>
      </c>
      <c r="N30">
        <v>1.2000000000000001E-3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11000000</v>
      </c>
      <c r="Y30">
        <v>1.2000000000000001E-3</v>
      </c>
      <c r="AA30" t="b">
        <f t="shared" si="5"/>
        <v>1</v>
      </c>
      <c r="AB30" t="b">
        <f t="shared" si="6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5"/>
        <v>1</v>
      </c>
      <c r="AB31" t="b">
        <f t="shared" si="6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10000000</v>
      </c>
      <c r="G32" cm="1">
        <f t="array" ref="G32">_xll.ExLibris.Json.GetJsonValue($F$1,E32, EXLIBRIS_CONFIGURATION)</f>
        <v>10000000</v>
      </c>
      <c r="I32" t="str" cm="1">
        <f t="array" ref="I32">_xll.ExLibris.Json.GetJsonValue(F1,E6,EXLIBRIS_CONFIGURATION)</f>
        <v>JsonObject:C7674CFE-16DA-42D9-BA9F-398D3AF7EB71</v>
      </c>
      <c r="P32" t="s">
        <v>42</v>
      </c>
      <c r="Q32">
        <v>10000000</v>
      </c>
      <c r="R32">
        <v>10000000</v>
      </c>
      <c r="AA32" t="b">
        <f t="shared" si="5"/>
        <v>1</v>
      </c>
      <c r="AB32" t="b">
        <f t="shared" si="6"/>
        <v>1</v>
      </c>
      <c r="AC32" t="b">
        <f t="shared" si="6"/>
        <v>1</v>
      </c>
    </row>
    <row r="33" spans="5:36" x14ac:dyDescent="0.4">
      <c r="E33" t="str">
        <v>fixed_leg.cashflows.[1].fixed_rate</v>
      </c>
      <c r="F33">
        <v>1.1000000000000001E-3</v>
      </c>
      <c r="G33" cm="1">
        <f t="array" ref="G33">_xll.ExLibris.Json.GetJsonValue($F$1,E33, EXLIBRIS_CONFIGURATION)</f>
        <v>1.1000000000000001E-3</v>
      </c>
      <c r="I33" t="str" cm="1">
        <f t="array" ref="I33">_xll.ExLibris.Json.SeachJsonArrayElements(I32,I8,I11,EXLIBRIS_CONFIGURATION)</f>
        <v>JsonObject:8F43C008-3D18-4CF6-B1E0-2EF11E8B44B4</v>
      </c>
      <c r="P33" t="s">
        <v>43</v>
      </c>
      <c r="Q33">
        <v>1.1000000000000001E-3</v>
      </c>
      <c r="R33">
        <v>1.1000000000000001E-3</v>
      </c>
      <c r="AA33" t="b">
        <f t="shared" si="5"/>
        <v>1</v>
      </c>
      <c r="AB33" t="b">
        <f t="shared" si="6"/>
        <v>1</v>
      </c>
      <c r="AC33" t="b">
        <f t="shared" si="6"/>
        <v>1</v>
      </c>
    </row>
    <row r="34" spans="5:36" x14ac:dyDescent="0.4">
      <c r="E34" t="str">
        <v>fixed_leg.cashflows.[2].payment _date</v>
      </c>
      <c r="F34" t="str">
        <v>2023-03-07</v>
      </c>
      <c r="G34" t="str" cm="1">
        <f t="array" ref="G34">_xll.ExLibris.Json.GetJsonValue($F$1,E34, EXLIBRIS_CONFIGURATION)</f>
        <v>2023-03-07</v>
      </c>
      <c r="I34" t="str" cm="1">
        <f t="array" ref="I34:N36">_xll.ExLibris.Json.GetJsonTable(I33, EXLIBRIS_CONFIGURATION)</f>
        <v>payment _date</v>
      </c>
      <c r="J34" t="str">
        <v>start_date</v>
      </c>
      <c r="K34" t="str">
        <v>end_date</v>
      </c>
      <c r="L34" t="str">
        <v>day_count_type</v>
      </c>
      <c r="M34" t="str">
        <v>amout</v>
      </c>
      <c r="N34" t="str">
        <v>fixed_rate</v>
      </c>
      <c r="P34" t="s">
        <v>44</v>
      </c>
      <c r="Q34" t="s">
        <v>96</v>
      </c>
      <c r="R34" t="s">
        <v>96</v>
      </c>
      <c r="T34" t="s">
        <v>0</v>
      </c>
      <c r="U34" t="s">
        <v>2</v>
      </c>
      <c r="V34" t="s">
        <v>4</v>
      </c>
      <c r="W34" t="s">
        <v>6</v>
      </c>
      <c r="X34" t="s">
        <v>10</v>
      </c>
      <c r="Y34" t="s">
        <v>12</v>
      </c>
      <c r="AA34" t="b">
        <f t="shared" si="5"/>
        <v>1</v>
      </c>
      <c r="AB34" t="b">
        <f t="shared" si="6"/>
        <v>1</v>
      </c>
      <c r="AC34" t="b">
        <f t="shared" si="6"/>
        <v>1</v>
      </c>
      <c r="AE34" t="b">
        <f t="shared" ref="AE34:AE36" si="9">I34=T34</f>
        <v>1</v>
      </c>
      <c r="AF34" t="b">
        <f t="shared" ref="AF34:AF36" si="10">J34=U34</f>
        <v>1</v>
      </c>
      <c r="AG34" t="b">
        <f t="shared" ref="AG34:AG36" si="11">K34=V34</f>
        <v>1</v>
      </c>
      <c r="AH34" t="b">
        <f t="shared" ref="AH34:AH36" si="12">L34=W34</f>
        <v>1</v>
      </c>
      <c r="AI34" t="b">
        <f t="shared" ref="AI34:AI36" si="13">M34=X34</f>
        <v>1</v>
      </c>
      <c r="AJ34" t="b">
        <f t="shared" ref="AJ34:AJ36" si="14">N34=Y34</f>
        <v>1</v>
      </c>
    </row>
    <row r="35" spans="5:36" x14ac:dyDescent="0.4">
      <c r="E35" t="str">
        <v>fixed_leg.cashflows.[2].start_date</v>
      </c>
      <c r="F35" t="str">
        <v>2022-09-08</v>
      </c>
      <c r="G35" t="str" cm="1">
        <f t="array" ref="G35">_xll.ExLibris.Json.GetJsonValue($F$1,E35, EXLIBRIS_CONFIGURATION)</f>
        <v>2022-09-08</v>
      </c>
      <c r="I35" t="str">
        <v>2023-03-07</v>
      </c>
      <c r="J35" t="str">
        <v>2022-09-08</v>
      </c>
      <c r="K35" t="str">
        <v>2023-03-07</v>
      </c>
      <c r="L35" t="str">
        <v>ACT/360</v>
      </c>
      <c r="M35">
        <v>11000000</v>
      </c>
      <c r="N35">
        <v>1.2000000000000001E-3</v>
      </c>
      <c r="P35" t="s">
        <v>45</v>
      </c>
      <c r="Q35" t="s">
        <v>95</v>
      </c>
      <c r="R35" t="s">
        <v>95</v>
      </c>
      <c r="T35" t="s">
        <v>96</v>
      </c>
      <c r="U35" t="s">
        <v>95</v>
      </c>
      <c r="V35" t="s">
        <v>96</v>
      </c>
      <c r="W35" t="s">
        <v>8</v>
      </c>
      <c r="X35">
        <v>11000000</v>
      </c>
      <c r="Y35">
        <v>1.2000000000000001E-3</v>
      </c>
      <c r="AA35" t="b">
        <f t="shared" si="5"/>
        <v>1</v>
      </c>
      <c r="AB35" t="b">
        <f t="shared" si="6"/>
        <v>1</v>
      </c>
      <c r="AC35" t="b">
        <f t="shared" si="6"/>
        <v>1</v>
      </c>
      <c r="AE35" t="b">
        <f t="shared" si="9"/>
        <v>1</v>
      </c>
      <c r="AF35" t="b">
        <f t="shared" si="10"/>
        <v>1</v>
      </c>
      <c r="AG35" t="b">
        <f t="shared" si="11"/>
        <v>1</v>
      </c>
      <c r="AH35" t="b">
        <f t="shared" si="12"/>
        <v>1</v>
      </c>
      <c r="AI35" t="b">
        <f t="shared" si="13"/>
        <v>1</v>
      </c>
      <c r="AJ35" t="b">
        <f t="shared" si="14"/>
        <v>1</v>
      </c>
    </row>
    <row r="36" spans="5:36" x14ac:dyDescent="0.4">
      <c r="E36" t="str">
        <v>fixed_leg.cashflows.[2].end_date</v>
      </c>
      <c r="F36" t="str">
        <v>2023-03-07</v>
      </c>
      <c r="G36" t="str" cm="1">
        <f t="array" ref="G36">_xll.ExLibris.Json.GetJsonValue($F$1,E36, EXLIBRIS_CONFIGURATION)</f>
        <v>2023-03-07</v>
      </c>
      <c r="I36" t="str">
        <v>2023-09-03</v>
      </c>
      <c r="J36" t="str">
        <v>2023-03-07</v>
      </c>
      <c r="K36" t="str">
        <v>2023-09-03</v>
      </c>
      <c r="L36" t="str">
        <v>ACT/360</v>
      </c>
      <c r="M36">
        <v>11000000</v>
      </c>
      <c r="N36">
        <v>1.3000000000000002E-3</v>
      </c>
      <c r="P36" t="s">
        <v>46</v>
      </c>
      <c r="Q36" t="s">
        <v>96</v>
      </c>
      <c r="R36" t="s">
        <v>96</v>
      </c>
      <c r="T36" t="s">
        <v>97</v>
      </c>
      <c r="U36" t="s">
        <v>96</v>
      </c>
      <c r="V36" t="s">
        <v>97</v>
      </c>
      <c r="W36" t="s">
        <v>8</v>
      </c>
      <c r="X36">
        <v>11000000</v>
      </c>
      <c r="Y36">
        <v>1.3000000000000002E-3</v>
      </c>
      <c r="AA36" t="b">
        <f t="shared" si="5"/>
        <v>1</v>
      </c>
      <c r="AB36" t="b">
        <f t="shared" si="6"/>
        <v>1</v>
      </c>
      <c r="AC36" t="b">
        <f t="shared" si="6"/>
        <v>1</v>
      </c>
      <c r="AE36" t="b">
        <f t="shared" si="9"/>
        <v>1</v>
      </c>
      <c r="AF36" t="b">
        <f t="shared" si="10"/>
        <v>1</v>
      </c>
      <c r="AG36" t="b">
        <f t="shared" si="11"/>
        <v>1</v>
      </c>
      <c r="AH36" t="b">
        <f t="shared" si="12"/>
        <v>1</v>
      </c>
      <c r="AI36" t="b">
        <f t="shared" si="13"/>
        <v>1</v>
      </c>
      <c r="AJ36" t="b">
        <f t="shared" si="14"/>
        <v>1</v>
      </c>
    </row>
    <row r="37" spans="5:36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5"/>
        <v>1</v>
      </c>
      <c r="AB37" t="b">
        <f t="shared" si="6"/>
        <v>1</v>
      </c>
      <c r="AC37" t="b">
        <f t="shared" si="6"/>
        <v>1</v>
      </c>
    </row>
    <row r="38" spans="5:36" x14ac:dyDescent="0.4">
      <c r="E38" t="str">
        <v>fixed_leg.cashflows.[2].amout</v>
      </c>
      <c r="F38">
        <v>11000000</v>
      </c>
      <c r="G38" cm="1">
        <f t="array" ref="G38">_xll.ExLibris.Json.GetJsonValue($F$1,E38, EXLIBRIS_CONFIGURATION)</f>
        <v>11000000</v>
      </c>
      <c r="I38" t="str" cm="1">
        <f t="array" ref="I38">_xll.ExLibris.Json.SeachJsonArrayElements(I32,J8,J11,EXLIBRIS_CONFIGURATION)</f>
        <v>JsonObject:C6759E3E-1F4D-43E2-9801-872A857BD474</v>
      </c>
      <c r="P38" t="s">
        <v>48</v>
      </c>
      <c r="Q38">
        <v>11000000</v>
      </c>
      <c r="R38">
        <v>11000000</v>
      </c>
      <c r="AA38" t="b">
        <f t="shared" si="5"/>
        <v>1</v>
      </c>
      <c r="AB38" t="b">
        <f t="shared" si="6"/>
        <v>1</v>
      </c>
      <c r="AC38" t="b">
        <f t="shared" si="6"/>
        <v>1</v>
      </c>
    </row>
    <row r="39" spans="5:36" x14ac:dyDescent="0.4">
      <c r="E39" t="str">
        <v>fixed_leg.cashflows.[2].fixed_rate</v>
      </c>
      <c r="F39">
        <v>1.2000000000000001E-3</v>
      </c>
      <c r="G39" cm="1">
        <f t="array" ref="G39">_xll.ExLibris.Json.GetJsonValue($F$1,E39, EXLIBRIS_CONFIGURATION)</f>
        <v>1.2000000000000001E-3</v>
      </c>
      <c r="I39" t="str" cm="1">
        <f t="array" ref="I39:N40">_xll.ExLibris.Json.GetJsonTable(I38, EXLIBRIS_CONFIGURATION)</f>
        <v>payment _date</v>
      </c>
      <c r="J39" t="str">
        <v>start_date</v>
      </c>
      <c r="K39" t="str">
        <v>end_date</v>
      </c>
      <c r="L39" t="str">
        <v>day_count_type</v>
      </c>
      <c r="M39" t="str">
        <v>amout</v>
      </c>
      <c r="N39" t="str">
        <v>fixed_rate</v>
      </c>
      <c r="P39" t="s">
        <v>49</v>
      </c>
      <c r="Q39">
        <v>1.2000000000000001E-3</v>
      </c>
      <c r="R39">
        <v>1.2000000000000001E-3</v>
      </c>
      <c r="T39" t="s">
        <v>0</v>
      </c>
      <c r="U39" t="s">
        <v>2</v>
      </c>
      <c r="V39" t="s">
        <v>4</v>
      </c>
      <c r="W39" t="s">
        <v>6</v>
      </c>
      <c r="X39" t="s">
        <v>10</v>
      </c>
      <c r="Y39" t="s">
        <v>12</v>
      </c>
      <c r="AA39" t="b">
        <f t="shared" si="5"/>
        <v>1</v>
      </c>
      <c r="AB39" t="b">
        <f t="shared" si="6"/>
        <v>1</v>
      </c>
      <c r="AC39" t="b">
        <f t="shared" si="6"/>
        <v>1</v>
      </c>
      <c r="AE39" t="b">
        <f t="shared" ref="AE39:AE40" si="15">I39=T39</f>
        <v>1</v>
      </c>
      <c r="AF39" t="b">
        <f t="shared" ref="AF39:AF40" si="16">J39=U39</f>
        <v>1</v>
      </c>
      <c r="AG39" t="b">
        <f t="shared" ref="AG39:AG40" si="17">K39=V39</f>
        <v>1</v>
      </c>
      <c r="AH39" t="b">
        <f t="shared" ref="AH39:AH40" si="18">L39=W39</f>
        <v>1</v>
      </c>
      <c r="AI39" t="b">
        <f t="shared" ref="AI39:AI40" si="19">M39=X39</f>
        <v>1</v>
      </c>
      <c r="AJ39" t="b">
        <f t="shared" ref="AJ39:AJ40" si="20">N39=Y39</f>
        <v>1</v>
      </c>
    </row>
    <row r="40" spans="5:36" x14ac:dyDescent="0.4">
      <c r="E40" t="str">
        <v>fixed_leg.cashflows.[3].payment _date</v>
      </c>
      <c r="F40" t="str">
        <v>2023-09-03</v>
      </c>
      <c r="G40" t="str" cm="1">
        <f t="array" ref="G40">_xll.ExLibris.Json.GetJsonValue($F$1,E40, EXLIBRIS_CONFIGURATION)</f>
        <v>2023-09-03</v>
      </c>
      <c r="I40" t="str">
        <v>2023-03-07</v>
      </c>
      <c r="J40" t="str">
        <v>2022-09-08</v>
      </c>
      <c r="K40" t="str">
        <v>2023-03-07</v>
      </c>
      <c r="L40" t="str">
        <v>ACT/360</v>
      </c>
      <c r="M40">
        <v>11000000</v>
      </c>
      <c r="N40">
        <v>1.2000000000000001E-3</v>
      </c>
      <c r="P40" t="s">
        <v>50</v>
      </c>
      <c r="Q40" t="s">
        <v>97</v>
      </c>
      <c r="R40" t="s">
        <v>97</v>
      </c>
      <c r="T40" t="s">
        <v>96</v>
      </c>
      <c r="U40" t="s">
        <v>95</v>
      </c>
      <c r="V40" t="s">
        <v>96</v>
      </c>
      <c r="W40" t="s">
        <v>8</v>
      </c>
      <c r="X40">
        <v>11000000</v>
      </c>
      <c r="Y40">
        <v>1.2000000000000001E-3</v>
      </c>
      <c r="AA40" t="b">
        <f t="shared" si="5"/>
        <v>1</v>
      </c>
      <c r="AB40" t="b">
        <f t="shared" si="6"/>
        <v>1</v>
      </c>
      <c r="AC40" t="b">
        <f t="shared" si="6"/>
        <v>1</v>
      </c>
      <c r="AE40" t="b">
        <f t="shared" si="15"/>
        <v>1</v>
      </c>
      <c r="AF40" t="b">
        <f t="shared" si="16"/>
        <v>1</v>
      </c>
      <c r="AG40" t="b">
        <f t="shared" si="17"/>
        <v>1</v>
      </c>
      <c r="AH40" t="b">
        <f t="shared" si="18"/>
        <v>1</v>
      </c>
      <c r="AI40" t="b">
        <f t="shared" si="19"/>
        <v>1</v>
      </c>
      <c r="AJ40" t="b">
        <f t="shared" si="20"/>
        <v>1</v>
      </c>
    </row>
    <row r="41" spans="5:36" x14ac:dyDescent="0.4">
      <c r="E41" t="str">
        <v>fixed_leg.cashflows.[3].start_date</v>
      </c>
      <c r="F41" t="str">
        <v>2023-03-07</v>
      </c>
      <c r="G41" t="str" cm="1">
        <f t="array" ref="G41">_xll.ExLibris.Json.GetJsonValue($F$1,E41,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5"/>
        <v>1</v>
      </c>
      <c r="AB41" t="b">
        <f t="shared" si="6"/>
        <v>1</v>
      </c>
      <c r="AC41" t="b">
        <f t="shared" si="6"/>
        <v>1</v>
      </c>
    </row>
    <row r="42" spans="5:36" x14ac:dyDescent="0.4">
      <c r="E42" t="str">
        <v>fixed_leg.cashflows.[3].end_date</v>
      </c>
      <c r="F42" t="str">
        <v>2023-09-03</v>
      </c>
      <c r="G42" t="str" cm="1">
        <f t="array" ref="G42">_xll.ExLibris.Json.GetJsonValue($F$1,E42, EXLIBRIS_CONFIGURATION)</f>
        <v>2023-09-03</v>
      </c>
      <c r="I42" t="str" cm="1">
        <f t="array" ref="I42">_xll.ExLibris.Json.SeachJsonArrayElements(I32,J8,,EXLIBRIS_CONFIGURATION)</f>
        <v>JsonObject:08D4041B-D8A8-4B8F-B313-2C1C0280DC8E</v>
      </c>
      <c r="P42" t="s">
        <v>52</v>
      </c>
      <c r="Q42" t="s">
        <v>97</v>
      </c>
      <c r="R42" t="s">
        <v>97</v>
      </c>
      <c r="AA42" t="b">
        <f t="shared" si="5"/>
        <v>1</v>
      </c>
      <c r="AB42" t="b">
        <f t="shared" si="6"/>
        <v>1</v>
      </c>
      <c r="AC42" t="b">
        <f t="shared" si="6"/>
        <v>1</v>
      </c>
    </row>
    <row r="43" spans="5:36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_xll.ExLibris.Json.GetJsonValue($F$1,E43, EXLIBRIS_CONFIGURATION)</f>
        <v>ACT/360</v>
      </c>
      <c r="I43" t="str" cm="1">
        <f t="array" ref="I43">_xll.ExLibris.Json.GetJsonTable(I42, EXLIBRIS_CONFIGURATION)</f>
        <v/>
      </c>
      <c r="P43" t="s">
        <v>53</v>
      </c>
      <c r="Q43" t="s">
        <v>8</v>
      </c>
      <c r="R43" t="s">
        <v>8</v>
      </c>
      <c r="T43" t="s">
        <v>116</v>
      </c>
      <c r="AA43" t="b">
        <f t="shared" si="5"/>
        <v>1</v>
      </c>
      <c r="AB43" t="b">
        <f t="shared" si="6"/>
        <v>1</v>
      </c>
      <c r="AC43" t="b">
        <f t="shared" si="6"/>
        <v>1</v>
      </c>
      <c r="AE43" t="b">
        <f t="shared" ref="AE43" si="21">I43=T43</f>
        <v>1</v>
      </c>
    </row>
    <row r="44" spans="5:36" x14ac:dyDescent="0.4">
      <c r="E44" t="str">
        <v>fixed_leg.cashflows.[3].amout</v>
      </c>
      <c r="F44">
        <v>11000000</v>
      </c>
      <c r="G44" cm="1">
        <f t="array" ref="G44">_xll.ExLibris.Json.GetJsonValue($F$1,E44, EXLIBRIS_CONFIGURATION)</f>
        <v>11000000</v>
      </c>
      <c r="P44" t="s">
        <v>54</v>
      </c>
      <c r="Q44">
        <v>11000000</v>
      </c>
      <c r="R44">
        <v>11000000</v>
      </c>
      <c r="AA44" t="b">
        <f t="shared" si="5"/>
        <v>1</v>
      </c>
      <c r="AB44" t="b">
        <f t="shared" si="6"/>
        <v>1</v>
      </c>
      <c r="AC44" t="b">
        <f t="shared" si="6"/>
        <v>1</v>
      </c>
    </row>
    <row r="45" spans="5:36" x14ac:dyDescent="0.4">
      <c r="E45" t="str">
        <v>fixed_leg.cashflows.[3].fixed_rate</v>
      </c>
      <c r="F45">
        <v>1.3000000000000002E-3</v>
      </c>
      <c r="G45" cm="1">
        <f t="array" ref="G45">_xll.ExLibris.Json.GetJsonValue($F$1,E45, EXLIBRIS_CONFIGURATION)</f>
        <v>1.3000000000000002E-3</v>
      </c>
      <c r="P45" t="s">
        <v>55</v>
      </c>
      <c r="Q45">
        <v>1.3000000000000002E-3</v>
      </c>
      <c r="R45">
        <v>1.3000000000000002E-3</v>
      </c>
      <c r="AA45" t="b">
        <f t="shared" si="5"/>
        <v>1</v>
      </c>
      <c r="AB45" t="b">
        <f t="shared" si="6"/>
        <v>1</v>
      </c>
      <c r="AC45" t="b">
        <f t="shared" si="6"/>
        <v>1</v>
      </c>
    </row>
    <row r="46" spans="5:36" x14ac:dyDescent="0.4">
      <c r="E46" t="str">
        <v>fixed_leg.cashflows.[4].payment _date</v>
      </c>
      <c r="F46" t="str">
        <v>2024-03-01</v>
      </c>
      <c r="G46" t="str" cm="1">
        <f t="array" ref="G46">_xll.ExLibris.Json.GetJsonValue($F$1,E46,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5"/>
        <v>1</v>
      </c>
      <c r="AB46" t="b">
        <f t="shared" si="6"/>
        <v>1</v>
      </c>
      <c r="AC46" t="b">
        <f t="shared" si="6"/>
        <v>1</v>
      </c>
    </row>
    <row r="47" spans="5:36" x14ac:dyDescent="0.4">
      <c r="E47" t="str">
        <v>fixed_leg.cashflows.[4].start_date</v>
      </c>
      <c r="F47" t="str">
        <v>2023-09-03</v>
      </c>
      <c r="G47" t="str" cm="1">
        <f t="array" ref="G47">_xll.ExLibris.Json.GetJsonValue($F$1,E47,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5"/>
        <v>1</v>
      </c>
      <c r="AB47" t="b">
        <f t="shared" si="6"/>
        <v>1</v>
      </c>
      <c r="AC47" t="b">
        <f t="shared" si="6"/>
        <v>1</v>
      </c>
    </row>
    <row r="48" spans="5:36" x14ac:dyDescent="0.4">
      <c r="E48" t="str">
        <v>fixed_leg.cashflows.[4].end_date</v>
      </c>
      <c r="F48" t="str">
        <v>2024-03-01</v>
      </c>
      <c r="G48" t="str" cm="1">
        <f t="array" ref="G48">_xll.ExLibris.Json.GetJsonValue($F$1,E48,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5"/>
        <v>1</v>
      </c>
      <c r="AB48" t="b">
        <f t="shared" si="6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5"/>
        <v>1</v>
      </c>
      <c r="AB49" t="b">
        <f t="shared" si="6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12000000</v>
      </c>
      <c r="G50" cm="1">
        <f t="array" ref="G50">_xll.ExLibris.Json.GetJsonValue($F$1,E50, EXLIBRIS_CONFIGURATION)</f>
        <v>12000000</v>
      </c>
      <c r="P50" t="s">
        <v>60</v>
      </c>
      <c r="Q50">
        <v>12000000</v>
      </c>
      <c r="R50">
        <v>12000000</v>
      </c>
      <c r="AA50" t="b">
        <f t="shared" si="5"/>
        <v>1</v>
      </c>
      <c r="AB50" t="b">
        <f t="shared" si="6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1.4000000000000002E-3</v>
      </c>
      <c r="G51" cm="1">
        <f t="array" ref="G51">_xll.ExLibris.Json.GetJsonValue($F$1,E51, EXLIBRIS_CONFIGURATION)</f>
        <v>1.4000000000000002E-3</v>
      </c>
      <c r="P51" t="s">
        <v>61</v>
      </c>
      <c r="Q51">
        <v>1.4000000000000002E-3</v>
      </c>
      <c r="R51">
        <v>1.4000000000000002E-3</v>
      </c>
      <c r="AA51" t="b">
        <f t="shared" si="5"/>
        <v>1</v>
      </c>
      <c r="AB51" t="b">
        <f t="shared" si="6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5"/>
        <v>1</v>
      </c>
      <c r="AB52" t="b">
        <f t="shared" si="6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5"/>
        <v>1</v>
      </c>
      <c r="AB53" t="b">
        <f t="shared" si="6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5"/>
        <v>1</v>
      </c>
      <c r="AB54" t="b">
        <f t="shared" si="6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5"/>
        <v>1</v>
      </c>
      <c r="AB55" t="b">
        <f t="shared" si="6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12000000</v>
      </c>
      <c r="G56" cm="1">
        <f t="array" ref="G56">_xll.ExLibris.Json.GetJsonValue($F$1,E56, EXLIBRIS_CONFIGURATION)</f>
        <v>12000000</v>
      </c>
      <c r="P56" t="s">
        <v>66</v>
      </c>
      <c r="Q56">
        <v>12000000</v>
      </c>
      <c r="R56">
        <v>12000000</v>
      </c>
      <c r="AA56" t="b">
        <f t="shared" si="5"/>
        <v>1</v>
      </c>
      <c r="AB56" t="b">
        <f t="shared" si="6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1.5000000000000002E-3</v>
      </c>
      <c r="G57" cm="1">
        <f t="array" ref="G57">_xll.ExLibris.Json.GetJsonValue($F$1,E57, EXLIBRIS_CONFIGURATION)</f>
        <v>1.5000000000000002E-3</v>
      </c>
      <c r="P57" t="s">
        <v>67</v>
      </c>
      <c r="Q57">
        <v>1.5000000000000002E-3</v>
      </c>
      <c r="R57">
        <v>1.5000000000000002E-3</v>
      </c>
      <c r="AA57" t="b">
        <f t="shared" si="5"/>
        <v>1</v>
      </c>
      <c r="AB57" t="b">
        <f t="shared" si="6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H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8" x14ac:dyDescent="0.4">
      <c r="B2" t="s">
        <v>84</v>
      </c>
      <c r="C2" t="str" cm="1">
        <f t="array" ref="C2">_xll.ExLibris.LoadConfiguration(B6:C15)</f>
        <v>ExLibris.Core.ExLibrisConfiguration:51D38C1F-4D61-44B6-9A50-21366B1926F1</v>
      </c>
    </row>
    <row r="4" spans="2:8" s="4" customFormat="1" ht="18" x14ac:dyDescent="0.4">
      <c r="B4" s="4" t="s">
        <v>86</v>
      </c>
      <c r="E4" s="4" t="s">
        <v>85</v>
      </c>
    </row>
    <row r="6" spans="2:8" x14ac:dyDescent="0.4">
      <c r="B6" t="s">
        <v>76</v>
      </c>
      <c r="C6" t="s">
        <v>77</v>
      </c>
      <c r="E6" t="str" cm="1">
        <f t="array" ref="E6:F15">_xll.ExLibris.DumpObject(EXLIBRIS_CONFIGURATION)</f>
        <v>excel_value.excel_error_to</v>
      </c>
      <c r="F6" t="str">
        <v>Error</v>
      </c>
      <c r="H6" t="str" cm="1">
        <f t="array" ref="H6:H10">_xll.ExLibris.ObserveRegisteredObjects()</f>
        <v>ExLibris.Core.WebAPIs.WebAPI:FB6F406F-2471-40A5-9317-F2187D26C98F</v>
      </c>
    </row>
    <row r="7" spans="2:8" x14ac:dyDescent="0.4">
      <c r="B7" t="s">
        <v>78</v>
      </c>
      <c r="C7" t="s">
        <v>79</v>
      </c>
      <c r="E7" t="str">
        <v>excel_value.excel_missing_to</v>
      </c>
      <c r="F7" t="str">
        <v>Null</v>
      </c>
      <c r="H7" t="str">
        <v>ExLibris.Core.WebAPIs.WebAPI:0DE5FCF9-B5FF-4F5F-9894-624DB09EEEDE</v>
      </c>
    </row>
    <row r="8" spans="2:8" x14ac:dyDescent="0.4">
      <c r="B8" t="s">
        <v>80</v>
      </c>
      <c r="C8" t="s">
        <v>79</v>
      </c>
      <c r="E8" t="str">
        <v>excel_value.excel_empty_to</v>
      </c>
      <c r="F8" t="str">
        <v>Null</v>
      </c>
      <c r="H8" t="str">
        <v>ExLibris.Core.ExLibrisConfiguration:51D38C1F-4D61-44B6-9A50-21366B1926F1</v>
      </c>
    </row>
    <row r="9" spans="2:8" x14ac:dyDescent="0.4">
      <c r="B9" t="s">
        <v>81</v>
      </c>
      <c r="C9" t="s">
        <v>79</v>
      </c>
      <c r="E9" t="str">
        <v>excel_value.excel_string_empty_to</v>
      </c>
      <c r="F9" t="str">
        <v>Null</v>
      </c>
      <c r="H9" t="str">
        <v>ExLibris.Core.WebSockets.WebsocketClient:251F7677-764C-4757-8DCE-43533D243A71</v>
      </c>
    </row>
    <row r="10" spans="2:8" x14ac:dyDescent="0.4">
      <c r="B10" t="s">
        <v>82</v>
      </c>
      <c r="C10" t="s">
        <v>87</v>
      </c>
      <c r="E10" t="str">
        <v>excel_value.null_to_excel</v>
      </c>
      <c r="F10" t="str">
        <v>StringEmpty</v>
      </c>
      <c r="H10" t="str">
        <v>ExLibris.Core.WebAPIs.WebAPI:5EE84C3A-52FC-4099-BF0D-C7A3A3A2A7AF</v>
      </c>
    </row>
    <row r="11" spans="2:8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</row>
    <row r="12" spans="2:8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</row>
    <row r="13" spans="2:8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</row>
    <row r="14" spans="2:8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</row>
    <row r="15" spans="2:8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E28"/>
  <sheetViews>
    <sheetView workbookViewId="0"/>
  </sheetViews>
  <sheetFormatPr defaultRowHeight="18.75" x14ac:dyDescent="0.4"/>
  <cols>
    <col min="1" max="1" width="2.25" customWidth="1"/>
    <col min="3" max="3" width="2.25" customWidth="1"/>
    <col min="4" max="4" width="10.625" bestFit="1" customWidth="1"/>
    <col min="5" max="5" width="9.375" bestFit="1" customWidth="1"/>
  </cols>
  <sheetData>
    <row r="2" spans="2:5" s="4" customFormat="1" ht="18" x14ac:dyDescent="0.4">
      <c r="B2" s="4" t="s">
        <v>100</v>
      </c>
    </row>
    <row r="4" spans="2:5" x14ac:dyDescent="0.4">
      <c r="D4" t="s">
        <v>110</v>
      </c>
      <c r="E4" t="str" cm="1">
        <f t="array" ref="E4">_xll.ExLibris.WebSockets.OpenWebSocket("ws://localhost:10101",,D4)</f>
        <v>ExLibris.Core.WebSockets.WebsocketClient:251F7677-764C-4757-8DCE-43533D243A71</v>
      </c>
    </row>
    <row r="6" spans="2:5" x14ac:dyDescent="0.4">
      <c r="D6" t="s">
        <v>101</v>
      </c>
      <c r="E6" t="e" cm="1">
        <f t="array" ref="E6">_xll.ExLibris.WebSockets.ObserveWebSocketStatus(E4,1000)</f>
        <v>#N/A</v>
      </c>
    </row>
    <row r="7" spans="2:5" x14ac:dyDescent="0.4">
      <c r="D7" t="s">
        <v>102</v>
      </c>
      <c r="E7" t="e" cm="1">
        <f t="array" ref="E7">_xll.ExLibris.WebSockets.ObserveWebSocketMessage(E4)</f>
        <v>#N/A</v>
      </c>
    </row>
    <row r="9" spans="2:5" x14ac:dyDescent="0.4">
      <c r="D9" t="s">
        <v>103</v>
      </c>
      <c r="E9" t="e" cm="1">
        <f t="array" ref="E9">_xll.ExLibris.WebSockets.SendWebSocketMessage(E4,"test "&amp;D9,E6="Open")</f>
        <v>#N/A</v>
      </c>
    </row>
    <row r="10" spans="2:5" x14ac:dyDescent="0.4">
      <c r="D10" t="s">
        <v>104</v>
      </c>
      <c r="E10" t="e" cm="1">
        <f t="array" ref="E10">_xll.ExLibris.WebSockets.SendWebSocketMessage($E$4,"test next "&amp;D10,E9)</f>
        <v>#N/A</v>
      </c>
    </row>
    <row r="11" spans="2:5" x14ac:dyDescent="0.4">
      <c r="D11" t="s">
        <v>105</v>
      </c>
      <c r="E11" t="e" cm="1">
        <f t="array" ref="E11">_xll.ExLibris.WebSockets.SendWebSocketMessage($E$4,"test next "&amp;D11,E10)</f>
        <v>#N/A</v>
      </c>
    </row>
    <row r="12" spans="2:5" x14ac:dyDescent="0.4">
      <c r="D12" t="s">
        <v>106</v>
      </c>
      <c r="E12" t="e" cm="1">
        <f t="array" ref="E12">_xll.ExLibris.WebSockets.SendWebSocketMessage($E$4,"test next "&amp;D12,E11)</f>
        <v>#N/A</v>
      </c>
    </row>
    <row r="13" spans="2:5" x14ac:dyDescent="0.4">
      <c r="D13" t="s">
        <v>107</v>
      </c>
      <c r="E13" t="e" cm="1">
        <f t="array" ref="E13">_xll.ExLibris.WebSockets.SendWebSocketMessage($E$4,"test next "&amp;D13,E12)</f>
        <v>#N/A</v>
      </c>
    </row>
    <row r="14" spans="2:5" x14ac:dyDescent="0.4">
      <c r="D14" t="s">
        <v>108</v>
      </c>
      <c r="E14" t="e" cm="1">
        <f t="array" ref="E14">_xll.ExLibris.WebSockets.SendWebSocketMessage($E$4,"test next "&amp;D14,E13)</f>
        <v>#N/A</v>
      </c>
    </row>
    <row r="15" spans="2:5" x14ac:dyDescent="0.4">
      <c r="D15" t="s">
        <v>109</v>
      </c>
      <c r="E15" t="e" cm="1">
        <f t="array" ref="E15">_xll.ExLibris.WebSockets.SendWebSocketMessage($E$4,"test next "&amp;D15,E14)</f>
        <v>#N/A</v>
      </c>
    </row>
    <row r="17" spans="4:5" x14ac:dyDescent="0.4">
      <c r="D17" t="s">
        <v>112</v>
      </c>
      <c r="E17" t="str" cm="1">
        <f t="array" ref="E17">_xll.ExLibris.WebSockets.OpenWebSocket("ws://localhost:10101",,D17)</f>
        <v>ExLibris.Core.WebSockets.WebsocketClient:94C5DBB5-C2F7-4383-BBD0-89F5844CB2B7</v>
      </c>
    </row>
    <row r="19" spans="4:5" x14ac:dyDescent="0.4">
      <c r="D19" t="s">
        <v>101</v>
      </c>
      <c r="E19" t="str" cm="1">
        <f t="array" ref="E19">_xll.ExLibris.WebSockets.ObserveWebSocketStatus(E17,1000)</f>
        <v>Open</v>
      </c>
    </row>
    <row r="20" spans="4:5" x14ac:dyDescent="0.4">
      <c r="D20" t="s">
        <v>102</v>
      </c>
      <c r="E20" t="str" cm="1">
        <f t="array" ref="E20">_xll.ExLibris.WebSockets.ObserveWebSocketMessage(E17)</f>
        <v>push_event 20:09:31</v>
      </c>
    </row>
    <row r="22" spans="4:5" x14ac:dyDescent="0.4">
      <c r="D22" t="s">
        <v>103</v>
      </c>
      <c r="E22" t="str" cm="1">
        <f t="array" ref="E22">_xll.ExLibris.WebSockets.SendWebSocketMessage(E17,"test "&amp;D22,E19="Open")</f>
        <v>message sent : 2021-09-23T08:09:24.372</v>
      </c>
    </row>
    <row r="23" spans="4:5" x14ac:dyDescent="0.4">
      <c r="D23" t="s">
        <v>104</v>
      </c>
      <c r="E23" t="str" cm="1">
        <f t="array" ref="E23">_xll.ExLibris.WebSockets.SendWebSocketMessage($E$4,"test next "&amp;D23,E22)</f>
        <v>message sent : 2021-09-23T08:09:24.407</v>
      </c>
    </row>
    <row r="24" spans="4:5" x14ac:dyDescent="0.4">
      <c r="D24" t="s">
        <v>105</v>
      </c>
      <c r="E24" t="str" cm="1">
        <f t="array" ref="E24">_xll.ExLibris.WebSockets.SendWebSocketMessage($E$4,"test next "&amp;D24,E23)</f>
        <v>message sent : 2021-09-23T08:09:24.424</v>
      </c>
    </row>
    <row r="25" spans="4:5" x14ac:dyDescent="0.4">
      <c r="D25" t="s">
        <v>106</v>
      </c>
      <c r="E25" t="str" cm="1">
        <f t="array" ref="E25">_xll.ExLibris.WebSockets.SendWebSocketMessage($E$4,"test next "&amp;D25,E24)</f>
        <v>message sent : 2021-09-23T08:09:24.426</v>
      </c>
    </row>
    <row r="26" spans="4:5" x14ac:dyDescent="0.4">
      <c r="D26" t="s">
        <v>107</v>
      </c>
      <c r="E26" t="str" cm="1">
        <f t="array" ref="E26">_xll.ExLibris.WebSockets.SendWebSocketMessage($E$4,"test next "&amp;D26,E25)</f>
        <v>message sent : 2021-09-23T08:09:24.470</v>
      </c>
    </row>
    <row r="27" spans="4:5" x14ac:dyDescent="0.4">
      <c r="D27" t="s">
        <v>108</v>
      </c>
      <c r="E27" t="str" cm="1">
        <f t="array" ref="E27">_xll.ExLibris.WebSockets.SendWebSocketMessage($E$4,"test next "&amp;D27,E26)</f>
        <v>message sent : 2021-09-23T08:09:24.476</v>
      </c>
    </row>
    <row r="28" spans="4:5" x14ac:dyDescent="0.4">
      <c r="D28" t="s">
        <v>109</v>
      </c>
      <c r="E28" t="str" cm="1">
        <f t="array" ref="E28">_xll.ExLibris.WebSockets.SendWebSocketMessage($E$4,"test next "&amp;D28,E27)</f>
        <v>message sent : 2021-09-23T08:09:24.497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52036-D85E-4010-85A4-72DC442287D3}">
  <dimension ref="B2:N51"/>
  <sheetViews>
    <sheetView tabSelected="1" workbookViewId="0">
      <selection activeCell="D6" sqref="D6"/>
    </sheetView>
  </sheetViews>
  <sheetFormatPr defaultRowHeight="18.75" x14ac:dyDescent="0.4"/>
  <sheetData>
    <row r="2" spans="2:4" x14ac:dyDescent="0.4">
      <c r="B2" t="s">
        <v>120</v>
      </c>
      <c r="C2" s="7" t="s">
        <v>127</v>
      </c>
    </row>
    <row r="3" spans="2:4" x14ac:dyDescent="0.4">
      <c r="C3" t="s">
        <v>126</v>
      </c>
    </row>
    <row r="5" spans="2:4" x14ac:dyDescent="0.4">
      <c r="B5" t="s">
        <v>129</v>
      </c>
      <c r="C5" t="str" cm="1">
        <f t="array" ref="C5">_xll.ExLibris.WebAPIs.OpenWebSocket($C$2,B5)</f>
        <v>ExLibris.Core.WebAPIs.WebAPI:D0846406-D3F4-4923-A165-BDDA2FF3E8F0</v>
      </c>
    </row>
    <row r="6" spans="2:4" x14ac:dyDescent="0.4">
      <c r="B6" t="s">
        <v>125</v>
      </c>
      <c r="C6" t="s">
        <v>124</v>
      </c>
      <c r="D6" t="s">
        <v>121</v>
      </c>
    </row>
    <row r="7" spans="2:4" x14ac:dyDescent="0.4">
      <c r="C7" t="s">
        <v>122</v>
      </c>
      <c r="D7" t="str" cm="1">
        <f t="array" ref="D7">_xll.ExLibris.WebAPIs.WebAPIGet(C5,D6)</f>
        <v>ExLibris.Core.WebAPIs.Response:9F6560CA-E5EA-47C0-84B2-498B35991772</v>
      </c>
    </row>
    <row r="8" spans="2:4" x14ac:dyDescent="0.4">
      <c r="C8" t="s">
        <v>123</v>
      </c>
      <c r="D8" t="str" cm="1">
        <f t="array" ref="D8">_xll.ExLibris.WebAPIs.WebAPIRequestContent(D7)</f>
        <v xml:space="preserve">{
  "args": {}, 
  "headers": {
    "Host": "localhost"
  }, 
  "origin": "172.17.0.1", 
  "url": "http://localhost/get"
}
</v>
      </c>
    </row>
    <row r="9" spans="2:4" x14ac:dyDescent="0.4">
      <c r="C9" t="s">
        <v>101</v>
      </c>
      <c r="D9" t="str" cm="1">
        <f t="array" ref="D9">_xll.ExLibris.WebAPIs.WebAPIResponseStatus(D7)</f>
        <v xml:space="preserve">{
  "args": {}, 
  "headers": {
    "Host": "localhost"
  }, 
  "origin": "172.17.0.1", 
  "url": "http://localhost/get"
}
</v>
      </c>
    </row>
    <row r="13" spans="2:4" x14ac:dyDescent="0.4">
      <c r="B13" t="s">
        <v>128</v>
      </c>
      <c r="C13" t="str" cm="1">
        <f t="array" ref="C13">_xll.ExLibris.WebAPIs.OpenWebSocket(,B13)</f>
        <v>ExLibris.Core.WebAPIs.WebAPI:0DE5FCF9-B5FF-4F5F-9894-624DB09EEEDE</v>
      </c>
    </row>
    <row r="14" spans="2:4" x14ac:dyDescent="0.4">
      <c r="B14" t="s">
        <v>125</v>
      </c>
      <c r="C14" t="s">
        <v>124</v>
      </c>
      <c r="D14" t="str">
        <f>$C$2&amp;"get"</f>
        <v>http://localhost:80/get</v>
      </c>
    </row>
    <row r="15" spans="2:4" x14ac:dyDescent="0.4">
      <c r="C15" t="s">
        <v>122</v>
      </c>
      <c r="D15" t="str" cm="1">
        <f t="array" ref="D15">_xll.ExLibris.WebAPIs.WebAPIGet(C13,D14,,C13)</f>
        <v>ExLibris.Core.WebAPIs.Response:4EA33AD5-89F3-4B90-9D18-16A8CF807A76</v>
      </c>
    </row>
    <row r="16" spans="2:4" x14ac:dyDescent="0.4">
      <c r="C16" t="s">
        <v>123</v>
      </c>
      <c r="D16" cm="1">
        <f t="array" ref="D16">_xll.ExLibris.WebAPIs.WebAPIRequestContent(D15)</f>
        <v>200</v>
      </c>
    </row>
    <row r="17" spans="2:14" x14ac:dyDescent="0.4">
      <c r="C17" t="s">
        <v>101</v>
      </c>
      <c r="D17" cm="1">
        <f t="array" ref="D17">_xll.ExLibris.WebAPIs.WebAPIResponseStatus(D15)</f>
        <v>200</v>
      </c>
    </row>
    <row r="22" spans="2:14" x14ac:dyDescent="0.4">
      <c r="M22" t="s">
        <v>135</v>
      </c>
    </row>
    <row r="23" spans="2:14" x14ac:dyDescent="0.4">
      <c r="B23" t="s">
        <v>130</v>
      </c>
      <c r="C23" t="str" cm="1">
        <f t="array" ref="C23">_xll.ExLibris.WebAPIs.OpenWebSocket(,B23)</f>
        <v>ExLibris.Core.WebAPIs.WebAPI:FB6F406F-2471-40A5-9317-F2187D26C98F</v>
      </c>
      <c r="M23" t="s">
        <v>131</v>
      </c>
      <c r="N23" t="str">
        <f>B23</f>
        <v>WebAPI2</v>
      </c>
    </row>
    <row r="24" spans="2:14" x14ac:dyDescent="0.4">
      <c r="B24" t="s">
        <v>125</v>
      </c>
      <c r="C24" t="s">
        <v>124</v>
      </c>
      <c r="D24" t="str">
        <f>$C$2&amp;"get"</f>
        <v>http://localhost:80/get</v>
      </c>
      <c r="M24" t="s">
        <v>132</v>
      </c>
      <c r="N24">
        <v>1</v>
      </c>
    </row>
    <row r="25" spans="2:14" x14ac:dyDescent="0.4">
      <c r="C25" t="s">
        <v>122</v>
      </c>
      <c r="D25" t="str" cm="1">
        <f t="array" ref="D25">_xll.ExLibris.WebAPIs.WebAPIGet(C23,D24,M23:N25,C23)</f>
        <v>ExLibris.Core.WebAPIs.Response:BA47AF85-0793-4E73-AFA9-96A8B4F0A508</v>
      </c>
      <c r="M25" t="s">
        <v>133</v>
      </c>
      <c r="N25" t="s">
        <v>134</v>
      </c>
    </row>
    <row r="26" spans="2:14" x14ac:dyDescent="0.4">
      <c r="C26" t="s">
        <v>123</v>
      </c>
      <c r="D26" cm="1">
        <f t="array" ref="D26">_xll.ExLibris.WebAPIs.WebAPIRequestContent(D25)</f>
        <v>200</v>
      </c>
    </row>
    <row r="27" spans="2:14" x14ac:dyDescent="0.4">
      <c r="C27" t="s">
        <v>101</v>
      </c>
      <c r="D27" cm="1">
        <f t="array" ref="D27">_xll.ExLibris.WebAPIs.WebAPIResponseStatus(D25)</f>
        <v>200</v>
      </c>
    </row>
    <row r="33" spans="2:14" x14ac:dyDescent="0.4">
      <c r="M33" t="s">
        <v>135</v>
      </c>
      <c r="N33" t="str" cm="1">
        <f t="array" ref="N33">_xll.ExLibris.Json.CreateJsonObject(M34:N36)</f>
        <v>JsonObject:2CFF63B6-DA98-4148-A262-C435A8DC2778</v>
      </c>
    </row>
    <row r="34" spans="2:14" x14ac:dyDescent="0.4">
      <c r="B34" t="s">
        <v>136</v>
      </c>
      <c r="C34" t="str" cm="1">
        <f t="array" ref="C34">_xll.ExLibris.WebAPIs.OpenWebSocket(,B34)</f>
        <v>ExLibris.Core.WebAPIs.WebAPI:14975DDC-28DA-4670-AE96-B1FE61EB1A6F</v>
      </c>
      <c r="M34" t="s">
        <v>131</v>
      </c>
      <c r="N34" t="str">
        <f>B34</f>
        <v>WebAPI3</v>
      </c>
    </row>
    <row r="35" spans="2:14" x14ac:dyDescent="0.4">
      <c r="B35" t="s">
        <v>125</v>
      </c>
      <c r="C35" t="s">
        <v>124</v>
      </c>
      <c r="D35" t="str">
        <f>$C$2&amp;"get"</f>
        <v>http://localhost:80/get</v>
      </c>
      <c r="M35" t="s">
        <v>132</v>
      </c>
      <c r="N35">
        <v>1</v>
      </c>
    </row>
    <row r="36" spans="2:14" x14ac:dyDescent="0.4">
      <c r="C36" t="s">
        <v>122</v>
      </c>
      <c r="D36" t="str" cm="1">
        <f t="array" ref="D36">_xll.ExLibris.WebAPIs.WebAPIGet(C34,D35,N33,C34)</f>
        <v>ExLibris.Core.WebAPIs.Response:3B3AA630-5084-4816-821F-9D20DB0F20EF</v>
      </c>
      <c r="M36" t="s">
        <v>133</v>
      </c>
      <c r="N36" t="s">
        <v>134</v>
      </c>
    </row>
    <row r="37" spans="2:14" x14ac:dyDescent="0.4">
      <c r="C37" t="s">
        <v>123</v>
      </c>
      <c r="D37" cm="1">
        <f t="array" ref="D37">_xll.ExLibris.WebAPIs.WebAPIRequestContent(D36)</f>
        <v>200</v>
      </c>
    </row>
    <row r="38" spans="2:14" x14ac:dyDescent="0.4">
      <c r="C38" t="s">
        <v>101</v>
      </c>
      <c r="D38" cm="1">
        <f t="array" ref="D38">_xll.ExLibris.WebAPIs.WebAPIResponseStatus(D36)</f>
        <v>200</v>
      </c>
    </row>
    <row r="47" spans="2:14" x14ac:dyDescent="0.4">
      <c r="M47" t="s">
        <v>135</v>
      </c>
      <c r="N47" t="str" cm="1">
        <f t="array" ref="N47">_xll.ExLibris.Json.CreateJsonObject(M48:N50)</f>
        <v>JsonObject:026C109D-124B-44E7-8624-70CC85CB5F86</v>
      </c>
    </row>
    <row r="48" spans="2:14" x14ac:dyDescent="0.4">
      <c r="B48" t="s">
        <v>137</v>
      </c>
      <c r="C48" t="str" cm="1">
        <f t="array" ref="C48">_xll.ExLibris.WebAPIs.OpenWebSocket(D49,B48)</f>
        <v>ExLibris.Core.WebAPIs.WebAPI:5EE84C3A-52FC-4099-BF0D-C7A3A3A2A7AF</v>
      </c>
      <c r="M48" t="s">
        <v>131</v>
      </c>
      <c r="N48" t="str">
        <f>B48</f>
        <v>WebAPI4</v>
      </c>
    </row>
    <row r="49" spans="2:14" x14ac:dyDescent="0.4">
      <c r="B49" t="s">
        <v>125</v>
      </c>
      <c r="C49" t="s">
        <v>124</v>
      </c>
      <c r="D49" t="str">
        <f>$C$2&amp;"get"</f>
        <v>http://localhost:80/get</v>
      </c>
      <c r="M49" t="s">
        <v>132</v>
      </c>
      <c r="N49">
        <v>1</v>
      </c>
    </row>
    <row r="50" spans="2:14" x14ac:dyDescent="0.4">
      <c r="C50" t="s">
        <v>122</v>
      </c>
      <c r="D50" t="str" cm="1">
        <f t="array" ref="D50">_xll.ExLibris.WebAPIs.WebAPIGet(C48,,N47,C48)</f>
        <v>ExLibris.Core.WebAPIs.Response:0D192B7D-069C-44E5-A8AD-505FE634C3D3</v>
      </c>
      <c r="M50" t="s">
        <v>133</v>
      </c>
      <c r="N50" t="s">
        <v>134</v>
      </c>
    </row>
    <row r="51" spans="2:14" x14ac:dyDescent="0.4">
      <c r="C51" t="s">
        <v>123</v>
      </c>
      <c r="D51" t="str" cm="1">
        <f t="array" ref="D51">_xll.ExLibris.WebAPIs.WebAPIRequestContent(D50)</f>
        <v xml:space="preserve">{
  "args": {
    "key0": "WebAPI4", 
    "key1.int": "1", 
    "key1.string": "value1"
  }, 
  "headers": {
    "Host": "localhost"
  }, 
  "origin": "172.17.0.1", 
  "url": "http://localhost/get?key0=WebAPI4&amp;key1.int=1&amp;key1.string=value1"
}
</v>
      </c>
    </row>
  </sheetData>
  <phoneticPr fontId="1"/>
  <hyperlinks>
    <hyperlink ref="C2" r:id="rId1" xr:uid="{1F584646-A45A-426F-9C4B-AC5B12FEC0AF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1</vt:i4>
      </vt:variant>
    </vt:vector>
  </HeadingPairs>
  <TitlesOfParts>
    <vt:vector size="6" baseType="lpstr">
      <vt:lpstr>json_test</vt:lpstr>
      <vt:lpstr>json_w_conf_test</vt:lpstr>
      <vt:lpstr>configuration</vt:lpstr>
      <vt:lpstr>websocket</vt:lpstr>
      <vt:lpstr>webapi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2021-09-23T11:09:37Z</dcterms:modified>
</cp:coreProperties>
</file>