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ugen\git\ex-libris\ExLibris\test_excel\"/>
    </mc:Choice>
  </mc:AlternateContent>
  <xr:revisionPtr revIDLastSave="0" documentId="13_ncr:1_{8540610C-E56C-47BB-BC54-4ACAF371EDFC}" xr6:coauthVersionLast="47" xr6:coauthVersionMax="47" xr10:uidLastSave="{00000000-0000-0000-0000-000000000000}"/>
  <bookViews>
    <workbookView xWindow="-120" yWindow="-120" windowWidth="29040" windowHeight="15840" activeTab="4" xr2:uid="{705CD0B7-27A9-4291-85BD-6034C0FEE3E4}"/>
  </bookViews>
  <sheets>
    <sheet name="json_test" sheetId="1" r:id="rId1"/>
    <sheet name="json_w_conf_test" sheetId="4" r:id="rId2"/>
    <sheet name="configuration" sheetId="2" r:id="rId3"/>
    <sheet name="websocket" sheetId="3" r:id="rId4"/>
    <sheet name="webapi" sheetId="5" r:id="rId5"/>
  </sheets>
  <definedNames>
    <definedName name="EXLIBRIS_CONFIGURATION">configuration!$C$2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3" i="5" l="1"/>
  <c r="N54" i="5"/>
  <c r="N42" i="5"/>
  <c r="N30" i="5"/>
  <c r="D18" i="5"/>
  <c r="J11" i="4"/>
  <c r="J12" i="4" s="1"/>
  <c r="J13" i="4" s="1"/>
  <c r="J14" i="4" s="1"/>
  <c r="J10" i="4"/>
  <c r="I14" i="4"/>
  <c r="I12" i="4"/>
  <c r="I10" i="4"/>
  <c r="I11" i="4"/>
  <c r="I13" i="4" s="1"/>
  <c r="G9" i="4"/>
  <c r="E9" i="4" s="1"/>
  <c r="I10" i="1"/>
  <c r="I11" i="1" s="1"/>
  <c r="I12" i="1" s="1"/>
  <c r="I13" i="1" s="1"/>
  <c r="I14" i="1" s="1"/>
  <c r="G9" i="1"/>
  <c r="E9" i="1" s="1"/>
  <c r="D35" i="5" a="1"/>
  <c r="D30" i="5" a="1"/>
  <c r="C2" i="2" a="1"/>
  <c r="E4" i="3" a="1"/>
  <c r="N53" i="5" a="1"/>
  <c r="C41" i="5" a="1"/>
  <c r="C17" i="5" a="1"/>
  <c r="E17" i="3" a="1"/>
  <c r="N41" i="5" a="1"/>
  <c r="H6" i="2" a="1"/>
  <c r="C5" i="5" a="1"/>
  <c r="C29" i="5" a="1"/>
  <c r="D35" i="5" l="1"/>
  <c r="D30" i="5"/>
  <c r="N53" i="5"/>
  <c r="N41" i="5"/>
  <c r="C41" i="5"/>
  <c r="C29" i="5"/>
  <c r="C17" i="5"/>
  <c r="C5" i="5"/>
  <c r="H6" i="2"/>
  <c r="E17" i="3"/>
  <c r="E4" i="3"/>
  <c r="F10" i="4"/>
  <c r="G10" i="4" s="1"/>
  <c r="C2" i="2"/>
  <c r="F10" i="1"/>
  <c r="G10" i="1" s="1"/>
  <c r="F11" i="1" s="1"/>
  <c r="G11" i="1" s="1"/>
  <c r="F12" i="1" s="1"/>
  <c r="G12" i="1" s="1"/>
  <c r="E12" i="1" s="1"/>
  <c r="D47" i="5" a="1"/>
  <c r="D59" i="5" a="1"/>
  <c r="D36" i="5" a="1"/>
  <c r="D24" i="5" a="1"/>
  <c r="D12" i="5" a="1"/>
  <c r="D54" i="5" a="1"/>
  <c r="E20" i="3" a="1"/>
  <c r="D42" i="5" a="1"/>
  <c r="E6" i="2" a="1"/>
  <c r="D31" i="5" a="1"/>
  <c r="E19" i="3" a="1"/>
  <c r="D19" i="5" a="1"/>
  <c r="D7" i="5" a="1"/>
  <c r="E6" i="3" a="1"/>
  <c r="E7" i="3" a="1"/>
  <c r="D59" i="5" l="1"/>
  <c r="D47" i="5"/>
  <c r="D36" i="5"/>
  <c r="D12" i="5"/>
  <c r="D24" i="5"/>
  <c r="D7" i="5"/>
  <c r="D19" i="5"/>
  <c r="D31" i="5"/>
  <c r="D42" i="5"/>
  <c r="D54" i="5"/>
  <c r="E6" i="2"/>
  <c r="E19" i="3"/>
  <c r="E20" i="3"/>
  <c r="K1" i="1"/>
  <c r="K1" i="4"/>
  <c r="F11" i="4"/>
  <c r="G11" i="4" s="1"/>
  <c r="E10" i="4"/>
  <c r="E7" i="3"/>
  <c r="E6" i="3"/>
  <c r="F13" i="1"/>
  <c r="G13" i="1" s="1"/>
  <c r="F14" i="1" s="1"/>
  <c r="G14" i="1" s="1"/>
  <c r="E14" i="1" s="1"/>
  <c r="E10" i="1"/>
  <c r="E11" i="1"/>
  <c r="D48" i="5" a="1"/>
  <c r="D37" i="5" a="1"/>
  <c r="D38" i="5" a="1"/>
  <c r="D39" i="5" a="1"/>
  <c r="D27" i="5" a="1"/>
  <c r="D25" i="5" a="1"/>
  <c r="D26" i="5" a="1"/>
  <c r="D15" i="5" a="1"/>
  <c r="D13" i="5" a="1"/>
  <c r="D14" i="5" a="1"/>
  <c r="D43" i="5" a="1"/>
  <c r="D9" i="5" a="1"/>
  <c r="D34" i="5" a="1"/>
  <c r="E9" i="3" a="1"/>
  <c r="D8" i="5" a="1"/>
  <c r="D21" i="5" a="1"/>
  <c r="C53" i="5" a="1"/>
  <c r="D33" i="5" a="1"/>
  <c r="E22" i="3" a="1"/>
  <c r="D32" i="5" a="1"/>
  <c r="D10" i="5" a="1"/>
  <c r="D20" i="5" a="1"/>
  <c r="D22" i="5" a="1"/>
  <c r="D48" i="5" l="1"/>
  <c r="D39" i="5"/>
  <c r="D38" i="5"/>
  <c r="D37" i="5"/>
  <c r="D14" i="5"/>
  <c r="D13" i="5"/>
  <c r="D15" i="5"/>
  <c r="D26" i="5"/>
  <c r="D25" i="5"/>
  <c r="D27" i="5"/>
  <c r="C53" i="5"/>
  <c r="D43" i="5"/>
  <c r="D34" i="5"/>
  <c r="D10" i="5"/>
  <c r="D22" i="5"/>
  <c r="D9" i="5"/>
  <c r="D33" i="5"/>
  <c r="D21" i="5"/>
  <c r="D32" i="5"/>
  <c r="D20" i="5"/>
  <c r="D8" i="5"/>
  <c r="E22" i="3"/>
  <c r="E11" i="4"/>
  <c r="F12" i="4"/>
  <c r="G12" i="4" s="1"/>
  <c r="E9" i="3"/>
  <c r="E13" i="1"/>
  <c r="D51" i="5" a="1"/>
  <c r="D50" i="5" a="1"/>
  <c r="D49" i="5" a="1"/>
  <c r="D60" i="5" a="1"/>
  <c r="D55" i="5" a="1"/>
  <c r="E23" i="3" a="1"/>
  <c r="D44" i="5" a="1"/>
  <c r="D45" i="5" a="1"/>
  <c r="D46" i="5" a="1"/>
  <c r="F6" i="1" a="1"/>
  <c r="E10" i="3" a="1"/>
  <c r="D60" i="5" l="1"/>
  <c r="D49" i="5"/>
  <c r="D50" i="5"/>
  <c r="D51" i="5"/>
  <c r="D46" i="5"/>
  <c r="D45" i="5"/>
  <c r="D44" i="5"/>
  <c r="D55" i="5"/>
  <c r="F6" i="1"/>
  <c r="E23" i="3"/>
  <c r="F13" i="4"/>
  <c r="G13" i="4" s="1"/>
  <c r="E12" i="4"/>
  <c r="E10" i="3"/>
  <c r="D62" i="5" a="1"/>
  <c r="D61" i="5" a="1"/>
  <c r="D63" i="5" a="1"/>
  <c r="D58" i="5" a="1"/>
  <c r="D57" i="5" a="1"/>
  <c r="D56" i="5" a="1"/>
  <c r="E11" i="3" a="1"/>
  <c r="E24" i="3" a="1"/>
  <c r="F1" i="1" a="1"/>
  <c r="D58" i="5" l="1"/>
  <c r="D63" i="5"/>
  <c r="D61" i="5"/>
  <c r="D62" i="5"/>
  <c r="D56" i="5"/>
  <c r="D57" i="5"/>
  <c r="F1" i="1"/>
  <c r="E24" i="3"/>
  <c r="E13" i="4"/>
  <c r="F14" i="4"/>
  <c r="G14" i="4" s="1"/>
  <c r="E14" i="4" s="1"/>
  <c r="E11" i="3"/>
  <c r="P19" i="1" a="1"/>
  <c r="M6" i="1" a="1"/>
  <c r="E12" i="3" a="1"/>
  <c r="E25" i="3" a="1"/>
  <c r="F6" i="4" a="1"/>
  <c r="E19" i="1" a="1"/>
  <c r="G37" i="1" a="1"/>
  <c r="I19" i="1" a="1"/>
  <c r="G27" i="1" a="1"/>
  <c r="G29" i="1" a="1"/>
  <c r="G24" i="1" a="1"/>
  <c r="G57" i="1" a="1"/>
  <c r="G48" i="1" a="1"/>
  <c r="G53" i="1" a="1"/>
  <c r="G23" i="1" a="1"/>
  <c r="G46" i="1" a="1"/>
  <c r="G49" i="1" a="1"/>
  <c r="G51" i="1" a="1"/>
  <c r="G45" i="1" a="1"/>
  <c r="G34" i="1" a="1"/>
  <c r="G30" i="1" a="1"/>
  <c r="G36" i="1" a="1"/>
  <c r="G38" i="1" a="1"/>
  <c r="G28" i="1" a="1"/>
  <c r="G44" i="1" a="1"/>
  <c r="G32" i="1" a="1"/>
  <c r="G21" i="1" a="1"/>
  <c r="G41" i="1" a="1"/>
  <c r="G22" i="1" a="1"/>
  <c r="G35" i="1" a="1"/>
  <c r="G52" i="1" a="1"/>
  <c r="G25" i="1" a="1"/>
  <c r="G50" i="1" a="1"/>
  <c r="G47" i="1" a="1"/>
  <c r="G33" i="1" a="1"/>
  <c r="G26" i="1" a="1"/>
  <c r="G39" i="1" a="1"/>
  <c r="G40" i="1" a="1"/>
  <c r="G31" i="1" a="1"/>
  <c r="G54" i="1" a="1"/>
  <c r="G56" i="1" a="1"/>
  <c r="G43" i="1" a="1"/>
  <c r="G42" i="1" a="1"/>
  <c r="G55" i="1" a="1"/>
  <c r="G20" i="1" a="1"/>
  <c r="AS21" i="1" l="1"/>
  <c r="AR21" i="1"/>
  <c r="AS19" i="1"/>
  <c r="AS20" i="1"/>
  <c r="AR20" i="1"/>
  <c r="P19" i="1"/>
  <c r="AR19" i="1" s="1"/>
  <c r="G44" i="1"/>
  <c r="G40" i="1"/>
  <c r="G45" i="1"/>
  <c r="G42" i="1"/>
  <c r="G57" i="1"/>
  <c r="G41" i="1"/>
  <c r="G33" i="1"/>
  <c r="G24" i="1"/>
  <c r="G35" i="1"/>
  <c r="G29" i="1"/>
  <c r="G21" i="1"/>
  <c r="G32" i="1"/>
  <c r="G53" i="1"/>
  <c r="G36" i="1"/>
  <c r="G31" i="1"/>
  <c r="G55" i="1"/>
  <c r="G50" i="1"/>
  <c r="G52" i="1"/>
  <c r="G28" i="1"/>
  <c r="G48" i="1"/>
  <c r="G37" i="1"/>
  <c r="G26" i="1"/>
  <c r="G51" i="1"/>
  <c r="G56" i="1"/>
  <c r="G27" i="1"/>
  <c r="G49" i="1"/>
  <c r="G34" i="1"/>
  <c r="G20" i="1"/>
  <c r="G22" i="1"/>
  <c r="G43" i="1"/>
  <c r="G47" i="1"/>
  <c r="G25" i="1"/>
  <c r="G54" i="1"/>
  <c r="G46" i="1"/>
  <c r="G38" i="1"/>
  <c r="G39" i="1"/>
  <c r="G30" i="1"/>
  <c r="G23" i="1"/>
  <c r="E19" i="1"/>
  <c r="I19" i="1"/>
  <c r="E25" i="3"/>
  <c r="F6" i="4"/>
  <c r="E12" i="3"/>
  <c r="AG27" i="1"/>
  <c r="AH42" i="1"/>
  <c r="AH46" i="1"/>
  <c r="AI55" i="1"/>
  <c r="AH51" i="1"/>
  <c r="AH22" i="1"/>
  <c r="AH28" i="1"/>
  <c r="AG39" i="1"/>
  <c r="AG24" i="1"/>
  <c r="AH57" i="1"/>
  <c r="AH45" i="1"/>
  <c r="AI28" i="1"/>
  <c r="AH26" i="1"/>
  <c r="AG44" i="1"/>
  <c r="AI21" i="1"/>
  <c r="AH55" i="1"/>
  <c r="AG53" i="1"/>
  <c r="AG51" i="1"/>
  <c r="AG29" i="1"/>
  <c r="AG46" i="1"/>
  <c r="AH48" i="1"/>
  <c r="AI26" i="1"/>
  <c r="AI45" i="1"/>
  <c r="AG41" i="1"/>
  <c r="AH30" i="1"/>
  <c r="AH35" i="1"/>
  <c r="AG36" i="1"/>
  <c r="AG56" i="1"/>
  <c r="AI22" i="1"/>
  <c r="AG21" i="1"/>
  <c r="AH43" i="1"/>
  <c r="AH20" i="1"/>
  <c r="AG28" i="1"/>
  <c r="AI40" i="1"/>
  <c r="AG32" i="1"/>
  <c r="AI57" i="1"/>
  <c r="AI52" i="1"/>
  <c r="AG43" i="1"/>
  <c r="AI49" i="1"/>
  <c r="AI36" i="1"/>
  <c r="AI43" i="1"/>
  <c r="AH32" i="1"/>
  <c r="AH33" i="1"/>
  <c r="AH27" i="1"/>
  <c r="AG34" i="1"/>
  <c r="AG48" i="1"/>
  <c r="AI32" i="1"/>
  <c r="AI42" i="1"/>
  <c r="AG50" i="1"/>
  <c r="AI41" i="1"/>
  <c r="AI20" i="1"/>
  <c r="AI30" i="1"/>
  <c r="AI19" i="1"/>
  <c r="AH34" i="1"/>
  <c r="AH53" i="1"/>
  <c r="AG23" i="1"/>
  <c r="AG55" i="1"/>
  <c r="AI37" i="1"/>
  <c r="AH23" i="1"/>
  <c r="AG54" i="1"/>
  <c r="AG42" i="1"/>
  <c r="AI48" i="1"/>
  <c r="AG45" i="1"/>
  <c r="AH31" i="1"/>
  <c r="AI46" i="1"/>
  <c r="AH50" i="1"/>
  <c r="AI47" i="1"/>
  <c r="AG37" i="1"/>
  <c r="AH47" i="1"/>
  <c r="AG49" i="1"/>
  <c r="AH41" i="1"/>
  <c r="AG25" i="1"/>
  <c r="AI51" i="1"/>
  <c r="AH52" i="1"/>
  <c r="AH25" i="1"/>
  <c r="AH56" i="1"/>
  <c r="AG26" i="1"/>
  <c r="AH37" i="1"/>
  <c r="AI29" i="1"/>
  <c r="AI38" i="1"/>
  <c r="AG35" i="1"/>
  <c r="AG57" i="1"/>
  <c r="AH38" i="1"/>
  <c r="AI34" i="1"/>
  <c r="AH54" i="1"/>
  <c r="AH21" i="1"/>
  <c r="AI44" i="1"/>
  <c r="AI31" i="1"/>
  <c r="AI39" i="1"/>
  <c r="AI54" i="1"/>
  <c r="AH29" i="1"/>
  <c r="AH39" i="1"/>
  <c r="AI27" i="1"/>
  <c r="AG40" i="1"/>
  <c r="AH40" i="1"/>
  <c r="AG33" i="1"/>
  <c r="AI35" i="1"/>
  <c r="AI33" i="1"/>
  <c r="AG30" i="1"/>
  <c r="AH36" i="1"/>
  <c r="AH49" i="1"/>
  <c r="AG47" i="1"/>
  <c r="AI53" i="1"/>
  <c r="AI23" i="1"/>
  <c r="AG31" i="1"/>
  <c r="AI56" i="1"/>
  <c r="AI25" i="1"/>
  <c r="AG38" i="1"/>
  <c r="AI24" i="1"/>
  <c r="AG22" i="1"/>
  <c r="AH44" i="1"/>
  <c r="AH24" i="1"/>
  <c r="AG52" i="1"/>
  <c r="AG20" i="1"/>
  <c r="AI50" i="1"/>
  <c r="M6" i="1"/>
  <c r="C5" i="1" s="1"/>
  <c r="I20" i="1" a="1"/>
  <c r="I28" i="1" a="1"/>
  <c r="E26" i="3" a="1"/>
  <c r="P29" i="1" a="1"/>
  <c r="E13" i="3" a="1"/>
  <c r="F1" i="4" a="1"/>
  <c r="G19" i="1" a="1"/>
  <c r="C7" i="1" l="1"/>
  <c r="P29" i="1"/>
  <c r="I20" i="1"/>
  <c r="AK20" i="1" s="1"/>
  <c r="I28" i="1"/>
  <c r="G19" i="1"/>
  <c r="E26" i="3"/>
  <c r="F1" i="4"/>
  <c r="E13" i="3"/>
  <c r="AP22" i="1"/>
  <c r="AO23" i="1"/>
  <c r="AM24" i="1"/>
  <c r="AP26" i="1"/>
  <c r="AP24" i="1"/>
  <c r="AN26" i="1"/>
  <c r="AL24" i="1"/>
  <c r="AL26" i="1"/>
  <c r="AK21" i="1"/>
  <c r="AL23" i="1"/>
  <c r="AO24" i="1"/>
  <c r="AP20" i="1"/>
  <c r="AM26" i="1"/>
  <c r="AO22" i="1"/>
  <c r="AP25" i="1"/>
  <c r="AN21" i="1"/>
  <c r="AP21" i="1"/>
  <c r="AK26" i="1"/>
  <c r="AM23" i="1"/>
  <c r="AK24" i="1"/>
  <c r="AN23" i="1"/>
  <c r="AN24" i="1"/>
  <c r="AL21" i="1"/>
  <c r="AL22" i="1"/>
  <c r="AL20" i="1"/>
  <c r="AK23" i="1"/>
  <c r="AO20" i="1"/>
  <c r="AN25" i="1"/>
  <c r="AO26" i="1"/>
  <c r="AN20" i="1"/>
  <c r="AN22" i="1"/>
  <c r="AK22" i="1"/>
  <c r="AP23" i="1"/>
  <c r="AO25" i="1"/>
  <c r="AO21" i="1"/>
  <c r="AM20" i="1"/>
  <c r="AM22" i="1"/>
  <c r="AL25" i="1"/>
  <c r="AM21" i="1"/>
  <c r="AM25" i="1"/>
  <c r="AK25" i="1"/>
  <c r="AH19" i="1"/>
  <c r="AG19" i="1"/>
  <c r="I19" i="4" a="1"/>
  <c r="M6" i="4" a="1"/>
  <c r="E19" i="4" a="1"/>
  <c r="G49" i="4" a="1"/>
  <c r="G54" i="4" a="1"/>
  <c r="G42" i="4" a="1"/>
  <c r="G30" i="4" a="1"/>
  <c r="G29" i="4" a="1"/>
  <c r="G28" i="4" a="1"/>
  <c r="G37" i="4" a="1"/>
  <c r="G27" i="4" a="1"/>
  <c r="I29" i="1" a="1"/>
  <c r="G34" i="4" a="1"/>
  <c r="G44" i="4" a="1"/>
  <c r="G22" i="4" a="1"/>
  <c r="G26" i="4" a="1"/>
  <c r="E14" i="3" a="1"/>
  <c r="G46" i="4" a="1"/>
  <c r="G38" i="4" a="1"/>
  <c r="E27" i="3" a="1"/>
  <c r="G25" i="4" a="1"/>
  <c r="G51" i="4" a="1"/>
  <c r="G39" i="4" a="1"/>
  <c r="G33" i="4" a="1"/>
  <c r="G31" i="4" a="1"/>
  <c r="I32" i="4" a="1"/>
  <c r="G40" i="4" a="1"/>
  <c r="G23" i="4" a="1"/>
  <c r="G52" i="4" a="1"/>
  <c r="G36" i="4" a="1"/>
  <c r="P30" i="1" a="1"/>
  <c r="G48" i="4" a="1"/>
  <c r="G41" i="4" a="1"/>
  <c r="G55" i="4" a="1"/>
  <c r="G45" i="4" a="1"/>
  <c r="G20" i="4" a="1"/>
  <c r="G53" i="4" a="1"/>
  <c r="G35" i="4" a="1"/>
  <c r="G57" i="4" a="1"/>
  <c r="G24" i="4" a="1"/>
  <c r="G43" i="4" a="1"/>
  <c r="G56" i="4" a="1"/>
  <c r="G50" i="4" a="1"/>
  <c r="G32" i="4" a="1"/>
  <c r="I32" i="4" l="1"/>
  <c r="AR47" i="1"/>
  <c r="AS50" i="1"/>
  <c r="AR54" i="1"/>
  <c r="AS53" i="1"/>
  <c r="AR53" i="1"/>
  <c r="AS56" i="1"/>
  <c r="AR60" i="1"/>
  <c r="AS59" i="1"/>
  <c r="P30" i="1"/>
  <c r="AR30" i="1" s="1"/>
  <c r="AS62" i="1"/>
  <c r="AS33" i="1"/>
  <c r="AR40" i="1"/>
  <c r="AR55" i="1"/>
  <c r="AR62" i="1"/>
  <c r="AS32" i="1"/>
  <c r="AR36" i="1"/>
  <c r="AS65" i="1"/>
  <c r="AR43" i="1"/>
  <c r="AS46" i="1"/>
  <c r="AR50" i="1"/>
  <c r="AS49" i="1"/>
  <c r="AR49" i="1"/>
  <c r="AS52" i="1"/>
  <c r="AR56" i="1"/>
  <c r="AS55" i="1"/>
  <c r="AS30" i="1"/>
  <c r="AR33" i="1"/>
  <c r="AS39" i="1"/>
  <c r="AS64" i="1"/>
  <c r="AR65" i="1"/>
  <c r="AR39" i="1"/>
  <c r="AS42" i="1"/>
  <c r="AR46" i="1"/>
  <c r="AS45" i="1"/>
  <c r="AR45" i="1"/>
  <c r="AS48" i="1"/>
  <c r="AR52" i="1"/>
  <c r="AS51" i="1"/>
  <c r="AR34" i="1"/>
  <c r="AR61" i="1"/>
  <c r="AS63" i="1"/>
  <c r="AR35" i="1"/>
  <c r="AS38" i="1"/>
  <c r="AR42" i="1"/>
  <c r="AS41" i="1"/>
  <c r="AR41" i="1"/>
  <c r="AS44" i="1"/>
  <c r="AR48" i="1"/>
  <c r="AS47" i="1"/>
  <c r="AS61" i="1"/>
  <c r="AR63" i="1"/>
  <c r="AR31" i="1"/>
  <c r="AS34" i="1"/>
  <c r="AR38" i="1"/>
  <c r="AS37" i="1"/>
  <c r="AR37" i="1"/>
  <c r="AS40" i="1"/>
  <c r="AR44" i="1"/>
  <c r="AS43" i="1"/>
  <c r="AR59" i="1"/>
  <c r="AS36" i="1"/>
  <c r="AS58" i="1"/>
  <c r="AS35" i="1"/>
  <c r="AR51" i="1"/>
  <c r="AS54" i="1"/>
  <c r="AR58" i="1"/>
  <c r="AS57" i="1"/>
  <c r="AR57" i="1"/>
  <c r="AS60" i="1"/>
  <c r="AR64" i="1"/>
  <c r="AR32" i="1"/>
  <c r="AS31" i="1"/>
  <c r="I29" i="1"/>
  <c r="AK29" i="1" s="1"/>
  <c r="E27" i="3"/>
  <c r="C3" i="1"/>
  <c r="C4" i="1"/>
  <c r="G50" i="4"/>
  <c r="G23" i="4"/>
  <c r="G29" i="4"/>
  <c r="G31" i="4"/>
  <c r="G39" i="4"/>
  <c r="G55" i="4"/>
  <c r="G26" i="4"/>
  <c r="G28" i="4"/>
  <c r="G36" i="4"/>
  <c r="G44" i="4"/>
  <c r="G52" i="4"/>
  <c r="G34" i="4"/>
  <c r="G33" i="4"/>
  <c r="G41" i="4"/>
  <c r="G49" i="4"/>
  <c r="G57" i="4"/>
  <c r="G24" i="4"/>
  <c r="G38" i="4"/>
  <c r="G46" i="4"/>
  <c r="G54" i="4"/>
  <c r="G42" i="4"/>
  <c r="G53" i="4"/>
  <c r="G45" i="4"/>
  <c r="G37" i="4"/>
  <c r="G25" i="4"/>
  <c r="G56" i="4"/>
  <c r="G48" i="4"/>
  <c r="G40" i="4"/>
  <c r="G32" i="4"/>
  <c r="G30" i="4"/>
  <c r="G22" i="4"/>
  <c r="G20" i="4"/>
  <c r="G51" i="4"/>
  <c r="G43" i="4"/>
  <c r="G35" i="4"/>
  <c r="G27" i="4"/>
  <c r="AC57" i="4"/>
  <c r="AB54" i="4"/>
  <c r="AA51" i="4"/>
  <c r="AC49" i="4"/>
  <c r="AB46" i="4"/>
  <c r="AA43" i="4"/>
  <c r="AC41" i="4"/>
  <c r="AB38" i="4"/>
  <c r="AA35" i="4"/>
  <c r="AC33" i="4"/>
  <c r="AC29" i="4"/>
  <c r="AB28" i="4"/>
  <c r="AA27" i="4"/>
  <c r="AB24" i="4"/>
  <c r="AC21" i="4"/>
  <c r="AC24" i="4"/>
  <c r="AB57" i="4"/>
  <c r="AA54" i="4"/>
  <c r="AC52" i="4"/>
  <c r="AB49" i="4"/>
  <c r="AA46" i="4"/>
  <c r="AC44" i="4"/>
  <c r="AB41" i="4"/>
  <c r="AA38" i="4"/>
  <c r="AC36" i="4"/>
  <c r="AB33" i="4"/>
  <c r="AB29" i="4"/>
  <c r="AA28" i="4"/>
  <c r="AC26" i="4"/>
  <c r="AA24" i="4"/>
  <c r="AB21" i="4"/>
  <c r="E19" i="4"/>
  <c r="AC28" i="4"/>
  <c r="AA22" i="4"/>
  <c r="AA57" i="4"/>
  <c r="AC55" i="4"/>
  <c r="AB52" i="4"/>
  <c r="AA49" i="4"/>
  <c r="AC47" i="4"/>
  <c r="AB44" i="4"/>
  <c r="AA41" i="4"/>
  <c r="AC39" i="4"/>
  <c r="AB36" i="4"/>
  <c r="AA33" i="4"/>
  <c r="AC31" i="4"/>
  <c r="AA29" i="4"/>
  <c r="AB26" i="4"/>
  <c r="AC23" i="4"/>
  <c r="AA21" i="4"/>
  <c r="AC19" i="4"/>
  <c r="AC54" i="4"/>
  <c r="AB43" i="4"/>
  <c r="AA30" i="4"/>
  <c r="AB55" i="4"/>
  <c r="AA52" i="4"/>
  <c r="AC50" i="4"/>
  <c r="AB47" i="4"/>
  <c r="AA44" i="4"/>
  <c r="AC42" i="4"/>
  <c r="AB39" i="4"/>
  <c r="AA36" i="4"/>
  <c r="AC34" i="4"/>
  <c r="AB31" i="4"/>
  <c r="AA26" i="4"/>
  <c r="AB23" i="4"/>
  <c r="AC20" i="4"/>
  <c r="AC46" i="4"/>
  <c r="AA32" i="4"/>
  <c r="AB27" i="4"/>
  <c r="AA55" i="4"/>
  <c r="AC53" i="4"/>
  <c r="AB50" i="4"/>
  <c r="AA47" i="4"/>
  <c r="AC45" i="4"/>
  <c r="AB42" i="4"/>
  <c r="AA39" i="4"/>
  <c r="AC37" i="4"/>
  <c r="AB34" i="4"/>
  <c r="AA31" i="4"/>
  <c r="AC25" i="4"/>
  <c r="AA23" i="4"/>
  <c r="AB20" i="4"/>
  <c r="AA48" i="4"/>
  <c r="AC38" i="4"/>
  <c r="AC56" i="4"/>
  <c r="AB53" i="4"/>
  <c r="AA50" i="4"/>
  <c r="AC48" i="4"/>
  <c r="AB45" i="4"/>
  <c r="AA42" i="4"/>
  <c r="AC40" i="4"/>
  <c r="AB37" i="4"/>
  <c r="AA34" i="4"/>
  <c r="AC32" i="4"/>
  <c r="AC30" i="4"/>
  <c r="AB25" i="4"/>
  <c r="AC22" i="4"/>
  <c r="AA20" i="4"/>
  <c r="AB56" i="4"/>
  <c r="AA53" i="4"/>
  <c r="AC51" i="4"/>
  <c r="AB48" i="4"/>
  <c r="AA45" i="4"/>
  <c r="AC43" i="4"/>
  <c r="AB40" i="4"/>
  <c r="AA37" i="4"/>
  <c r="AC35" i="4"/>
  <c r="AB32" i="4"/>
  <c r="AB30" i="4"/>
  <c r="AC27" i="4"/>
  <c r="AA25" i="4"/>
  <c r="AB22" i="4"/>
  <c r="AA56" i="4"/>
  <c r="AB51" i="4"/>
  <c r="AA40" i="4"/>
  <c r="AB35" i="4"/>
  <c r="M6" i="4"/>
  <c r="C5" i="4" s="1"/>
  <c r="I19" i="4"/>
  <c r="E14" i="3"/>
  <c r="AL29" i="1"/>
  <c r="AM30" i="1"/>
  <c r="AP30" i="1"/>
  <c r="AM29" i="1"/>
  <c r="AN29" i="1"/>
  <c r="AO30" i="1"/>
  <c r="AP29" i="1"/>
  <c r="AN30" i="1"/>
  <c r="AL30" i="1"/>
  <c r="AO29" i="1"/>
  <c r="AK30" i="1"/>
  <c r="I38" i="4" a="1"/>
  <c r="I42" i="4" a="1"/>
  <c r="I33" i="4" a="1"/>
  <c r="G21" i="4" a="1"/>
  <c r="G47" i="4" a="1"/>
  <c r="E15" i="3" a="1"/>
  <c r="I20" i="4" a="1"/>
  <c r="I28" i="4" a="1"/>
  <c r="G19" i="4" a="1"/>
  <c r="E28" i="3" a="1"/>
  <c r="G21" i="4" l="1"/>
  <c r="I42" i="4"/>
  <c r="G47" i="4"/>
  <c r="I38" i="4"/>
  <c r="C8" i="1"/>
  <c r="I33" i="4"/>
  <c r="E28" i="3"/>
  <c r="G19" i="4"/>
  <c r="I28" i="4"/>
  <c r="AE26" i="4"/>
  <c r="AH25" i="4"/>
  <c r="AF23" i="4"/>
  <c r="AI22" i="4"/>
  <c r="AG20" i="4"/>
  <c r="AG25" i="4"/>
  <c r="AJ24" i="4"/>
  <c r="AE23" i="4"/>
  <c r="AH22" i="4"/>
  <c r="AF20" i="4"/>
  <c r="AF25" i="4"/>
  <c r="AI24" i="4"/>
  <c r="AG22" i="4"/>
  <c r="AJ21" i="4"/>
  <c r="AI25" i="4"/>
  <c r="AE21" i="4"/>
  <c r="AJ26" i="4"/>
  <c r="AE25" i="4"/>
  <c r="AH24" i="4"/>
  <c r="AF22" i="4"/>
  <c r="AI21" i="4"/>
  <c r="AG23" i="4"/>
  <c r="AI26" i="4"/>
  <c r="AG24" i="4"/>
  <c r="AJ23" i="4"/>
  <c r="AE22" i="4"/>
  <c r="AH21" i="4"/>
  <c r="AH20" i="4"/>
  <c r="AH26" i="4"/>
  <c r="AF24" i="4"/>
  <c r="AI23" i="4"/>
  <c r="AG21" i="4"/>
  <c r="AJ20" i="4"/>
  <c r="AG26" i="4"/>
  <c r="AJ25" i="4"/>
  <c r="AE24" i="4"/>
  <c r="AH23" i="4"/>
  <c r="AF21" i="4"/>
  <c r="AI20" i="4"/>
  <c r="I20" i="4"/>
  <c r="AE20" i="4" s="1"/>
  <c r="AF26" i="4"/>
  <c r="AJ22" i="4"/>
  <c r="AB19" i="4"/>
  <c r="AA19" i="4"/>
  <c r="E15" i="3"/>
  <c r="C6" i="1"/>
  <c r="I29" i="4" a="1"/>
  <c r="I39" i="4" a="1"/>
  <c r="I34" i="4" a="1"/>
  <c r="I43" i="4" a="1"/>
  <c r="AI40" i="4" l="1"/>
  <c r="AG39" i="4"/>
  <c r="AF40" i="4"/>
  <c r="AI39" i="4"/>
  <c r="AJ40" i="4"/>
  <c r="AH39" i="4"/>
  <c r="AH40" i="4"/>
  <c r="AF39" i="4"/>
  <c r="AG40" i="4"/>
  <c r="AE40" i="4"/>
  <c r="AJ39" i="4"/>
  <c r="I39" i="4"/>
  <c r="AE39" i="4" s="1"/>
  <c r="I43" i="4"/>
  <c r="AE43" i="4" s="1"/>
  <c r="C9" i="4" s="1"/>
  <c r="AE36" i="4"/>
  <c r="AI34" i="4"/>
  <c r="AJ36" i="4"/>
  <c r="AH35" i="4"/>
  <c r="AF34" i="4"/>
  <c r="AF36" i="4"/>
  <c r="AJ34" i="4"/>
  <c r="AJ35" i="4"/>
  <c r="AH34" i="4"/>
  <c r="AI35" i="4"/>
  <c r="AG34" i="4"/>
  <c r="AI36" i="4"/>
  <c r="AG35" i="4"/>
  <c r="AH36" i="4"/>
  <c r="AF35" i="4"/>
  <c r="AG36" i="4"/>
  <c r="AE35" i="4"/>
  <c r="I34" i="4"/>
  <c r="AE34" i="4" s="1"/>
  <c r="C3" i="4"/>
  <c r="AI30" i="4"/>
  <c r="AH30" i="4"/>
  <c r="AG30" i="4"/>
  <c r="AJ29" i="4"/>
  <c r="AF30" i="4"/>
  <c r="AI29" i="4"/>
  <c r="I29" i="4"/>
  <c r="AE29" i="4" s="1"/>
  <c r="AE30" i="4"/>
  <c r="AH29" i="4"/>
  <c r="AG29" i="4"/>
  <c r="AF29" i="4"/>
  <c r="AJ30" i="4"/>
  <c r="C4" i="4"/>
  <c r="C8" i="4" l="1"/>
  <c r="C7" i="4"/>
  <c r="C6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<sst xmlns="http://schemas.openxmlformats.org/spreadsheetml/2006/main" count="495" uniqueCount="143">
  <si>
    <t>payment _date</t>
  </si>
  <si>
    <t>payment _date</t>
    <phoneticPr fontId="1"/>
  </si>
  <si>
    <t>start_date</t>
  </si>
  <si>
    <t>start_date</t>
    <phoneticPr fontId="1"/>
  </si>
  <si>
    <t>end_date</t>
  </si>
  <si>
    <t>end_date</t>
    <phoneticPr fontId="1"/>
  </si>
  <si>
    <t>day_count_type</t>
  </si>
  <si>
    <t>day_count_type</t>
    <phoneticPr fontId="1"/>
  </si>
  <si>
    <t>ACT/360</t>
  </si>
  <si>
    <t>ACT/360</t>
    <phoneticPr fontId="1"/>
  </si>
  <si>
    <t>amout</t>
  </si>
  <si>
    <t>amout</t>
    <phoneticPr fontId="1"/>
  </si>
  <si>
    <t>fixed_rate</t>
  </si>
  <si>
    <t>fixed_rate</t>
    <phoneticPr fontId="1"/>
  </si>
  <si>
    <t>trade_code</t>
  </si>
  <si>
    <t>trade_code</t>
    <phoneticPr fontId="1"/>
  </si>
  <si>
    <t>money_00001</t>
  </si>
  <si>
    <t>money_00001</t>
    <phoneticPr fontId="1"/>
  </si>
  <si>
    <t>couter_party</t>
  </si>
  <si>
    <t>couter_party</t>
    <phoneticPr fontId="1"/>
  </si>
  <si>
    <t>CP00001</t>
  </si>
  <si>
    <t>CP00001</t>
    <phoneticPr fontId="1"/>
  </si>
  <si>
    <t>fixed_leg.pay_or_recieve</t>
  </si>
  <si>
    <t>fixed_leg.pay_or_recieve</t>
    <phoneticPr fontId="1"/>
  </si>
  <si>
    <t>Receive</t>
  </si>
  <si>
    <t>Receive</t>
    <phoneticPr fontId="1"/>
  </si>
  <si>
    <t>fixed_leg.cashflows</t>
    <phoneticPr fontId="1"/>
  </si>
  <si>
    <t>trade_json</t>
    <phoneticPr fontId="1"/>
  </si>
  <si>
    <t>key_value</t>
  </si>
  <si>
    <t>key_value</t>
    <phoneticPr fontId="1"/>
  </si>
  <si>
    <t>cashflow_tables</t>
  </si>
  <si>
    <t>cashflow_tables</t>
    <phoneticPr fontId="1"/>
  </si>
  <si>
    <t>fixed_leg.cashflows.[0].payment _date</t>
  </si>
  <si>
    <t>fixed_leg.cashflows.[0].start_date</t>
  </si>
  <si>
    <t>fixed_leg.cashflows.[0].end_date</t>
  </si>
  <si>
    <t>fixed_leg.cashflows.[0].day_count_type</t>
  </si>
  <si>
    <t>fixed_leg.cashflows.[0].amout</t>
  </si>
  <si>
    <t>fixed_leg.cashflows.[0].fixed_rate</t>
  </si>
  <si>
    <t>fixed_leg.cashflows.[1].payment _date</t>
  </si>
  <si>
    <t>fixed_leg.cashflows.[1].start_date</t>
  </si>
  <si>
    <t>fixed_leg.cashflows.[1].end_date</t>
  </si>
  <si>
    <t>fixed_leg.cashflows.[1].day_count_type</t>
  </si>
  <si>
    <t>fixed_leg.cashflows.[1].amout</t>
  </si>
  <si>
    <t>fixed_leg.cashflows.[1].fixed_rate</t>
  </si>
  <si>
    <t>fixed_leg.cashflows.[2].payment _date</t>
  </si>
  <si>
    <t>fixed_leg.cashflows.[2].start_date</t>
  </si>
  <si>
    <t>fixed_leg.cashflows.[2].end_date</t>
  </si>
  <si>
    <t>fixed_leg.cashflows.[2].day_count_type</t>
  </si>
  <si>
    <t>fixed_leg.cashflows.[2].amout</t>
  </si>
  <si>
    <t>fixed_leg.cashflows.[2].fixed_rate</t>
  </si>
  <si>
    <t>fixed_leg.cashflows.[3].payment _date</t>
  </si>
  <si>
    <t>fixed_leg.cashflows.[3].start_date</t>
  </si>
  <si>
    <t>fixed_leg.cashflows.[3].end_date</t>
  </si>
  <si>
    <t>fixed_leg.cashflows.[3].day_count_type</t>
  </si>
  <si>
    <t>fixed_leg.cashflows.[3].amout</t>
  </si>
  <si>
    <t>fixed_leg.cashflows.[3].fixed_rate</t>
  </si>
  <si>
    <t>fixed_leg.cashflows.[4].payment _date</t>
  </si>
  <si>
    <t>fixed_leg.cashflows.[4].start_date</t>
  </si>
  <si>
    <t>fixed_leg.cashflows.[4].end_date</t>
  </si>
  <si>
    <t>fixed_leg.cashflows.[4].day_count_type</t>
  </si>
  <si>
    <t>fixed_leg.cashflows.[4].amout</t>
  </si>
  <si>
    <t>fixed_leg.cashflows.[4].fixed_rate</t>
  </si>
  <si>
    <t>fixed_leg.cashflows.[5].payment _date</t>
  </si>
  <si>
    <t>fixed_leg.cashflows.[5].start_date</t>
  </si>
  <si>
    <t>fixed_leg.cashflows.[5].end_date</t>
  </si>
  <si>
    <t>fixed_leg.cashflows.[5].day_count_type</t>
  </si>
  <si>
    <t>fixed_leg.cashflows.[5].amout</t>
  </si>
  <si>
    <t>fixed_leg.cashflows.[5].fixed_rate</t>
  </si>
  <si>
    <t>actual</t>
    <phoneticPr fontId="1"/>
  </si>
  <si>
    <t>expected</t>
    <phoneticPr fontId="1"/>
  </si>
  <si>
    <t>result</t>
    <phoneticPr fontId="1"/>
  </si>
  <si>
    <t>keyvalues</t>
    <phoneticPr fontId="1"/>
  </si>
  <si>
    <t>table</t>
    <phoneticPr fontId="1"/>
  </si>
  <si>
    <t>jsontext</t>
    <phoneticPr fontId="1"/>
  </si>
  <si>
    <t>expectd</t>
    <phoneticPr fontId="1"/>
  </si>
  <si>
    <t>table2</t>
    <phoneticPr fontId="1"/>
  </si>
  <si>
    <t>excel_value.excel_error_to</t>
  </si>
  <si>
    <t>Error</t>
  </si>
  <si>
    <t>excel_value.excel_missing_to</t>
  </si>
  <si>
    <t>Null</t>
  </si>
  <si>
    <t>excel_value.excel_empty_to</t>
  </si>
  <si>
    <t>excel_value.excel_string_empty_to</t>
  </si>
  <si>
    <t>excel_value.null_to_excel</t>
  </si>
  <si>
    <t>excel_value.string_empty_to_excel</t>
  </si>
  <si>
    <t>configuration</t>
    <phoneticPr fontId="1"/>
  </si>
  <si>
    <t>dump</t>
    <phoneticPr fontId="1"/>
  </si>
  <si>
    <t>source</t>
    <phoneticPr fontId="1"/>
  </si>
  <si>
    <t>StringEmpty</t>
  </si>
  <si>
    <t>json.double_to_date_text.[0].date_format</t>
  </si>
  <si>
    <t>yyyy-MM-dd</t>
  </si>
  <si>
    <t>json.double_to_date_text.[0].keys.[0]</t>
  </si>
  <si>
    <t>json.double_to_date_text.[0].keys.[1]</t>
    <phoneticPr fontId="1"/>
  </si>
  <si>
    <t>json.double_to_date_text.[0].keys.[2]</t>
    <phoneticPr fontId="1"/>
  </si>
  <si>
    <t>2022-03-12</t>
  </si>
  <si>
    <t>2021-09-13</t>
  </si>
  <si>
    <t>2022-09-08</t>
  </si>
  <si>
    <t>2023-03-07</t>
  </si>
  <si>
    <t>2023-09-03</t>
  </si>
  <si>
    <t>2024-03-01</t>
  </si>
  <si>
    <t>2024-08-28</t>
  </si>
  <si>
    <t>client</t>
    <phoneticPr fontId="1"/>
  </si>
  <si>
    <t>status</t>
    <phoneticPr fontId="1"/>
  </si>
  <si>
    <t>message</t>
    <phoneticPr fontId="1"/>
  </si>
  <si>
    <t>message 0</t>
    <phoneticPr fontId="1"/>
  </si>
  <si>
    <t>message 1</t>
  </si>
  <si>
    <t>message 2</t>
  </si>
  <si>
    <t>message 3</t>
  </si>
  <si>
    <t>message 4</t>
  </si>
  <si>
    <t>message 5</t>
  </si>
  <si>
    <t>message 6</t>
  </si>
  <si>
    <t>client0</t>
    <phoneticPr fontId="1"/>
  </si>
  <si>
    <t>{"trade_code":"money_00001","couter_party":"CP00001","fixed_leg":{"pay_or_recieve":"Receive","cashflows":[{"payment _date":44632,"start_date":44452,"end_date":44632,"day_count_type":"ACT/360","amout":10000000,"fixed_rate":0.001},{"payment _date":44812,"start_date":44632,"end_date":44812,"day_count_type":"ACT/360","amout":11000000,"fixed_rate":0.001},{"payment _date":44992,"start_date":44812,"end_date":44992,"day_count_type":"ACT/360","amout":12000000,"fixed_rate":0.001},{"payment _date":45172,"start_date":44992,"end_date":45172,"day_count_type":"ACT/360","amout":13000000,"fixed_rate":0.001},{"payment _date":45352,"start_date":45172,"end_date":45352,"day_count_type":"ACT/360","amout":14000000,"fixed_rate":0.001},{"payment _date":45532,"start_date":45352,"end_date":45532,"day_count_type":"ACT/360","amout":15000000,"fixed_rate":0.001}]}}</t>
  </si>
  <si>
    <t>client1</t>
    <phoneticPr fontId="1"/>
  </si>
  <si>
    <t>keyvalues1</t>
    <phoneticPr fontId="1"/>
  </si>
  <si>
    <t>table3</t>
    <phoneticPr fontId="1"/>
  </si>
  <si>
    <t>{"trade_code":"money_00001","couter_party":"CP00001","fixed_leg":{"pay_or_recieve":"Receive","cashflows":[{"payment _date":"2022-03-12","start_date":"2021-09-13","end_date":"2022-03-12","day_count_type":"ACT/360","amout":10000000,"fixed_rate":0.001},{"payment _date":"2022-09-08","start_date":"2022-03-12","end_date":"2022-09-08","day_count_type":"ACT/360","amout":10000000,"fixed_rate":0.0011},{"payment _date":"2023-03-07","start_date":"2022-09-08","end_date":"2023-03-07","day_count_type":"ACT/360","amout":11000000,"fixed_rate":0.0012000000000000001},{"payment _date":"2023-09-03","start_date":"2023-03-07","end_date":"2023-09-03","day_count_type":"ACT/360","amout":11000000,"fixed_rate":0.0013000000000000002},{"payment _date":"2024-03-01","start_date":"2023-09-03","end_date":"2024-03-01","day_count_type":"ACT/360","amout":12000000,"fixed_rate":0.0014000000000000002},{"payment _date":"2024-08-28","start_date":"2024-03-01","end_date":"2024-08-28","day_count_type":"ACT/360","amout":12000000,"fixed_rate":0.0015000000000000002}]}}</t>
  </si>
  <si>
    <t/>
  </si>
  <si>
    <t>search</t>
    <phoneticPr fontId="1"/>
  </si>
  <si>
    <t>search1</t>
    <phoneticPr fontId="1"/>
  </si>
  <si>
    <t>search2</t>
    <phoneticPr fontId="1"/>
  </si>
  <si>
    <t>base uri</t>
    <phoneticPr fontId="1"/>
  </si>
  <si>
    <t>get</t>
    <phoneticPr fontId="1"/>
  </si>
  <si>
    <t>response</t>
    <phoneticPr fontId="1"/>
  </si>
  <si>
    <t>content</t>
    <phoneticPr fontId="1"/>
  </si>
  <si>
    <t>uri</t>
    <phoneticPr fontId="1"/>
  </si>
  <si>
    <t>GET</t>
    <phoneticPr fontId="1"/>
  </si>
  <si>
    <t>https://httpbin.org/</t>
  </si>
  <si>
    <t>http://localhost:80/</t>
    <phoneticPr fontId="1"/>
  </si>
  <si>
    <t>WebAPI1</t>
    <phoneticPr fontId="1"/>
  </si>
  <si>
    <t>WebAPI0</t>
    <phoneticPr fontId="1"/>
  </si>
  <si>
    <t>WebAPI2</t>
    <phoneticPr fontId="1"/>
  </si>
  <si>
    <t>key0</t>
    <phoneticPr fontId="1"/>
  </si>
  <si>
    <t>key1.int</t>
    <phoneticPr fontId="1"/>
  </si>
  <si>
    <t>key1.string</t>
    <phoneticPr fontId="1"/>
  </si>
  <si>
    <t>value1</t>
    <phoneticPr fontId="1"/>
  </si>
  <si>
    <t>parameters</t>
    <phoneticPr fontId="1"/>
  </si>
  <si>
    <t>WebAPI3</t>
    <phoneticPr fontId="1"/>
  </si>
  <si>
    <t>WebAPI4</t>
    <phoneticPr fontId="1"/>
  </si>
  <si>
    <t>header</t>
    <phoneticPr fontId="1"/>
  </si>
  <si>
    <t>POST</t>
    <phoneticPr fontId="1"/>
  </si>
  <si>
    <t>post</t>
    <phoneticPr fontId="1"/>
  </si>
  <si>
    <t>form</t>
    <phoneticPr fontId="1"/>
  </si>
  <si>
    <t>string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</si>
</sst>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0" fillId="2" borderId="0" xfId="0" applyFill="1">
      <alignment vertical="center"/>
    </xf>
    <xf numFmtId="0" fontId="3" fillId="0" borderId="0" xfId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tdsrv.08ed746da2a543d18f87fecda4e40096">
      <tp>
        <v>1</v>
        <stp/>
        <stp>ab3ce1d1-5180-4273-9399-580293baeea1</stp>
        <tr r="G37" s="4"/>
      </tp>
    </main>
    <main first="rtdsrv.08ed746da2a543d18f87fecda4e40096">
      <tp>
        <v>1</v>
        <stp/>
        <stp>a2d91de8-8312-4a96-8f52-2ada47f74862</stp>
        <tr r="G23" s="1"/>
      </tp>
    </main>
    <main first="rtdsrv.08ed746da2a543d18f87fecda4e40096">
      <tp>
        <v>1</v>
        <stp/>
        <stp>81221fb7-ff29-4f24-a2ca-eff55e847f08</stp>
        <tr r="D36" s="5"/>
      </tp>
    </main>
    <main first="rtdsrv.08ed746da2a543d18f87fecda4e40096">
      <tp>
        <v>1</v>
        <stp/>
        <stp>0359b9d8-8cc2-45a9-8a4e-484085d8d1a5</stp>
        <tr r="G33" s="1"/>
      </tp>
      <tp>
        <v>1</v>
        <stp/>
        <stp>5341cb3f-1c04-42df-96d0-a73c66607cd0</stp>
        <tr r="G35" s="1"/>
      </tp>
      <tp>
        <v>1</v>
        <stp/>
        <stp>beabb743-f150-438b-92e3-a4c3a18f56be</stp>
        <tr r="G40" s="4"/>
      </tp>
      <tp>
        <v>1</v>
        <stp/>
        <stp>db513fc2-b3bf-452f-b102-c5d92640526a</stp>
        <tr r="G19" s="1"/>
      </tp>
    </main>
    <main first="rtdsrv.08ed746da2a543d18f87fecda4e40096">
      <tp>
        <v>1</v>
        <stp/>
        <stp>1dd4d6fd-c3f1-418c-a41b-243df5944c54</stp>
        <tr r="C29" s="5"/>
      </tp>
    </main>
    <main first="rtdsrv.08ed746da2a543d18f87fecda4e40096">
      <tp>
        <v>1</v>
        <stp/>
        <stp>fbdf7813-2821-47ca-af30-4429786030ca</stp>
        <tr r="G47" s="4"/>
      </tp>
    </main>
    <main first="rtdsrv.08ed746da2a543d18f87fecda4e40096">
      <tp>
        <v>1</v>
        <stp/>
        <stp>04f7416a-02b3-461e-a76a-a11f672defbf</stp>
        <tr r="G36" s="4"/>
      </tp>
    </main>
    <main first="rtdsrv.08ed746da2a543d18f87fecda4e40096">
      <tp>
        <v>1</v>
        <stp/>
        <stp>4775eb39-00d7-4f6a-9bab-7ff3b144454a</stp>
        <tr r="F1" s="1"/>
      </tp>
      <tp>
        <v>1</v>
        <stp/>
        <stp>8c045926-9bf9-457c-9706-b303d1cd0587</stp>
        <tr r="G29" s="4"/>
      </tp>
      <tp>
        <v>1</v>
        <stp/>
        <stp>a4864092-789f-48a9-b39d-ff3be412ef31</stp>
        <tr r="P29" s="1"/>
      </tp>
      <tp>
        <v>1</v>
        <stp/>
        <stp>6c46dda9-c8f0-4d8d-a7f5-47565c58f57c</stp>
        <tr r="G51" s="4"/>
      </tp>
      <tp>
        <v>1</v>
        <stp/>
        <stp>11d070a3-1b19-4d45-8a22-def82eac13f3</stp>
        <tr r="G51" s="1"/>
      </tp>
    </main>
    <main first="rtdsrv.08ed746da2a543d18f87fecda4e40096">
      <tp>
        <v>1</v>
        <stp/>
        <stp>72637ce1-a3af-4bf9-a775-48704635b4da</stp>
        <tr r="G56" s="4"/>
      </tp>
    </main>
    <main first="rtdsrv.08ed746da2a543d18f87fecda4e40096">
      <tp>
        <v>2</v>
        <stp/>
        <stp>24ea85c5-4dd0-4195-8caa-f43115af1edd</stp>
        <tr r="E6" s="3"/>
      </tp>
    </main>
    <main first="rtdsrv.08ed746da2a543d18f87fecda4e40096">
      <tp>
        <v>1</v>
        <stp/>
        <stp>c29a4fa7-e757-4436-99ad-5e3d4b29cd7c</stp>
        <tr r="C2" s="2"/>
      </tp>
      <tp>
        <v>1</v>
        <stp/>
        <stp>980a9b40-4215-44bd-be50-e62f688dd41a</stp>
        <tr r="G47" s="1"/>
      </tp>
      <tp>
        <v>1</v>
        <stp/>
        <stp>32b45200-d834-4649-9189-9bb2f26f00df</stp>
        <tr r="G27" s="4"/>
      </tp>
    </main>
    <main first="rtdsrv.08ed746da2a543d18f87fecda4e40096">
      <tp>
        <v>1</v>
        <stp/>
        <stp>6aeeebbc-b81f-44ed-9e52-4ea43354dc2a</stp>
        <tr r="G48" s="4"/>
      </tp>
    </main>
    <main first="rtdsrv.08ed746da2a543d18f87fecda4e40096">
      <tp>
        <v>1</v>
        <stp/>
        <stp>531587e1-902b-46c8-824d-fe70ef5c18a0</stp>
        <tr r="D7" s="5"/>
      </tp>
      <tp>
        <v>1</v>
        <stp/>
        <stp>5f9bce3f-e024-46a5-9cc4-c0a7889ec22f</stp>
        <tr r="N53" s="5"/>
      </tp>
      <tp>
        <v>1</v>
        <stp/>
        <stp>8a53f556-e3e3-46d7-b9ec-8aee2139f9b9</stp>
        <tr r="G24" s="4"/>
      </tp>
    </main>
    <main first="rtdsrv.08ed746da2a543d18f87fecda4e40096">
      <tp>
        <v>1</v>
        <stp/>
        <stp>a26728fd-4964-49d4-bca7-8fd8fc1a9e98</stp>
        <tr r="E17" s="3"/>
      </tp>
    </main>
    <main first="rtdsrv.08ed746da2a543d18f87fecda4e40096">
      <tp>
        <v>1</v>
        <stp/>
        <stp>a15bd1dc-1ab3-481e-ab76-d942956b8d96</stp>
        <tr r="G20" s="1"/>
      </tp>
      <tp>
        <v>1</v>
        <stp/>
        <stp>9294a867-281a-46b1-8935-65f5fbcdff9e</stp>
        <tr r="G31" s="1"/>
      </tp>
    </main>
    <main first="rtdsrv.08ed746da2a543d18f87fecda4e40096">
      <tp>
        <v>1</v>
        <stp/>
        <stp>32b7a850-f637-4d01-bee8-b4ec6307179f</stp>
        <tr r="G57" s="4"/>
      </tp>
      <tp>
        <v>1</v>
        <stp/>
        <stp>7f6fe1f7-8044-49ad-8711-d93519c9828e</stp>
        <tr r="G48" s="1"/>
      </tp>
      <tp>
        <v>1</v>
        <stp/>
        <stp>6094d4fa-8a03-4c03-9559-80dbe66de440</stp>
        <tr r="G27" s="1"/>
      </tp>
    </main>
    <main first="rtdsrv.08ed746da2a543d18f87fecda4e40096">
      <tp>
        <v>1</v>
        <stp/>
        <stp>91d5b940-bec9-42f3-b9bd-b679163a9387</stp>
        <tr r="D12" s="5"/>
      </tp>
    </main>
    <main first="rtdsrv.08ed746da2a543d18f87fecda4e40096">
      <tp>
        <v>1</v>
        <stp/>
        <stp>29a92b3f-7b55-4b35-a873-a475aab8b2a8</stp>
        <tr r="G50" s="1"/>
      </tp>
    </main>
    <main first="rtdsrv.08ed746da2a543d18f87fecda4e40096">
      <tp>
        <v>1</v>
        <stp/>
        <stp>9ebf819f-cd08-4b30-917a-57dca85ce60b</stp>
        <tr r="G22" s="4"/>
      </tp>
    </main>
    <main first="rtdsrv.08ed746da2a543d18f87fecda4e40096">
      <tp>
        <v>-2</v>
        <stp/>
        <stp>77cc04bd-b4c0-4cb5-8ca6-4074c42848c1</stp>
        <tr r="D25" s="5"/>
      </tp>
      <tp>
        <v>-2</v>
        <stp/>
        <stp>43f8432f-a7d3-451c-96c8-b87e863adf3f</stp>
        <tr r="D15" s="5"/>
      </tp>
      <tp>
        <v>1</v>
        <stp/>
        <stp>21eaf02c-55d6-4188-9fca-6339cb2b304d</stp>
        <tr r="G50" s="4"/>
      </tp>
      <tp>
        <v>1</v>
        <stp/>
        <stp>9c8789e0-3ee4-4627-b352-fdbbae3f9da2</stp>
        <tr r="G23" s="4"/>
      </tp>
      <tp>
        <v>1</v>
        <stp/>
        <stp>08c5c740-406d-4d32-8858-7d98744eeb02</stp>
        <tr r="G21" s="1"/>
      </tp>
      <tp>
        <v>1</v>
        <stp/>
        <stp>6ffb9a8d-a5b7-4a13-b029-cc6623e309c2</stp>
        <tr r="G40" s="1"/>
      </tp>
      <tp>
        <v>1</v>
        <stp/>
        <stp>d4d6cfb1-e9bd-4c2b-9181-bb9c9c6b2bbe</stp>
        <tr r="P19" s="1"/>
      </tp>
      <tp>
        <v>1</v>
        <stp/>
        <stp>023200e7-8ef5-4c11-9bbb-70737c54b5d9</stp>
        <tr r="D55" s="5"/>
      </tp>
      <tp>
        <v>1</v>
        <stp/>
        <stp>b3193eab-bdc2-4767-9d94-7c9e454acc43</stp>
        <tr r="G29" s="1"/>
      </tp>
      <tp>
        <v>1</v>
        <stp/>
        <stp>c7408786-89c5-4dc2-9c89-a987915c658b</stp>
        <tr r="I28" s="4"/>
      </tp>
    </main>
    <main first="rtdsrv.08ed746da2a543d18f87fecda4e40096">
      <tp>
        <v>1</v>
        <stp/>
        <stp>65c86cbc-2ec3-4202-b632-0bd898e44043</stp>
        <tr r="E20" s="3"/>
      </tp>
      <tp>
        <v>1</v>
        <stp/>
        <stp>a2b8b568-538d-45a2-a2cd-585f47416cdf</stp>
        <tr r="G45" s="1"/>
      </tp>
      <tp>
        <v>1</v>
        <stp/>
        <stp>33e2a6b4-d7e1-498d-b746-e1e91609b99e</stp>
        <tr r="G26" s="4"/>
      </tp>
      <tp>
        <v>1</v>
        <stp/>
        <stp>b3cf052a-9e81-47d6-8903-545e8068e123</stp>
        <tr r="G52" s="4"/>
      </tp>
      <tp>
        <v>1</v>
        <stp/>
        <stp>19470f5c-2522-4d65-8127-0f8f25c805ea</stp>
        <tr r="G46" s="4"/>
      </tp>
    </main>
    <main first="rtdsrv.08ed746da2a543d18f87fecda4e40096">
      <tp>
        <v>1</v>
        <stp/>
        <stp>84365428-25e4-4e1a-9cdc-c4c1e82867fd</stp>
        <tr r="N41" s="5"/>
      </tp>
      <tp>
        <v>1</v>
        <stp/>
        <stp>49df6a69-c3f8-4b21-94f2-e1124df6e5fc</stp>
        <tr r="G52" s="1"/>
      </tp>
    </main>
    <main first="rtdsrv.08ed746da2a543d18f87fecda4e40096">
      <tp>
        <v>1</v>
        <stp/>
        <stp>32aa6754-3719-4817-abe7-b6caa9f9bfab</stp>
        <tr r="G26" s="1"/>
      </tp>
      <tp>
        <v>1</v>
        <stp/>
        <stp>a0c9b5c0-ec5f-4ff0-b6e0-6b220c36a9aa</stp>
        <tr r="D43" s="5"/>
      </tp>
    </main>
    <main first="rtdsrv.08ed746da2a543d18f87fecda4e40096">
      <tp>
        <v>1</v>
        <stp/>
        <stp>230b28d1-4a4a-4fda-8430-452ed1864d12</stp>
        <tr r="G54" s="1"/>
      </tp>
    </main>
    <main first="rtdsrv.08ed746da2a543d18f87fecda4e40096">
      <tp>
        <v>1</v>
        <stp/>
        <stp>6a693abb-7198-4069-8814-1e280f38e194</stp>
        <tr r="G39" s="1"/>
      </tp>
    </main>
    <main first="rtdsrv.08ed746da2a543d18f87fecda4e40096">
      <tp>
        <v>1</v>
        <stp/>
        <stp>3acf812b-b115-4595-8a75-17d34eac60c7</stp>
        <tr r="G37" s="1"/>
      </tp>
    </main>
    <main first="rtdsrv.08ed746da2a543d18f87fecda4e40096">
      <tp>
        <v>1</v>
        <stp/>
        <stp>db3e4798-9879-46b4-b9e6-8577ec048956</stp>
        <tr r="G38" s="1"/>
      </tp>
      <tp>
        <v>1</v>
        <stp/>
        <stp>d5623189-e0c7-4d85-b0a2-fbf8f505e0b2</stp>
        <tr r="G43" s="1"/>
      </tp>
    </main>
    <main first="rtdsrv.08ed746da2a543d18f87fecda4e40096">
      <tp>
        <v>1</v>
        <stp/>
        <stp>434aba0b-d38a-4635-96c5-ddda9f163069</stp>
        <tr r="G24" s="1"/>
      </tp>
      <tp>
        <v>1</v>
        <stp/>
        <stp>27643f91-d9f0-4f23-a7e4-93d95a225c16</stp>
        <tr r="G56" s="1"/>
      </tp>
    </main>
    <main first="rtdsrv.08ed746da2a543d18f87fecda4e40096">
      <tp>
        <v>1</v>
        <stp/>
        <stp>d5a90ae6-9756-4b99-ace8-51462b855139</stp>
        <tr r="G33" s="4"/>
      </tp>
      <tp>
        <v>1</v>
        <stp/>
        <stp>a340a01f-b775-40e1-9cc6-3a8870483106</stp>
        <tr r="D19" s="5"/>
      </tp>
      <tp>
        <v>1</v>
        <stp/>
        <stp>b7991b0e-a66f-47ad-905d-1bd12b105641</stp>
        <tr r="G43" s="4"/>
      </tp>
    </main>
    <main first="rtdsrv.08ed746da2a543d18f87fecda4e40096">
      <tp>
        <v>1</v>
        <stp/>
        <stp>f0ba324e-d5f0-4bf9-9bec-b4ce4df9f9a2</stp>
        <tr r="F1" s="4"/>
      </tp>
    </main>
    <main first="rtdsrv.08ed746da2a543d18f87fecda4e40096">
      <tp>
        <v>1</v>
        <stp/>
        <stp>d10a5d8e-d4e0-43b4-b3a6-9269eb604dc8</stp>
        <tr r="C17" s="5"/>
      </tp>
      <tp>
        <v>1</v>
        <stp/>
        <stp>f0eca418-16cd-4130-ace6-06a3449c52e8</stp>
        <tr r="G46" s="1"/>
      </tp>
      <tp>
        <v>1</v>
        <stp/>
        <stp>870ac7e3-00f8-4224-811e-3480560b0f87</stp>
        <tr r="F6" s="1"/>
      </tp>
    </main>
    <main first="rtdsrv.08ed746da2a543d18f87fecda4e40096">
      <tp>
        <v>1</v>
        <stp/>
        <stp>6ee407d8-452e-4296-82da-80f76e64c097</stp>
        <tr r="G34" s="4"/>
      </tp>
      <tp>
        <v>1</v>
        <stp/>
        <stp>0e954830-b7ef-4c6c-969e-dc7dadfaf368</stp>
        <tr r="C41" s="5"/>
      </tp>
      <tp>
        <v>1</v>
        <stp/>
        <stp>fb2238e7-7a3c-4ea8-ae3b-0f3f07425f3c</stp>
        <tr r="G49" s="1"/>
      </tp>
      <tp>
        <v>1</v>
        <stp/>
        <stp>37afb1ab-a9a0-4400-b9b2-f1c0dde5b1cd</stp>
        <tr r="G32" s="4"/>
      </tp>
      <tp>
        <v>1</v>
        <stp/>
        <stp>9adf25bb-ca78-492e-ba36-86678794f107</stp>
        <tr r="G35" s="4"/>
      </tp>
      <tp>
        <v>1</v>
        <stp/>
        <stp>2fc44474-ef08-4d57-9d9e-26985f936883</stp>
        <tr r="I42" s="4"/>
      </tp>
      <tp>
        <v>1</v>
        <stp/>
        <stp>9f10265e-cec4-4a6d-99be-adc8f7f4d02d</stp>
        <tr r="G44" s="4"/>
      </tp>
    </main>
    <main first="rtdsrv.08ed746da2a543d18f87fecda4e40096">
      <tp>
        <v>1</v>
        <stp/>
        <stp>1c339a0c-083f-4ca9-a370-d8421f4d2406</stp>
        <tr r="G36" s="1"/>
      </tp>
      <tp>
        <v>1</v>
        <stp/>
        <stp>11845ff0-ea60-4682-b1ec-8689828c77a4</stp>
        <tr r="G39" s="4"/>
      </tp>
      <tp>
        <v>2</v>
        <stp/>
        <stp>593e9d54-3744-405d-9554-d57e99faee4d</stp>
        <tr r="H6" s="2"/>
      </tp>
      <tp>
        <v>1</v>
        <stp/>
        <stp>3edc45ba-2f8a-481d-a85d-61262b53f6b1</stp>
        <tr r="G54" s="4"/>
      </tp>
      <tp>
        <v>1</v>
        <stp/>
        <stp>da840088-db30-4f23-b363-2b61fb89ef70</stp>
        <tr r="E4" s="3"/>
      </tp>
      <tp>
        <v>1</v>
        <stp/>
        <stp>3d2f0565-6e3e-413b-a572-f85e3e9cd922</stp>
        <tr r="G34" s="1"/>
      </tp>
      <tp>
        <v>1</v>
        <stp/>
        <stp>23eeff0f-7d54-4de0-9147-bac31ec4f54a</stp>
        <tr r="I19" s="1"/>
      </tp>
    </main>
    <main first="rtdsrv.08ed746da2a543d18f87fecda4e40096">
      <tp>
        <v>1</v>
        <stp/>
        <stp>8ecf1b95-3893-460e-9d4b-dbc766c8efb1</stp>
        <tr r="G55" s="1"/>
      </tp>
      <tp>
        <v>1</v>
        <stp/>
        <stp>b2a92d19-b290-411a-b13c-915b40c8f020</stp>
        <tr r="I28" s="1"/>
      </tp>
      <tp>
        <v>1</v>
        <stp/>
        <stp>9b26d9a2-deaa-499a-a2c4-1c0d51da3831</stp>
        <tr r="I38" s="4"/>
      </tp>
      <tp>
        <v>1</v>
        <stp/>
        <stp>d50db636-6355-4833-baa1-d3ae54a527fa</stp>
        <tr r="G45" s="4"/>
      </tp>
    </main>
    <main first="rtdsrv.08ed746da2a543d18f87fecda4e40096">
      <tp>
        <v>1</v>
        <stp/>
        <stp>1bc73cd6-e649-4a8f-8555-af7ffc6c6f20</stp>
        <tr r="G28" s="4"/>
      </tp>
      <tp>
        <v>1</v>
        <stp/>
        <stp>81256757-7f9e-42ec-b148-db3022bfeb05</stp>
        <tr r="G42" s="1"/>
      </tp>
      <tp>
        <v>1</v>
        <stp/>
        <stp>75824029-a21a-4c24-b1b0-7031874cca3c</stp>
        <tr r="D48" s="5"/>
      </tp>
    </main>
    <main first="rtdsrv.08ed746da2a543d18f87fecda4e40096">
      <tp>
        <v>1</v>
        <stp/>
        <stp>1697d523-9fef-46e9-8d37-2b6d9135d771</stp>
        <tr r="G49" s="4"/>
      </tp>
      <tp>
        <v>1</v>
        <stp/>
        <stp>883f7893-3598-4236-9c7b-701d1b9ee48c</stp>
        <tr r="G55" s="4"/>
      </tp>
      <tp>
        <v>1</v>
        <stp/>
        <stp>72af454b-9ec0-4f9e-ad85-6b08ec7c973d</stp>
        <tr r="G44" s="1"/>
      </tp>
    </main>
    <main first="rtdsrv.08ed746da2a543d18f87fecda4e40096">
      <tp>
        <v>1</v>
        <stp/>
        <stp>715d8754-b067-4389-b6ba-a8ff0f7ab48e</stp>
        <tr r="I33" s="4"/>
      </tp>
    </main>
    <main first="rtdsrv.08ed746da2a543d18f87fecda4e40096">
      <tp>
        <v>1</v>
        <stp/>
        <stp>279ce708-9c0e-4f8e-8984-6ecb669a4bea</stp>
        <tr r="C53" s="5"/>
      </tp>
    </main>
    <main first="rtdsrv.08ed746da2a543d18f87fecda4e40096">
      <tp>
        <v>1</v>
        <stp/>
        <stp>b71f0551-a903-4101-b023-604fdd202aed</stp>
        <tr r="D24" s="5"/>
      </tp>
    </main>
    <main first="rtdsrv.08ed746da2a543d18f87fecda4e40096">
      <tp>
        <v>-2</v>
        <stp/>
        <stp>a822305c-de60-461d-8ae1-8a2e3ef32329</stp>
        <tr r="D60" s="5"/>
      </tp>
    </main>
    <main first="rtdsrv.08ed746da2a543d18f87fecda4e40096">
      <tp>
        <v>1</v>
        <stp/>
        <stp>5efb1b59-9aa9-4732-8d8f-65d4ac35a8f1</stp>
        <tr r="D31" s="5"/>
      </tp>
    </main>
    <main first="rtdsrv.08ed746da2a543d18f87fecda4e40096">
      <tp>
        <v>1</v>
        <stp/>
        <stp>4c12e154-bfa0-48ea-95e7-0eee79d9935b</stp>
        <tr r="G38" s="4"/>
      </tp>
      <tp>
        <v>1</v>
        <stp/>
        <stp>8890a1f5-e0de-4bfb-9814-2c7e7f1f2a38</stp>
        <tr r="E7" s="3"/>
      </tp>
      <tp>
        <v>1</v>
        <stp/>
        <stp>39851f0b-0959-4e1e-b555-1c27d2a216fe</stp>
        <tr r="G42" s="4"/>
      </tp>
    </main>
    <main first="rtdsrv.08ed746da2a543d18f87fecda4e40096">
      <tp>
        <v>1</v>
        <stp/>
        <stp>8fe9082b-d000-4b41-91b9-c0bfe4425593</stp>
        <tr r="G21" s="4"/>
      </tp>
    </main>
    <main first="rtdsrv.08ed746da2a543d18f87fecda4e40096">
      <tp>
        <v>1</v>
        <stp/>
        <stp>b01b579d-4aba-4d07-8e2c-b871bf4e3053</stp>
        <tr r="G31" s="4"/>
      </tp>
    </main>
    <main first="rtdsrv.08ed746da2a543d18f87fecda4e40096">
      <tp>
        <v>1</v>
        <stp/>
        <stp>ce03d9f0-02c7-4845-8136-ab3d5df2f4cb</stp>
        <tr r="G41" s="1"/>
      </tp>
      <tp>
        <v>1</v>
        <stp/>
        <stp>eea93311-9d2d-48eb-ae92-cd3e61aa38f4</stp>
        <tr r="G32" s="1"/>
      </tp>
    </main>
    <main first="rtdsrv.08ed746da2a543d18f87fecda4e40096">
      <tp>
        <v>1</v>
        <stp/>
        <stp>bb750459-1115-4086-a3e6-eb92883b07fc</stp>
        <tr r="G20" s="4"/>
      </tp>
      <tp>
        <v>1</v>
        <stp/>
        <stp>09ebb066-f7c6-4d7a-afd3-f231fb713c83</stp>
        <tr r="G19" s="4"/>
      </tp>
    </main>
    <main first="rtdsrv.08ed746da2a543d18f87fecda4e40096">
      <tp>
        <v>1</v>
        <stp/>
        <stp>5b0a475f-3316-4578-a9c5-6c276c45fc67</stp>
        <tr r="G41" s="4"/>
      </tp>
    </main>
    <main first="rtdsrv.08ed746da2a543d18f87fecda4e40096">
      <tp>
        <v>1</v>
        <stp/>
        <stp>63c62b0e-c35f-4878-88a4-3db717c2ef4d</stp>
        <tr r="C5" s="5"/>
      </tp>
      <tp>
        <v>1</v>
        <stp/>
        <stp>6fe126d0-6c50-4440-a8e5-6e2db86eb08c</stp>
        <tr r="G25" s="1"/>
      </tp>
    </main>
    <main first="rtdsrv.08ed746da2a543d18f87fecda4e40096">
      <tp>
        <v>1</v>
        <stp/>
        <stp>14f2926d-8f86-41aa-8629-35ea4c17ee52</stp>
        <tr r="G53" s="4"/>
      </tp>
      <tp>
        <v>1</v>
        <stp/>
        <stp>645f7ea0-8b82-4dd0-9974-c28ff7f7153c</stp>
        <tr r="G30" s="1"/>
      </tp>
    </main>
    <main first="rtdsrv.08ed746da2a543d18f87fecda4e40096">
      <tp>
        <v>1</v>
        <stp/>
        <stp>89b6b143-45fb-40e4-8f52-7d6f41f147d6</stp>
        <tr r="I32" s="4"/>
        <tr r="I19" s="4"/>
      </tp>
      <tp>
        <v>1</v>
        <stp/>
        <stp>2b32309e-8e41-4f3c-8e51-1be86cd89b8f</stp>
        <tr r="G22" s="1"/>
      </tp>
    </main>
    <main first="rtdsrv.08ed746da2a543d18f87fecda4e40096">
      <tp>
        <v>1</v>
        <stp/>
        <stp>7d07d291-61be-4536-a46c-125799e90748</stp>
        <tr r="G25" s="4"/>
      </tp>
      <tp>
        <v>1</v>
        <stp/>
        <stp>13fe9c04-a781-49f3-9787-921ed613fb4d</stp>
        <tr r="F6" s="4"/>
      </tp>
      <tp>
        <v>1</v>
        <stp/>
        <stp>cdb84919-774d-4b5a-b672-3123dc7b7203</stp>
        <tr r="G30" s="4"/>
      </tp>
    </main>
    <main first="rtdsrv.08ed746da2a543d18f87fecda4e40096">
      <tp>
        <v>1</v>
        <stp/>
        <stp>797a0f25-990a-44fa-bddc-e8eff75970c4</stp>
        <tr r="G53" s="1"/>
      </tp>
    </main>
    <main first="rtdsrv.08ed746da2a543d18f87fecda4e40096">
      <tp>
        <v>3</v>
        <stp/>
        <stp>6bc48769-96ce-4450-8f1a-2b1773b31a4d</stp>
        <tr r="E19" s="3"/>
      </tp>
    </main>
    <main first="rtdsrv.08ed746da2a543d18f87fecda4e40096">
      <tp>
        <v>1</v>
        <stp/>
        <stp>5d11739d-c585-4279-a51d-42223553af93</stp>
        <tr r="G57" s="1"/>
      </tp>
      <tp>
        <v>1</v>
        <stp/>
        <stp>aa69dcc5-6175-4527-a117-f3c4de85d9de</stp>
        <tr r="D60" s="5"/>
      </tp>
      <tp>
        <v>1</v>
        <stp/>
        <stp>ef0f8ab2-2631-4808-b4c8-b7abeff22b58</stp>
        <tr r="G28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volatileDependencies" Target="volatileDependencies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localho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D5E5E-1419-4F0D-AFC7-AD1DEAC9CE64}">
  <dimension ref="B1:AS65"/>
  <sheetViews>
    <sheetView zoomScaleNormal="100" workbookViewId="0"/>
  </sheetViews>
  <sheetFormatPr defaultRowHeight="18.75" x14ac:dyDescent="0.4"/>
  <cols>
    <col min="1" max="1" width="2.25" customWidth="1"/>
    <col min="2" max="2" width="11" bestFit="1" customWidth="1"/>
    <col min="4" max="4" width="2.125" customWidth="1"/>
    <col min="5" max="5" width="38.125" bestFit="1" customWidth="1"/>
    <col min="6" max="7" width="13.25" customWidth="1"/>
    <col min="8" max="8" width="15.5" bestFit="1" customWidth="1"/>
    <col min="9" max="11" width="13.25" customWidth="1"/>
    <col min="15" max="15" width="7.375" customWidth="1"/>
    <col min="16" max="16" width="40.75" customWidth="1"/>
    <col min="17" max="18" width="7.375" customWidth="1"/>
    <col min="19" max="19" width="13.5" bestFit="1" customWidth="1"/>
    <col min="21" max="21" width="17" customWidth="1"/>
    <col min="22" max="22" width="10.125" bestFit="1" customWidth="1"/>
    <col min="23" max="23" width="9.5" bestFit="1" customWidth="1"/>
    <col min="24" max="24" width="15.5" bestFit="1" customWidth="1"/>
    <col min="25" max="25" width="9.5" bestFit="1" customWidth="1"/>
    <col min="26" max="26" width="9.875" bestFit="1" customWidth="1"/>
    <col min="30" max="30" width="40.75" customWidth="1"/>
    <col min="31" max="32" width="7.375" customWidth="1"/>
  </cols>
  <sheetData>
    <row r="1" spans="2:28" x14ac:dyDescent="0.4">
      <c r="E1" t="s">
        <v>27</v>
      </c>
      <c r="F1" t="str" cm="1">
        <f t="array" ref="F1">_xll.ExLibris.Json.CreateJsonObject(E3:F6)</f>
        <v>JsonObject:B6357A39-E075-4D5B-80C8-13444B9A640C</v>
      </c>
      <c r="K1" t="str">
        <f>EXLIBRIS_CONFIGURATION</f>
        <v>ExLibris.Core.ExLibrisConfiguration:071D03FE-BA0D-4934-B18A-AE48943CECDE</v>
      </c>
    </row>
    <row r="2" spans="2:28" x14ac:dyDescent="0.4">
      <c r="B2" s="5" t="s">
        <v>70</v>
      </c>
      <c r="C2" s="5"/>
    </row>
    <row r="3" spans="2:28" x14ac:dyDescent="0.4">
      <c r="B3" s="6" t="s">
        <v>71</v>
      </c>
      <c r="C3" s="6">
        <f>COUNTIF(AG19:AI57,FALSE)</f>
        <v>0</v>
      </c>
      <c r="E3" t="s">
        <v>15</v>
      </c>
      <c r="F3" t="s">
        <v>17</v>
      </c>
    </row>
    <row r="4" spans="2:28" x14ac:dyDescent="0.4">
      <c r="B4" s="6" t="s">
        <v>72</v>
      </c>
      <c r="C4" s="6">
        <f>COUNTIF(AK20:AP26,FALSE)</f>
        <v>0</v>
      </c>
      <c r="E4" t="s">
        <v>19</v>
      </c>
      <c r="F4" t="s">
        <v>21</v>
      </c>
    </row>
    <row r="5" spans="2:28" x14ac:dyDescent="0.4">
      <c r="B5" s="6" t="s">
        <v>73</v>
      </c>
      <c r="C5" s="6" t="str">
        <f>IF(M6=M7,"ok","ng")</f>
        <v>ok</v>
      </c>
      <c r="E5" t="s">
        <v>23</v>
      </c>
      <c r="F5" t="s">
        <v>25</v>
      </c>
      <c r="L5" t="s">
        <v>73</v>
      </c>
    </row>
    <row r="6" spans="2:28" x14ac:dyDescent="0.4">
      <c r="B6" s="6" t="s">
        <v>75</v>
      </c>
      <c r="C6" s="6">
        <f>COUNTIF(AK29:AP30,FALSE)</f>
        <v>0</v>
      </c>
      <c r="E6" t="s">
        <v>26</v>
      </c>
      <c r="F6" t="str" cm="1">
        <f t="array" ref="F6">_xll.ExLibris.Json.CreateJsonArray(E8:J14)</f>
        <v>JsonObject:46DD26C6-84C1-41C9-9F09-BEFCED61B8F5</v>
      </c>
      <c r="L6" t="s">
        <v>68</v>
      </c>
      <c r="M6" t="str" cm="1">
        <f t="array" ref="M6">_xll.ExLibris.Json.ShowJsonText(F1)</f>
        <v>{"trade_code":"money_00001","couter_party":"CP00001","fixed_leg":{"pay_or_recieve":"Receive","cashflows":[{"payment _date":44632,"start_date":44452,"end_date":44632,"day_count_type":"ACT/360","amout":10000000,"fixed_rate":0.001},{"payment _date":44812,"start_date":44632,"end_date":44812,"day_count_type":"ACT/360","amout":11000000,"fixed_rate":0.001},{"payment _date":44992,"start_date":44812,"end_date":44992,"day_count_type":"ACT/360","amout":12000000,"fixed_rate":0.001},{"payment _date":45172,"start_date":44992,"end_date":45172,"day_count_type":"ACT/360","amout":13000000,"fixed_rate":0.001},{"payment _date":45352,"start_date":45172,"end_date":45352,"day_count_type":"ACT/360","amout":14000000,"fixed_rate":0.001},{"payment _date":45532,"start_date":45352,"end_date":45532,"day_count_type":"ACT/360","amout":15000000,"fixed_rate":0.001}]}}</v>
      </c>
    </row>
    <row r="7" spans="2:28" x14ac:dyDescent="0.4">
      <c r="B7" s="6" t="s">
        <v>113</v>
      </c>
      <c r="C7" s="6">
        <f>COUNTIF(AR19:AS21,FALSE)</f>
        <v>0</v>
      </c>
      <c r="L7" t="s">
        <v>74</v>
      </c>
      <c r="M7" t="s">
        <v>111</v>
      </c>
    </row>
    <row r="8" spans="2:28" x14ac:dyDescent="0.4">
      <c r="B8" s="6" t="s">
        <v>114</v>
      </c>
      <c r="C8" s="6">
        <f>COUNTIF(AR30:AS65,FALSE)</f>
        <v>0</v>
      </c>
      <c r="E8" t="s">
        <v>1</v>
      </c>
      <c r="F8" t="s">
        <v>3</v>
      </c>
      <c r="G8" t="s">
        <v>5</v>
      </c>
      <c r="H8" t="s">
        <v>7</v>
      </c>
      <c r="I8" t="s">
        <v>11</v>
      </c>
      <c r="J8" t="s">
        <v>13</v>
      </c>
    </row>
    <row r="9" spans="2:28" x14ac:dyDescent="0.4">
      <c r="E9" s="1">
        <f>G9</f>
        <v>44632</v>
      </c>
      <c r="F9" s="1">
        <v>44452</v>
      </c>
      <c r="G9" s="1">
        <f>F9+180</f>
        <v>44632</v>
      </c>
      <c r="H9" t="s">
        <v>9</v>
      </c>
      <c r="I9" s="2">
        <v>10000000</v>
      </c>
      <c r="J9" s="3">
        <v>1E-3</v>
      </c>
    </row>
    <row r="10" spans="2:28" x14ac:dyDescent="0.4">
      <c r="E10" s="1">
        <f>G10</f>
        <v>44812</v>
      </c>
      <c r="F10" s="1">
        <f>G9</f>
        <v>44632</v>
      </c>
      <c r="G10" s="1">
        <f>F10+180</f>
        <v>44812</v>
      </c>
      <c r="H10" t="s">
        <v>9</v>
      </c>
      <c r="I10" s="2">
        <f>I9+1000000</f>
        <v>11000000</v>
      </c>
      <c r="J10" s="3">
        <v>1E-3</v>
      </c>
    </row>
    <row r="11" spans="2:28" x14ac:dyDescent="0.4">
      <c r="E11" s="1">
        <f t="shared" ref="E11:E14" si="0">G11</f>
        <v>44992</v>
      </c>
      <c r="F11" s="1">
        <f t="shared" ref="F11:F14" si="1">G10</f>
        <v>44812</v>
      </c>
      <c r="G11" s="1">
        <f t="shared" ref="G11:G14" si="2">F11+180</f>
        <v>44992</v>
      </c>
      <c r="H11" t="s">
        <v>9</v>
      </c>
      <c r="I11" s="2">
        <f t="shared" ref="I11:I14" si="3">I10+1000000</f>
        <v>12000000</v>
      </c>
      <c r="J11" s="3">
        <v>1E-3</v>
      </c>
    </row>
    <row r="12" spans="2:28" x14ac:dyDescent="0.4">
      <c r="E12" s="1">
        <f t="shared" si="0"/>
        <v>45172</v>
      </c>
      <c r="F12" s="1">
        <f t="shared" si="1"/>
        <v>44992</v>
      </c>
      <c r="G12" s="1">
        <f t="shared" si="2"/>
        <v>45172</v>
      </c>
      <c r="H12" t="s">
        <v>9</v>
      </c>
      <c r="I12" s="2">
        <f t="shared" si="3"/>
        <v>13000000</v>
      </c>
      <c r="J12" s="3">
        <v>1E-3</v>
      </c>
    </row>
    <row r="13" spans="2:28" x14ac:dyDescent="0.4">
      <c r="E13" s="1">
        <f t="shared" si="0"/>
        <v>45352</v>
      </c>
      <c r="F13" s="1">
        <f t="shared" si="1"/>
        <v>45172</v>
      </c>
      <c r="G13" s="1">
        <f t="shared" si="2"/>
        <v>45352</v>
      </c>
      <c r="H13" t="s">
        <v>9</v>
      </c>
      <c r="I13" s="2">
        <f t="shared" si="3"/>
        <v>14000000</v>
      </c>
      <c r="J13" s="3">
        <v>1E-3</v>
      </c>
    </row>
    <row r="14" spans="2:28" x14ac:dyDescent="0.4">
      <c r="E14" s="1">
        <f t="shared" si="0"/>
        <v>45532</v>
      </c>
      <c r="F14" s="1">
        <f t="shared" si="1"/>
        <v>45352</v>
      </c>
      <c r="G14" s="1">
        <f t="shared" si="2"/>
        <v>45532</v>
      </c>
      <c r="H14" t="s">
        <v>9</v>
      </c>
      <c r="I14" s="2">
        <f t="shared" si="3"/>
        <v>15000000</v>
      </c>
      <c r="J14" s="3">
        <v>1E-3</v>
      </c>
    </row>
    <row r="16" spans="2:28" s="4" customFormat="1" ht="18" x14ac:dyDescent="0.4">
      <c r="E16" s="4" t="s">
        <v>68</v>
      </c>
      <c r="S16" s="4" t="s">
        <v>69</v>
      </c>
      <c r="AB16" s="4" t="s">
        <v>70</v>
      </c>
    </row>
    <row r="18" spans="5:45" x14ac:dyDescent="0.4">
      <c r="E18" t="s">
        <v>29</v>
      </c>
      <c r="I18" t="s">
        <v>31</v>
      </c>
      <c r="S18" t="s">
        <v>28</v>
      </c>
      <c r="W18" t="s">
        <v>30</v>
      </c>
      <c r="AG18" t="s">
        <v>28</v>
      </c>
      <c r="AK18" t="s">
        <v>30</v>
      </c>
    </row>
    <row r="19" spans="5:45" x14ac:dyDescent="0.4">
      <c r="E19" t="str" cm="1">
        <f t="array" ref="E19:F57">_xll.ExLibris.Json.GetJsonKeyValues(F1)</f>
        <v>trade_code</v>
      </c>
      <c r="F19" t="str">
        <v>money_00001</v>
      </c>
      <c r="G19" t="str" cm="1">
        <f t="array" ref="G19">_xll.ExLibris.Json.GetJsonValue($F$1,E19)</f>
        <v>money_00001</v>
      </c>
      <c r="I19" t="str" cm="1">
        <f t="array" ref="I19">_xll.ExLibris.Json.GetJsonValue(F1,E6)</f>
        <v>JsonObject:F09130B6-02A0-4B00-AE8D-5BE3A3F5B275</v>
      </c>
      <c r="P19" t="str" cm="1">
        <f t="array" ref="P19:Q27">_xll.ExLibris.Json.GetJsonKeyValues(F1,,3)</f>
        <v>trade_code</v>
      </c>
      <c r="Q19" t="str">
        <v>money_00001</v>
      </c>
      <c r="S19" t="s">
        <v>14</v>
      </c>
      <c r="T19" t="s">
        <v>16</v>
      </c>
      <c r="U19" t="s">
        <v>16</v>
      </c>
      <c r="AD19" t="s">
        <v>14</v>
      </c>
      <c r="AE19" t="s">
        <v>16</v>
      </c>
      <c r="AG19" t="b">
        <f t="shared" ref="AG19:AG57" si="4">E19=S19</f>
        <v>1</v>
      </c>
      <c r="AH19" t="b">
        <f t="shared" ref="AH19:AH57" si="5">E19=S19</f>
        <v>1</v>
      </c>
      <c r="AI19" t="b">
        <f t="shared" ref="AI19:AI57" si="6">F19=T19</f>
        <v>1</v>
      </c>
      <c r="AR19" t="b">
        <f t="shared" ref="AR19:AS21" si="7">P19=AD19</f>
        <v>1</v>
      </c>
      <c r="AS19" t="b">
        <f t="shared" si="7"/>
        <v>1</v>
      </c>
    </row>
    <row r="20" spans="5:45" x14ac:dyDescent="0.4">
      <c r="E20" t="str">
        <v>couter_party</v>
      </c>
      <c r="F20" t="str">
        <v>CP00001</v>
      </c>
      <c r="G20" t="str" cm="1">
        <f t="array" ref="G20">_xll.ExLibris.Json.GetJsonValue($F$1,E20)</f>
        <v>CP00001</v>
      </c>
      <c r="I20" t="str" cm="1">
        <f t="array" ref="I20:N26">_xll.ExLibris.Json.GetJsonTable(I19)</f>
        <v>payment _date</v>
      </c>
      <c r="J20" t="str">
        <v>start_date</v>
      </c>
      <c r="K20" t="str">
        <v>end_date</v>
      </c>
      <c r="L20" t="str">
        <v>day_count_type</v>
      </c>
      <c r="M20" t="str">
        <v>amout</v>
      </c>
      <c r="N20" t="str">
        <v>fixed_rate</v>
      </c>
      <c r="P20" t="str">
        <v>couter_party</v>
      </c>
      <c r="Q20" t="str">
        <v>CP00001</v>
      </c>
      <c r="S20" t="s">
        <v>18</v>
      </c>
      <c r="T20" t="s">
        <v>20</v>
      </c>
      <c r="U20" t="s">
        <v>20</v>
      </c>
      <c r="W20" t="s">
        <v>0</v>
      </c>
      <c r="X20" t="s">
        <v>2</v>
      </c>
      <c r="Y20" t="s">
        <v>4</v>
      </c>
      <c r="Z20" t="s">
        <v>6</v>
      </c>
      <c r="AA20" t="s">
        <v>10</v>
      </c>
      <c r="AB20" t="s">
        <v>12</v>
      </c>
      <c r="AD20" t="s">
        <v>18</v>
      </c>
      <c r="AE20" t="s">
        <v>20</v>
      </c>
      <c r="AG20" t="b">
        <f t="shared" si="4"/>
        <v>1</v>
      </c>
      <c r="AH20" t="b">
        <f t="shared" si="5"/>
        <v>1</v>
      </c>
      <c r="AI20" t="b">
        <f t="shared" si="6"/>
        <v>1</v>
      </c>
      <c r="AK20" t="b">
        <f t="shared" ref="AK20:AP26" si="8">I20=W20</f>
        <v>1</v>
      </c>
      <c r="AL20" t="b">
        <f t="shared" si="8"/>
        <v>1</v>
      </c>
      <c r="AM20" t="b">
        <f t="shared" si="8"/>
        <v>1</v>
      </c>
      <c r="AN20" t="b">
        <f t="shared" si="8"/>
        <v>1</v>
      </c>
      <c r="AO20" t="b">
        <f t="shared" si="8"/>
        <v>1</v>
      </c>
      <c r="AP20" t="b">
        <f t="shared" si="8"/>
        <v>1</v>
      </c>
      <c r="AR20" t="b">
        <f t="shared" si="7"/>
        <v>1</v>
      </c>
      <c r="AS20" t="b">
        <f t="shared" si="7"/>
        <v>1</v>
      </c>
    </row>
    <row r="21" spans="5:45" x14ac:dyDescent="0.4">
      <c r="E21" t="str">
        <v>fixed_leg.pay_or_recieve</v>
      </c>
      <c r="F21" t="str">
        <v>Receive</v>
      </c>
      <c r="G21" t="str" cm="1">
        <f t="array" ref="G21">_xll.ExLibris.Json.GetJsonValue($F$1,E21)</f>
        <v>Receive</v>
      </c>
      <c r="I21">
        <v>44632</v>
      </c>
      <c r="J21">
        <v>44452</v>
      </c>
      <c r="K21">
        <v>44632</v>
      </c>
      <c r="L21" t="str">
        <v>ACT/360</v>
      </c>
      <c r="M21">
        <v>10000000</v>
      </c>
      <c r="N21">
        <v>1E-3</v>
      </c>
      <c r="P21" t="str">
        <v>fixed_leg.pay_or_recieve</v>
      </c>
      <c r="Q21" t="str">
        <v>Receive</v>
      </c>
      <c r="S21" t="s">
        <v>22</v>
      </c>
      <c r="T21" t="s">
        <v>24</v>
      </c>
      <c r="U21" t="s">
        <v>24</v>
      </c>
      <c r="W21">
        <v>44632</v>
      </c>
      <c r="X21">
        <v>44452</v>
      </c>
      <c r="Y21">
        <v>44632</v>
      </c>
      <c r="Z21" t="s">
        <v>8</v>
      </c>
      <c r="AA21">
        <v>10000000</v>
      </c>
      <c r="AB21">
        <v>1E-3</v>
      </c>
      <c r="AD21" t="s">
        <v>22</v>
      </c>
      <c r="AE21" t="s">
        <v>24</v>
      </c>
      <c r="AG21" t="b">
        <f t="shared" si="4"/>
        <v>1</v>
      </c>
      <c r="AH21" t="b">
        <f t="shared" si="5"/>
        <v>1</v>
      </c>
      <c r="AI21" t="b">
        <f t="shared" si="6"/>
        <v>1</v>
      </c>
      <c r="AK21" t="b">
        <f t="shared" si="8"/>
        <v>1</v>
      </c>
      <c r="AL21" t="b">
        <f t="shared" si="8"/>
        <v>1</v>
      </c>
      <c r="AM21" t="b">
        <f t="shared" si="8"/>
        <v>1</v>
      </c>
      <c r="AN21" t="b">
        <f t="shared" si="8"/>
        <v>1</v>
      </c>
      <c r="AO21" t="b">
        <f t="shared" si="8"/>
        <v>1</v>
      </c>
      <c r="AP21" t="b">
        <f t="shared" si="8"/>
        <v>1</v>
      </c>
      <c r="AR21" t="b">
        <f t="shared" si="7"/>
        <v>1</v>
      </c>
      <c r="AS21" t="b">
        <f t="shared" si="7"/>
        <v>1</v>
      </c>
    </row>
    <row r="22" spans="5:45" x14ac:dyDescent="0.4">
      <c r="E22" t="str">
        <v>fixed_leg.cashflows.[0].payment _date</v>
      </c>
      <c r="F22">
        <v>44632</v>
      </c>
      <c r="G22" cm="1">
        <f t="array" ref="G22">_xll.ExLibris.Json.GetJsonValue($F$1,E22)</f>
        <v>44632</v>
      </c>
      <c r="I22">
        <v>44812</v>
      </c>
      <c r="J22">
        <v>44632</v>
      </c>
      <c r="K22">
        <v>44812</v>
      </c>
      <c r="L22" t="str">
        <v>ACT/360</v>
      </c>
      <c r="M22">
        <v>11000000</v>
      </c>
      <c r="N22">
        <v>1E-3</v>
      </c>
      <c r="P22" t="str">
        <v>fixed_leg.cashflows.[0]</v>
      </c>
      <c r="Q22" t="str">
        <v>JsonObject:BD59C2DA-8848-40AF-90A6-39928677147E</v>
      </c>
      <c r="S22" t="s">
        <v>32</v>
      </c>
      <c r="T22">
        <v>44632</v>
      </c>
      <c r="U22">
        <v>44632</v>
      </c>
      <c r="W22">
        <v>44812</v>
      </c>
      <c r="X22">
        <v>44632</v>
      </c>
      <c r="Y22">
        <v>44812</v>
      </c>
      <c r="Z22" t="s">
        <v>8</v>
      </c>
      <c r="AA22">
        <v>11000000</v>
      </c>
      <c r="AB22">
        <v>1E-3</v>
      </c>
      <c r="AG22" t="b">
        <f t="shared" si="4"/>
        <v>1</v>
      </c>
      <c r="AH22" t="b">
        <f t="shared" si="5"/>
        <v>1</v>
      </c>
      <c r="AI22" t="b">
        <f t="shared" si="6"/>
        <v>1</v>
      </c>
      <c r="AK22" t="b">
        <f t="shared" si="8"/>
        <v>1</v>
      </c>
      <c r="AL22" t="b">
        <f t="shared" si="8"/>
        <v>1</v>
      </c>
      <c r="AM22" t="b">
        <f t="shared" si="8"/>
        <v>1</v>
      </c>
      <c r="AN22" t="b">
        <f t="shared" si="8"/>
        <v>1</v>
      </c>
      <c r="AO22" t="b">
        <f t="shared" si="8"/>
        <v>1</v>
      </c>
      <c r="AP22" t="b">
        <f t="shared" si="8"/>
        <v>1</v>
      </c>
    </row>
    <row r="23" spans="5:45" x14ac:dyDescent="0.4">
      <c r="E23" t="str">
        <v>fixed_leg.cashflows.[0].start_date</v>
      </c>
      <c r="F23">
        <v>44452</v>
      </c>
      <c r="G23" cm="1">
        <f t="array" ref="G23">_xll.ExLibris.Json.GetJsonValue($F$1,E23)</f>
        <v>44452</v>
      </c>
      <c r="I23">
        <v>44992</v>
      </c>
      <c r="J23">
        <v>44812</v>
      </c>
      <c r="K23">
        <v>44992</v>
      </c>
      <c r="L23" t="str">
        <v>ACT/360</v>
      </c>
      <c r="M23">
        <v>12000000</v>
      </c>
      <c r="N23">
        <v>1E-3</v>
      </c>
      <c r="P23" t="str">
        <v>fixed_leg.cashflows.[1]</v>
      </c>
      <c r="Q23" t="str">
        <v>JsonObject:3D2FD644-3E16-434F-A644-D01BA3288D17</v>
      </c>
      <c r="S23" t="s">
        <v>33</v>
      </c>
      <c r="T23">
        <v>44452</v>
      </c>
      <c r="U23">
        <v>44452</v>
      </c>
      <c r="W23">
        <v>44992</v>
      </c>
      <c r="X23">
        <v>44812</v>
      </c>
      <c r="Y23">
        <v>44992</v>
      </c>
      <c r="Z23" t="s">
        <v>8</v>
      </c>
      <c r="AA23">
        <v>12000000</v>
      </c>
      <c r="AB23">
        <v>1E-3</v>
      </c>
      <c r="AG23" t="b">
        <f t="shared" si="4"/>
        <v>1</v>
      </c>
      <c r="AH23" t="b">
        <f t="shared" si="5"/>
        <v>1</v>
      </c>
      <c r="AI23" t="b">
        <f t="shared" si="6"/>
        <v>1</v>
      </c>
      <c r="AK23" t="b">
        <f t="shared" si="8"/>
        <v>1</v>
      </c>
      <c r="AL23" t="b">
        <f t="shared" si="8"/>
        <v>1</v>
      </c>
      <c r="AM23" t="b">
        <f t="shared" si="8"/>
        <v>1</v>
      </c>
      <c r="AN23" t="b">
        <f t="shared" si="8"/>
        <v>1</v>
      </c>
      <c r="AO23" t="b">
        <f t="shared" si="8"/>
        <v>1</v>
      </c>
      <c r="AP23" t="b">
        <f t="shared" si="8"/>
        <v>1</v>
      </c>
    </row>
    <row r="24" spans="5:45" x14ac:dyDescent="0.4">
      <c r="E24" t="str">
        <v>fixed_leg.cashflows.[0].end_date</v>
      </c>
      <c r="F24">
        <v>44632</v>
      </c>
      <c r="G24" cm="1">
        <f t="array" ref="G24">_xll.ExLibris.Json.GetJsonValue($F$1,E24)</f>
        <v>44632</v>
      </c>
      <c r="I24">
        <v>45172</v>
      </c>
      <c r="J24">
        <v>44992</v>
      </c>
      <c r="K24">
        <v>45172</v>
      </c>
      <c r="L24" t="str">
        <v>ACT/360</v>
      </c>
      <c r="M24">
        <v>13000000</v>
      </c>
      <c r="N24">
        <v>1E-3</v>
      </c>
      <c r="P24" t="str">
        <v>fixed_leg.cashflows.[2]</v>
      </c>
      <c r="Q24" t="str">
        <v>JsonObject:D1165749-B228-4A3C-B5ED-4341864275D9</v>
      </c>
      <c r="S24" t="s">
        <v>34</v>
      </c>
      <c r="T24">
        <v>44632</v>
      </c>
      <c r="U24">
        <v>44632</v>
      </c>
      <c r="W24">
        <v>45172</v>
      </c>
      <c r="X24">
        <v>44992</v>
      </c>
      <c r="Y24">
        <v>45172</v>
      </c>
      <c r="Z24" t="s">
        <v>8</v>
      </c>
      <c r="AA24">
        <v>13000000</v>
      </c>
      <c r="AB24">
        <v>1E-3</v>
      </c>
      <c r="AG24" t="b">
        <f t="shared" si="4"/>
        <v>1</v>
      </c>
      <c r="AH24" t="b">
        <f t="shared" si="5"/>
        <v>1</v>
      </c>
      <c r="AI24" t="b">
        <f t="shared" si="6"/>
        <v>1</v>
      </c>
      <c r="AK24" t="b">
        <f t="shared" si="8"/>
        <v>1</v>
      </c>
      <c r="AL24" t="b">
        <f t="shared" si="8"/>
        <v>1</v>
      </c>
      <c r="AM24" t="b">
        <f t="shared" si="8"/>
        <v>1</v>
      </c>
      <c r="AN24" t="b">
        <f t="shared" si="8"/>
        <v>1</v>
      </c>
      <c r="AO24" t="b">
        <f t="shared" si="8"/>
        <v>1</v>
      </c>
      <c r="AP24" t="b">
        <f t="shared" si="8"/>
        <v>1</v>
      </c>
    </row>
    <row r="25" spans="5:45" x14ac:dyDescent="0.4">
      <c r="E25" t="str">
        <v>fixed_leg.cashflows.[0].day_count_type</v>
      </c>
      <c r="F25" t="str">
        <v>ACT/360</v>
      </c>
      <c r="G25" t="str" cm="1">
        <f t="array" ref="G25">_xll.ExLibris.Json.GetJsonValue($F$1,E25)</f>
        <v>ACT/360</v>
      </c>
      <c r="I25">
        <v>45352</v>
      </c>
      <c r="J25">
        <v>45172</v>
      </c>
      <c r="K25">
        <v>45352</v>
      </c>
      <c r="L25" t="str">
        <v>ACT/360</v>
      </c>
      <c r="M25">
        <v>14000000</v>
      </c>
      <c r="N25">
        <v>1E-3</v>
      </c>
      <c r="P25" t="str">
        <v>fixed_leg.cashflows.[3]</v>
      </c>
      <c r="Q25" t="str">
        <v>JsonObject:8E2E6C33-8257-4332-AD25-7A887D0623E4</v>
      </c>
      <c r="S25" t="s">
        <v>35</v>
      </c>
      <c r="T25" t="s">
        <v>8</v>
      </c>
      <c r="U25" t="s">
        <v>8</v>
      </c>
      <c r="W25">
        <v>45352</v>
      </c>
      <c r="X25">
        <v>45172</v>
      </c>
      <c r="Y25">
        <v>45352</v>
      </c>
      <c r="Z25" t="s">
        <v>8</v>
      </c>
      <c r="AA25">
        <v>14000000</v>
      </c>
      <c r="AB25">
        <v>1E-3</v>
      </c>
      <c r="AG25" t="b">
        <f t="shared" si="4"/>
        <v>1</v>
      </c>
      <c r="AH25" t="b">
        <f t="shared" si="5"/>
        <v>1</v>
      </c>
      <c r="AI25" t="b">
        <f t="shared" si="6"/>
        <v>1</v>
      </c>
      <c r="AK25" t="b">
        <f t="shared" si="8"/>
        <v>1</v>
      </c>
      <c r="AL25" t="b">
        <f t="shared" si="8"/>
        <v>1</v>
      </c>
      <c r="AM25" t="b">
        <f t="shared" si="8"/>
        <v>1</v>
      </c>
      <c r="AN25" t="b">
        <f t="shared" si="8"/>
        <v>1</v>
      </c>
      <c r="AO25" t="b">
        <f t="shared" si="8"/>
        <v>1</v>
      </c>
      <c r="AP25" t="b">
        <f t="shared" si="8"/>
        <v>1</v>
      </c>
    </row>
    <row r="26" spans="5:45" x14ac:dyDescent="0.4">
      <c r="E26" t="str">
        <v>fixed_leg.cashflows.[0].amout</v>
      </c>
      <c r="F26">
        <v>10000000</v>
      </c>
      <c r="G26" cm="1">
        <f t="array" ref="G26">_xll.ExLibris.Json.GetJsonValue($F$1,E26)</f>
        <v>10000000</v>
      </c>
      <c r="I26">
        <v>45532</v>
      </c>
      <c r="J26">
        <v>45352</v>
      </c>
      <c r="K26">
        <v>45532</v>
      </c>
      <c r="L26" t="str">
        <v>ACT/360</v>
      </c>
      <c r="M26">
        <v>15000000</v>
      </c>
      <c r="N26">
        <v>1E-3</v>
      </c>
      <c r="P26" t="str">
        <v>fixed_leg.cashflows.[4]</v>
      </c>
      <c r="Q26" t="str">
        <v>JsonObject:A185EF13-65F7-4558-801D-AA0CBEE79243</v>
      </c>
      <c r="S26" t="s">
        <v>36</v>
      </c>
      <c r="T26">
        <v>10000000</v>
      </c>
      <c r="U26">
        <v>10000000</v>
      </c>
      <c r="W26">
        <v>45532</v>
      </c>
      <c r="X26">
        <v>45352</v>
      </c>
      <c r="Y26">
        <v>45532</v>
      </c>
      <c r="Z26" t="s">
        <v>8</v>
      </c>
      <c r="AA26">
        <v>15000000</v>
      </c>
      <c r="AB26">
        <v>1E-3</v>
      </c>
      <c r="AG26" t="b">
        <f t="shared" si="4"/>
        <v>1</v>
      </c>
      <c r="AH26" t="b">
        <f t="shared" si="5"/>
        <v>1</v>
      </c>
      <c r="AI26" t="b">
        <f t="shared" si="6"/>
        <v>1</v>
      </c>
      <c r="AK26" t="b">
        <f t="shared" si="8"/>
        <v>1</v>
      </c>
      <c r="AL26" t="b">
        <f t="shared" si="8"/>
        <v>1</v>
      </c>
      <c r="AM26" t="b">
        <f t="shared" si="8"/>
        <v>1</v>
      </c>
      <c r="AN26" t="b">
        <f t="shared" si="8"/>
        <v>1</v>
      </c>
      <c r="AO26" t="b">
        <f t="shared" si="8"/>
        <v>1</v>
      </c>
      <c r="AP26" t="b">
        <f t="shared" si="8"/>
        <v>1</v>
      </c>
    </row>
    <row r="27" spans="5:45" x14ac:dyDescent="0.4">
      <c r="E27" t="str">
        <v>fixed_leg.cashflows.[0].fixed_rate</v>
      </c>
      <c r="F27">
        <v>1E-3</v>
      </c>
      <c r="G27" cm="1">
        <f t="array" ref="G27">_xll.ExLibris.Json.GetJsonValue($F$1,E27)</f>
        <v>1E-3</v>
      </c>
      <c r="P27" t="str">
        <v>fixed_leg.cashflows.[5]</v>
      </c>
      <c r="Q27" t="str">
        <v>JsonObject:9402D57D-4B1F-4F90-AA5D-3B278510A703</v>
      </c>
      <c r="S27" t="s">
        <v>37</v>
      </c>
      <c r="T27">
        <v>1E-3</v>
      </c>
      <c r="U27">
        <v>1E-3</v>
      </c>
      <c r="AG27" t="b">
        <f t="shared" si="4"/>
        <v>1</v>
      </c>
      <c r="AH27" t="b">
        <f t="shared" si="5"/>
        <v>1</v>
      </c>
      <c r="AI27" t="b">
        <f t="shared" si="6"/>
        <v>1</v>
      </c>
    </row>
    <row r="28" spans="5:45" x14ac:dyDescent="0.4">
      <c r="E28" t="str">
        <v>fixed_leg.cashflows.[1].payment _date</v>
      </c>
      <c r="F28">
        <v>44812</v>
      </c>
      <c r="G28" cm="1">
        <f t="array" ref="G28">_xll.ExLibris.Json.GetJsonValue($F$1,E28)</f>
        <v>44812</v>
      </c>
      <c r="I28" t="str" cm="1">
        <f t="array" ref="I28">_xll.ExLibris.Json.GetJsonValue(I19,"[2]")</f>
        <v>JsonObject:F8BB01C6-302D-4904-B877-62B4AC695114</v>
      </c>
      <c r="S28" t="s">
        <v>38</v>
      </c>
      <c r="T28">
        <v>44812</v>
      </c>
      <c r="U28">
        <v>44812</v>
      </c>
      <c r="AG28" t="b">
        <f t="shared" si="4"/>
        <v>1</v>
      </c>
      <c r="AH28" t="b">
        <f t="shared" si="5"/>
        <v>1</v>
      </c>
      <c r="AI28" t="b">
        <f t="shared" si="6"/>
        <v>1</v>
      </c>
    </row>
    <row r="29" spans="5:45" x14ac:dyDescent="0.4">
      <c r="E29" t="str">
        <v>fixed_leg.cashflows.[1].start_date</v>
      </c>
      <c r="F29">
        <v>44632</v>
      </c>
      <c r="G29" cm="1">
        <f t="array" ref="G29">_xll.ExLibris.Json.GetJsonValue($F$1,E29)</f>
        <v>44632</v>
      </c>
      <c r="I29" t="str" cm="1">
        <f t="array" ref="I29:N30">_xll.ExLibris.Json.GetJsonTable(I28)</f>
        <v>payment _date</v>
      </c>
      <c r="J29" t="str">
        <v>start_date</v>
      </c>
      <c r="K29" t="str">
        <v>end_date</v>
      </c>
      <c r="L29" t="str">
        <v>day_count_type</v>
      </c>
      <c r="M29" t="str">
        <v>amout</v>
      </c>
      <c r="N29" t="str">
        <v>fixed_rate</v>
      </c>
      <c r="P29" t="str" cm="1">
        <f t="array" ref="P29">_xll.ExLibris.Json.CreateJsonObject(P22:Q27)</f>
        <v>JsonObject:79F2B0F8-C10E-40F7-9107-285AD72A7644</v>
      </c>
      <c r="S29" t="s">
        <v>39</v>
      </c>
      <c r="T29">
        <v>44632</v>
      </c>
      <c r="U29">
        <v>44632</v>
      </c>
      <c r="W29" t="s">
        <v>0</v>
      </c>
      <c r="X29" t="s">
        <v>2</v>
      </c>
      <c r="Y29" t="s">
        <v>4</v>
      </c>
      <c r="Z29" t="s">
        <v>6</v>
      </c>
      <c r="AA29" t="s">
        <v>10</v>
      </c>
      <c r="AB29" t="s">
        <v>12</v>
      </c>
      <c r="AG29" t="b">
        <f t="shared" si="4"/>
        <v>1</v>
      </c>
      <c r="AH29" t="b">
        <f t="shared" si="5"/>
        <v>1</v>
      </c>
      <c r="AI29" t="b">
        <f t="shared" si="6"/>
        <v>1</v>
      </c>
      <c r="AK29" t="b">
        <f t="shared" ref="AK29:AP30" si="9">I29=W29</f>
        <v>1</v>
      </c>
      <c r="AL29" t="b">
        <f t="shared" si="9"/>
        <v>1</v>
      </c>
      <c r="AM29" t="b">
        <f t="shared" si="9"/>
        <v>1</v>
      </c>
      <c r="AN29" t="b">
        <f t="shared" si="9"/>
        <v>1</v>
      </c>
      <c r="AO29" t="b">
        <f t="shared" si="9"/>
        <v>1</v>
      </c>
      <c r="AP29" t="b">
        <f t="shared" si="9"/>
        <v>1</v>
      </c>
    </row>
    <row r="30" spans="5:45" x14ac:dyDescent="0.4">
      <c r="E30" t="str">
        <v>fixed_leg.cashflows.[1].end_date</v>
      </c>
      <c r="F30">
        <v>44812</v>
      </c>
      <c r="G30" cm="1">
        <f t="array" ref="G30">_xll.ExLibris.Json.GetJsonValue($F$1,E30)</f>
        <v>44812</v>
      </c>
      <c r="I30">
        <v>44992</v>
      </c>
      <c r="J30">
        <v>44812</v>
      </c>
      <c r="K30">
        <v>44992</v>
      </c>
      <c r="L30" t="str">
        <v>ACT/360</v>
      </c>
      <c r="M30">
        <v>12000000</v>
      </c>
      <c r="N30">
        <v>1E-3</v>
      </c>
      <c r="P30" t="str" cm="1">
        <f t="array" ref="P30:Q65">_xll.ExLibris.Json.GetJsonKeyValues(P29)</f>
        <v>fixed_leg.cashflows.[0].payment _date</v>
      </c>
      <c r="Q30">
        <v>44632</v>
      </c>
      <c r="S30" t="s">
        <v>40</v>
      </c>
      <c r="T30">
        <v>44812</v>
      </c>
      <c r="U30">
        <v>44812</v>
      </c>
      <c r="W30">
        <v>44992</v>
      </c>
      <c r="X30">
        <v>44812</v>
      </c>
      <c r="Y30">
        <v>44992</v>
      </c>
      <c r="Z30" t="s">
        <v>8</v>
      </c>
      <c r="AA30">
        <v>12000000</v>
      </c>
      <c r="AB30">
        <v>1E-3</v>
      </c>
      <c r="AD30" t="s">
        <v>32</v>
      </c>
      <c r="AE30">
        <v>44632</v>
      </c>
      <c r="AG30" t="b">
        <f t="shared" si="4"/>
        <v>1</v>
      </c>
      <c r="AH30" t="b">
        <f t="shared" si="5"/>
        <v>1</v>
      </c>
      <c r="AI30" t="b">
        <f t="shared" si="6"/>
        <v>1</v>
      </c>
      <c r="AK30" t="b">
        <f t="shared" si="9"/>
        <v>1</v>
      </c>
      <c r="AL30" t="b">
        <f t="shared" si="9"/>
        <v>1</v>
      </c>
      <c r="AM30" t="b">
        <f t="shared" si="9"/>
        <v>1</v>
      </c>
      <c r="AN30" t="b">
        <f t="shared" si="9"/>
        <v>1</v>
      </c>
      <c r="AO30" t="b">
        <f t="shared" si="9"/>
        <v>1</v>
      </c>
      <c r="AP30" t="b">
        <f t="shared" si="9"/>
        <v>1</v>
      </c>
      <c r="AR30" t="b">
        <f t="shared" ref="AR30:AR64" si="10">P30=AD30</f>
        <v>1</v>
      </c>
      <c r="AS30" t="b">
        <f t="shared" ref="AS30:AS64" si="11">Q30=AE30</f>
        <v>1</v>
      </c>
    </row>
    <row r="31" spans="5:45" x14ac:dyDescent="0.4">
      <c r="E31" t="str">
        <v>fixed_leg.cashflows.[1].day_count_type</v>
      </c>
      <c r="F31" t="str">
        <v>ACT/360</v>
      </c>
      <c r="G31" t="str" cm="1">
        <f t="array" ref="G31">_xll.ExLibris.Json.GetJsonValue($F$1,E31)</f>
        <v>ACT/360</v>
      </c>
      <c r="P31" t="str">
        <v>fixed_leg.cashflows.[0].start_date</v>
      </c>
      <c r="Q31">
        <v>44452</v>
      </c>
      <c r="S31" t="s">
        <v>41</v>
      </c>
      <c r="T31" t="s">
        <v>8</v>
      </c>
      <c r="U31" t="s">
        <v>8</v>
      </c>
      <c r="AD31" t="s">
        <v>33</v>
      </c>
      <c r="AE31">
        <v>44452</v>
      </c>
      <c r="AG31" t="b">
        <f t="shared" si="4"/>
        <v>1</v>
      </c>
      <c r="AH31" t="b">
        <f t="shared" si="5"/>
        <v>1</v>
      </c>
      <c r="AI31" t="b">
        <f t="shared" si="6"/>
        <v>1</v>
      </c>
      <c r="AR31" t="b">
        <f t="shared" si="10"/>
        <v>1</v>
      </c>
      <c r="AS31" t="b">
        <f t="shared" si="11"/>
        <v>1</v>
      </c>
    </row>
    <row r="32" spans="5:45" x14ac:dyDescent="0.4">
      <c r="E32" t="str">
        <v>fixed_leg.cashflows.[1].amout</v>
      </c>
      <c r="F32">
        <v>11000000</v>
      </c>
      <c r="G32" cm="1">
        <f t="array" ref="G32">_xll.ExLibris.Json.GetJsonValue($F$1,E32)</f>
        <v>11000000</v>
      </c>
      <c r="P32" t="str">
        <v>fixed_leg.cashflows.[0].end_date</v>
      </c>
      <c r="Q32">
        <v>44632</v>
      </c>
      <c r="S32" t="s">
        <v>42</v>
      </c>
      <c r="T32">
        <v>11000000</v>
      </c>
      <c r="U32">
        <v>11000000</v>
      </c>
      <c r="AD32" t="s">
        <v>34</v>
      </c>
      <c r="AE32">
        <v>44632</v>
      </c>
      <c r="AG32" t="b">
        <f t="shared" si="4"/>
        <v>1</v>
      </c>
      <c r="AH32" t="b">
        <f t="shared" si="5"/>
        <v>1</v>
      </c>
      <c r="AI32" t="b">
        <f t="shared" si="6"/>
        <v>1</v>
      </c>
      <c r="AR32" t="b">
        <f t="shared" si="10"/>
        <v>1</v>
      </c>
      <c r="AS32" t="b">
        <f t="shared" si="11"/>
        <v>1</v>
      </c>
    </row>
    <row r="33" spans="5:45" x14ac:dyDescent="0.4">
      <c r="E33" t="str">
        <v>fixed_leg.cashflows.[1].fixed_rate</v>
      </c>
      <c r="F33">
        <v>1E-3</v>
      </c>
      <c r="G33" cm="1">
        <f t="array" ref="G33">_xll.ExLibris.Json.GetJsonValue($F$1,E33)</f>
        <v>1E-3</v>
      </c>
      <c r="P33" t="str">
        <v>fixed_leg.cashflows.[0].day_count_type</v>
      </c>
      <c r="Q33" t="str">
        <v>ACT/360</v>
      </c>
      <c r="S33" t="s">
        <v>43</v>
      </c>
      <c r="T33">
        <v>1E-3</v>
      </c>
      <c r="U33">
        <v>1E-3</v>
      </c>
      <c r="AD33" t="s">
        <v>35</v>
      </c>
      <c r="AE33" t="s">
        <v>8</v>
      </c>
      <c r="AG33" t="b">
        <f t="shared" si="4"/>
        <v>1</v>
      </c>
      <c r="AH33" t="b">
        <f t="shared" si="5"/>
        <v>1</v>
      </c>
      <c r="AI33" t="b">
        <f t="shared" si="6"/>
        <v>1</v>
      </c>
      <c r="AR33" t="b">
        <f t="shared" si="10"/>
        <v>1</v>
      </c>
      <c r="AS33" t="b">
        <f t="shared" si="11"/>
        <v>1</v>
      </c>
    </row>
    <row r="34" spans="5:45" x14ac:dyDescent="0.4">
      <c r="E34" t="str">
        <v>fixed_leg.cashflows.[2].payment _date</v>
      </c>
      <c r="F34">
        <v>44992</v>
      </c>
      <c r="G34" cm="1">
        <f t="array" ref="G34">_xll.ExLibris.Json.GetJsonValue($F$1,E34)</f>
        <v>44992</v>
      </c>
      <c r="P34" t="str">
        <v>fixed_leg.cashflows.[0].amout</v>
      </c>
      <c r="Q34">
        <v>10000000</v>
      </c>
      <c r="S34" t="s">
        <v>44</v>
      </c>
      <c r="T34">
        <v>44992</v>
      </c>
      <c r="U34">
        <v>44992</v>
      </c>
      <c r="AD34" t="s">
        <v>36</v>
      </c>
      <c r="AE34">
        <v>10000000</v>
      </c>
      <c r="AG34" t="b">
        <f t="shared" si="4"/>
        <v>1</v>
      </c>
      <c r="AH34" t="b">
        <f t="shared" si="5"/>
        <v>1</v>
      </c>
      <c r="AI34" t="b">
        <f t="shared" si="6"/>
        <v>1</v>
      </c>
      <c r="AR34" t="b">
        <f t="shared" si="10"/>
        <v>1</v>
      </c>
      <c r="AS34" t="b">
        <f t="shared" si="11"/>
        <v>1</v>
      </c>
    </row>
    <row r="35" spans="5:45" x14ac:dyDescent="0.4">
      <c r="E35" t="str">
        <v>fixed_leg.cashflows.[2].start_date</v>
      </c>
      <c r="F35">
        <v>44812</v>
      </c>
      <c r="G35" cm="1">
        <f t="array" ref="G35">_xll.ExLibris.Json.GetJsonValue($F$1,E35)</f>
        <v>44812</v>
      </c>
      <c r="P35" t="str">
        <v>fixed_leg.cashflows.[0].fixed_rate</v>
      </c>
      <c r="Q35">
        <v>1E-3</v>
      </c>
      <c r="S35" t="s">
        <v>45</v>
      </c>
      <c r="T35">
        <v>44812</v>
      </c>
      <c r="U35">
        <v>44812</v>
      </c>
      <c r="AD35" t="s">
        <v>37</v>
      </c>
      <c r="AE35">
        <v>1E-3</v>
      </c>
      <c r="AG35" t="b">
        <f t="shared" si="4"/>
        <v>1</v>
      </c>
      <c r="AH35" t="b">
        <f t="shared" si="5"/>
        <v>1</v>
      </c>
      <c r="AI35" t="b">
        <f t="shared" si="6"/>
        <v>1</v>
      </c>
      <c r="AR35" t="b">
        <f t="shared" si="10"/>
        <v>1</v>
      </c>
      <c r="AS35" t="b">
        <f t="shared" si="11"/>
        <v>1</v>
      </c>
    </row>
    <row r="36" spans="5:45" x14ac:dyDescent="0.4">
      <c r="E36" t="str">
        <v>fixed_leg.cashflows.[2].end_date</v>
      </c>
      <c r="F36">
        <v>44992</v>
      </c>
      <c r="G36" cm="1">
        <f t="array" ref="G36">_xll.ExLibris.Json.GetJsonValue($F$1,E36)</f>
        <v>44992</v>
      </c>
      <c r="P36" t="str">
        <v>fixed_leg.cashflows.[1].payment _date</v>
      </c>
      <c r="Q36">
        <v>44812</v>
      </c>
      <c r="S36" t="s">
        <v>46</v>
      </c>
      <c r="T36">
        <v>44992</v>
      </c>
      <c r="U36">
        <v>44992</v>
      </c>
      <c r="AD36" t="s">
        <v>38</v>
      </c>
      <c r="AE36">
        <v>44812</v>
      </c>
      <c r="AG36" t="b">
        <f t="shared" si="4"/>
        <v>1</v>
      </c>
      <c r="AH36" t="b">
        <f t="shared" si="5"/>
        <v>1</v>
      </c>
      <c r="AI36" t="b">
        <f t="shared" si="6"/>
        <v>1</v>
      </c>
      <c r="AR36" t="b">
        <f t="shared" si="10"/>
        <v>1</v>
      </c>
      <c r="AS36" t="b">
        <f t="shared" si="11"/>
        <v>1</v>
      </c>
    </row>
    <row r="37" spans="5:45" x14ac:dyDescent="0.4">
      <c r="E37" t="str">
        <v>fixed_leg.cashflows.[2].day_count_type</v>
      </c>
      <c r="F37" t="str">
        <v>ACT/360</v>
      </c>
      <c r="G37" t="str" cm="1">
        <f t="array" ref="G37">_xll.ExLibris.Json.GetJsonValue($F$1,E37)</f>
        <v>ACT/360</v>
      </c>
      <c r="P37" t="str">
        <v>fixed_leg.cashflows.[1].start_date</v>
      </c>
      <c r="Q37">
        <v>44632</v>
      </c>
      <c r="S37" t="s">
        <v>47</v>
      </c>
      <c r="T37" t="s">
        <v>8</v>
      </c>
      <c r="U37" t="s">
        <v>8</v>
      </c>
      <c r="AD37" t="s">
        <v>39</v>
      </c>
      <c r="AE37">
        <v>44632</v>
      </c>
      <c r="AG37" t="b">
        <f t="shared" si="4"/>
        <v>1</v>
      </c>
      <c r="AH37" t="b">
        <f t="shared" si="5"/>
        <v>1</v>
      </c>
      <c r="AI37" t="b">
        <f t="shared" si="6"/>
        <v>1</v>
      </c>
      <c r="AR37" t="b">
        <f t="shared" si="10"/>
        <v>1</v>
      </c>
      <c r="AS37" t="b">
        <f t="shared" si="11"/>
        <v>1</v>
      </c>
    </row>
    <row r="38" spans="5:45" x14ac:dyDescent="0.4">
      <c r="E38" t="str">
        <v>fixed_leg.cashflows.[2].amout</v>
      </c>
      <c r="F38">
        <v>12000000</v>
      </c>
      <c r="G38" cm="1">
        <f t="array" ref="G38">_xll.ExLibris.Json.GetJsonValue($F$1,E38)</f>
        <v>12000000</v>
      </c>
      <c r="P38" t="str">
        <v>fixed_leg.cashflows.[1].end_date</v>
      </c>
      <c r="Q38">
        <v>44812</v>
      </c>
      <c r="S38" t="s">
        <v>48</v>
      </c>
      <c r="T38">
        <v>12000000</v>
      </c>
      <c r="U38">
        <v>12000000</v>
      </c>
      <c r="AD38" t="s">
        <v>40</v>
      </c>
      <c r="AE38">
        <v>44812</v>
      </c>
      <c r="AG38" t="b">
        <f t="shared" si="4"/>
        <v>1</v>
      </c>
      <c r="AH38" t="b">
        <f t="shared" si="5"/>
        <v>1</v>
      </c>
      <c r="AI38" t="b">
        <f t="shared" si="6"/>
        <v>1</v>
      </c>
      <c r="AR38" t="b">
        <f t="shared" si="10"/>
        <v>1</v>
      </c>
      <c r="AS38" t="b">
        <f t="shared" si="11"/>
        <v>1</v>
      </c>
    </row>
    <row r="39" spans="5:45" x14ac:dyDescent="0.4">
      <c r="E39" t="str">
        <v>fixed_leg.cashflows.[2].fixed_rate</v>
      </c>
      <c r="F39">
        <v>1E-3</v>
      </c>
      <c r="G39" cm="1">
        <f t="array" ref="G39">_xll.ExLibris.Json.GetJsonValue($F$1,E39)</f>
        <v>1E-3</v>
      </c>
      <c r="P39" t="str">
        <v>fixed_leg.cashflows.[1].day_count_type</v>
      </c>
      <c r="Q39" t="str">
        <v>ACT/360</v>
      </c>
      <c r="S39" t="s">
        <v>49</v>
      </c>
      <c r="T39">
        <v>1E-3</v>
      </c>
      <c r="U39">
        <v>1E-3</v>
      </c>
      <c r="AD39" t="s">
        <v>41</v>
      </c>
      <c r="AE39" t="s">
        <v>8</v>
      </c>
      <c r="AG39" t="b">
        <f t="shared" si="4"/>
        <v>1</v>
      </c>
      <c r="AH39" t="b">
        <f t="shared" si="5"/>
        <v>1</v>
      </c>
      <c r="AI39" t="b">
        <f t="shared" si="6"/>
        <v>1</v>
      </c>
      <c r="AR39" t="b">
        <f t="shared" si="10"/>
        <v>1</v>
      </c>
      <c r="AS39" t="b">
        <f t="shared" si="11"/>
        <v>1</v>
      </c>
    </row>
    <row r="40" spans="5:45" x14ac:dyDescent="0.4">
      <c r="E40" t="str">
        <v>fixed_leg.cashflows.[3].payment _date</v>
      </c>
      <c r="F40">
        <v>45172</v>
      </c>
      <c r="G40" cm="1">
        <f t="array" ref="G40">_xll.ExLibris.Json.GetJsonValue($F$1,E40)</f>
        <v>45172</v>
      </c>
      <c r="P40" t="str">
        <v>fixed_leg.cashflows.[1].amout</v>
      </c>
      <c r="Q40">
        <v>11000000</v>
      </c>
      <c r="S40" t="s">
        <v>50</v>
      </c>
      <c r="T40">
        <v>45172</v>
      </c>
      <c r="U40">
        <v>45172</v>
      </c>
      <c r="AD40" t="s">
        <v>42</v>
      </c>
      <c r="AE40">
        <v>11000000</v>
      </c>
      <c r="AG40" t="b">
        <f t="shared" si="4"/>
        <v>1</v>
      </c>
      <c r="AH40" t="b">
        <f t="shared" si="5"/>
        <v>1</v>
      </c>
      <c r="AI40" t="b">
        <f t="shared" si="6"/>
        <v>1</v>
      </c>
      <c r="AR40" t="b">
        <f t="shared" si="10"/>
        <v>1</v>
      </c>
      <c r="AS40" t="b">
        <f t="shared" si="11"/>
        <v>1</v>
      </c>
    </row>
    <row r="41" spans="5:45" x14ac:dyDescent="0.4">
      <c r="E41" t="str">
        <v>fixed_leg.cashflows.[3].start_date</v>
      </c>
      <c r="F41">
        <v>44992</v>
      </c>
      <c r="G41" cm="1">
        <f t="array" ref="G41">_xll.ExLibris.Json.GetJsonValue($F$1,E41)</f>
        <v>44992</v>
      </c>
      <c r="P41" t="str">
        <v>fixed_leg.cashflows.[1].fixed_rate</v>
      </c>
      <c r="Q41">
        <v>1E-3</v>
      </c>
      <c r="S41" t="s">
        <v>51</v>
      </c>
      <c r="T41">
        <v>44992</v>
      </c>
      <c r="U41">
        <v>44992</v>
      </c>
      <c r="AD41" t="s">
        <v>43</v>
      </c>
      <c r="AE41">
        <v>1E-3</v>
      </c>
      <c r="AG41" t="b">
        <f t="shared" si="4"/>
        <v>1</v>
      </c>
      <c r="AH41" t="b">
        <f t="shared" si="5"/>
        <v>1</v>
      </c>
      <c r="AI41" t="b">
        <f t="shared" si="6"/>
        <v>1</v>
      </c>
      <c r="AR41" t="b">
        <f t="shared" si="10"/>
        <v>1</v>
      </c>
      <c r="AS41" t="b">
        <f t="shared" si="11"/>
        <v>1</v>
      </c>
    </row>
    <row r="42" spans="5:45" x14ac:dyDescent="0.4">
      <c r="E42" t="str">
        <v>fixed_leg.cashflows.[3].end_date</v>
      </c>
      <c r="F42">
        <v>45172</v>
      </c>
      <c r="G42" cm="1">
        <f t="array" ref="G42">_xll.ExLibris.Json.GetJsonValue($F$1,E42)</f>
        <v>45172</v>
      </c>
      <c r="P42" t="str">
        <v>fixed_leg.cashflows.[2].payment _date</v>
      </c>
      <c r="Q42">
        <v>44992</v>
      </c>
      <c r="S42" t="s">
        <v>52</v>
      </c>
      <c r="T42">
        <v>45172</v>
      </c>
      <c r="U42">
        <v>45172</v>
      </c>
      <c r="AD42" t="s">
        <v>44</v>
      </c>
      <c r="AE42">
        <v>44992</v>
      </c>
      <c r="AG42" t="b">
        <f t="shared" si="4"/>
        <v>1</v>
      </c>
      <c r="AH42" t="b">
        <f t="shared" si="5"/>
        <v>1</v>
      </c>
      <c r="AI42" t="b">
        <f t="shared" si="6"/>
        <v>1</v>
      </c>
      <c r="AR42" t="b">
        <f t="shared" si="10"/>
        <v>1</v>
      </c>
      <c r="AS42" t="b">
        <f t="shared" si="11"/>
        <v>1</v>
      </c>
    </row>
    <row r="43" spans="5:45" x14ac:dyDescent="0.4">
      <c r="E43" t="str">
        <v>fixed_leg.cashflows.[3].day_count_type</v>
      </c>
      <c r="F43" t="str">
        <v>ACT/360</v>
      </c>
      <c r="G43" t="str" cm="1">
        <f t="array" ref="G43">_xll.ExLibris.Json.GetJsonValue($F$1,E43)</f>
        <v>ACT/360</v>
      </c>
      <c r="P43" t="str">
        <v>fixed_leg.cashflows.[2].start_date</v>
      </c>
      <c r="Q43">
        <v>44812</v>
      </c>
      <c r="S43" t="s">
        <v>53</v>
      </c>
      <c r="T43" t="s">
        <v>8</v>
      </c>
      <c r="U43" t="s">
        <v>8</v>
      </c>
      <c r="AD43" t="s">
        <v>45</v>
      </c>
      <c r="AE43">
        <v>44812</v>
      </c>
      <c r="AG43" t="b">
        <f t="shared" si="4"/>
        <v>1</v>
      </c>
      <c r="AH43" t="b">
        <f t="shared" si="5"/>
        <v>1</v>
      </c>
      <c r="AI43" t="b">
        <f t="shared" si="6"/>
        <v>1</v>
      </c>
      <c r="AR43" t="b">
        <f t="shared" si="10"/>
        <v>1</v>
      </c>
      <c r="AS43" t="b">
        <f t="shared" si="11"/>
        <v>1</v>
      </c>
    </row>
    <row r="44" spans="5:45" x14ac:dyDescent="0.4">
      <c r="E44" t="str">
        <v>fixed_leg.cashflows.[3].amout</v>
      </c>
      <c r="F44">
        <v>13000000</v>
      </c>
      <c r="G44" cm="1">
        <f t="array" ref="G44">_xll.ExLibris.Json.GetJsonValue($F$1,E44)</f>
        <v>13000000</v>
      </c>
      <c r="P44" t="str">
        <v>fixed_leg.cashflows.[2].end_date</v>
      </c>
      <c r="Q44">
        <v>44992</v>
      </c>
      <c r="S44" t="s">
        <v>54</v>
      </c>
      <c r="T44">
        <v>13000000</v>
      </c>
      <c r="U44">
        <v>13000000</v>
      </c>
      <c r="AD44" t="s">
        <v>46</v>
      </c>
      <c r="AE44">
        <v>44992</v>
      </c>
      <c r="AG44" t="b">
        <f t="shared" si="4"/>
        <v>1</v>
      </c>
      <c r="AH44" t="b">
        <f t="shared" si="5"/>
        <v>1</v>
      </c>
      <c r="AI44" t="b">
        <f t="shared" si="6"/>
        <v>1</v>
      </c>
      <c r="AR44" t="b">
        <f t="shared" si="10"/>
        <v>1</v>
      </c>
      <c r="AS44" t="b">
        <f t="shared" si="11"/>
        <v>1</v>
      </c>
    </row>
    <row r="45" spans="5:45" x14ac:dyDescent="0.4">
      <c r="E45" t="str">
        <v>fixed_leg.cashflows.[3].fixed_rate</v>
      </c>
      <c r="F45">
        <v>1E-3</v>
      </c>
      <c r="G45" cm="1">
        <f t="array" ref="G45">_xll.ExLibris.Json.GetJsonValue($F$1,E45)</f>
        <v>1E-3</v>
      </c>
      <c r="P45" t="str">
        <v>fixed_leg.cashflows.[2].day_count_type</v>
      </c>
      <c r="Q45" t="str">
        <v>ACT/360</v>
      </c>
      <c r="S45" t="s">
        <v>55</v>
      </c>
      <c r="T45">
        <v>1E-3</v>
      </c>
      <c r="U45">
        <v>1E-3</v>
      </c>
      <c r="AD45" t="s">
        <v>47</v>
      </c>
      <c r="AE45" t="s">
        <v>8</v>
      </c>
      <c r="AG45" t="b">
        <f t="shared" si="4"/>
        <v>1</v>
      </c>
      <c r="AH45" t="b">
        <f t="shared" si="5"/>
        <v>1</v>
      </c>
      <c r="AI45" t="b">
        <f t="shared" si="6"/>
        <v>1</v>
      </c>
      <c r="AR45" t="b">
        <f t="shared" si="10"/>
        <v>1</v>
      </c>
      <c r="AS45" t="b">
        <f t="shared" si="11"/>
        <v>1</v>
      </c>
    </row>
    <row r="46" spans="5:45" x14ac:dyDescent="0.4">
      <c r="E46" t="str">
        <v>fixed_leg.cashflows.[4].payment _date</v>
      </c>
      <c r="F46">
        <v>45352</v>
      </c>
      <c r="G46" cm="1">
        <f t="array" ref="G46">_xll.ExLibris.Json.GetJsonValue($F$1,E46)</f>
        <v>45352</v>
      </c>
      <c r="P46" t="str">
        <v>fixed_leg.cashflows.[2].amout</v>
      </c>
      <c r="Q46">
        <v>12000000</v>
      </c>
      <c r="S46" t="s">
        <v>56</v>
      </c>
      <c r="T46">
        <v>45352</v>
      </c>
      <c r="U46">
        <v>45352</v>
      </c>
      <c r="AD46" t="s">
        <v>48</v>
      </c>
      <c r="AE46">
        <v>12000000</v>
      </c>
      <c r="AG46" t="b">
        <f t="shared" si="4"/>
        <v>1</v>
      </c>
      <c r="AH46" t="b">
        <f t="shared" si="5"/>
        <v>1</v>
      </c>
      <c r="AI46" t="b">
        <f t="shared" si="6"/>
        <v>1</v>
      </c>
      <c r="AR46" t="b">
        <f t="shared" si="10"/>
        <v>1</v>
      </c>
      <c r="AS46" t="b">
        <f t="shared" si="11"/>
        <v>1</v>
      </c>
    </row>
    <row r="47" spans="5:45" x14ac:dyDescent="0.4">
      <c r="E47" t="str">
        <v>fixed_leg.cashflows.[4].start_date</v>
      </c>
      <c r="F47">
        <v>45172</v>
      </c>
      <c r="G47" cm="1">
        <f t="array" ref="G47">_xll.ExLibris.Json.GetJsonValue($F$1,E47)</f>
        <v>45172</v>
      </c>
      <c r="P47" t="str">
        <v>fixed_leg.cashflows.[2].fixed_rate</v>
      </c>
      <c r="Q47">
        <v>1E-3</v>
      </c>
      <c r="S47" t="s">
        <v>57</v>
      </c>
      <c r="T47">
        <v>45172</v>
      </c>
      <c r="U47">
        <v>45172</v>
      </c>
      <c r="AD47" t="s">
        <v>49</v>
      </c>
      <c r="AE47">
        <v>1E-3</v>
      </c>
      <c r="AG47" t="b">
        <f t="shared" si="4"/>
        <v>1</v>
      </c>
      <c r="AH47" t="b">
        <f t="shared" si="5"/>
        <v>1</v>
      </c>
      <c r="AI47" t="b">
        <f t="shared" si="6"/>
        <v>1</v>
      </c>
      <c r="AR47" t="b">
        <f t="shared" si="10"/>
        <v>1</v>
      </c>
      <c r="AS47" t="b">
        <f t="shared" si="11"/>
        <v>1</v>
      </c>
    </row>
    <row r="48" spans="5:45" x14ac:dyDescent="0.4">
      <c r="E48" t="str">
        <v>fixed_leg.cashflows.[4].end_date</v>
      </c>
      <c r="F48">
        <v>45352</v>
      </c>
      <c r="G48" cm="1">
        <f t="array" ref="G48">_xll.ExLibris.Json.GetJsonValue($F$1,E48)</f>
        <v>45352</v>
      </c>
      <c r="P48" t="str">
        <v>fixed_leg.cashflows.[3].payment _date</v>
      </c>
      <c r="Q48">
        <v>45172</v>
      </c>
      <c r="S48" t="s">
        <v>58</v>
      </c>
      <c r="T48">
        <v>45352</v>
      </c>
      <c r="U48">
        <v>45352</v>
      </c>
      <c r="AD48" t="s">
        <v>50</v>
      </c>
      <c r="AE48">
        <v>45172</v>
      </c>
      <c r="AG48" t="b">
        <f t="shared" si="4"/>
        <v>1</v>
      </c>
      <c r="AH48" t="b">
        <f t="shared" si="5"/>
        <v>1</v>
      </c>
      <c r="AI48" t="b">
        <f t="shared" si="6"/>
        <v>1</v>
      </c>
      <c r="AR48" t="b">
        <f t="shared" si="10"/>
        <v>1</v>
      </c>
      <c r="AS48" t="b">
        <f t="shared" si="11"/>
        <v>1</v>
      </c>
    </row>
    <row r="49" spans="5:45" x14ac:dyDescent="0.4">
      <c r="E49" t="str">
        <v>fixed_leg.cashflows.[4].day_count_type</v>
      </c>
      <c r="F49" t="str">
        <v>ACT/360</v>
      </c>
      <c r="G49" t="str" cm="1">
        <f t="array" ref="G49">_xll.ExLibris.Json.GetJsonValue($F$1,E49)</f>
        <v>ACT/360</v>
      </c>
      <c r="P49" t="str">
        <v>fixed_leg.cashflows.[3].start_date</v>
      </c>
      <c r="Q49">
        <v>44992</v>
      </c>
      <c r="S49" t="s">
        <v>59</v>
      </c>
      <c r="T49" t="s">
        <v>8</v>
      </c>
      <c r="U49" t="s">
        <v>8</v>
      </c>
      <c r="AD49" t="s">
        <v>51</v>
      </c>
      <c r="AE49">
        <v>44992</v>
      </c>
      <c r="AG49" t="b">
        <f t="shared" si="4"/>
        <v>1</v>
      </c>
      <c r="AH49" t="b">
        <f t="shared" si="5"/>
        <v>1</v>
      </c>
      <c r="AI49" t="b">
        <f t="shared" si="6"/>
        <v>1</v>
      </c>
      <c r="AR49" t="b">
        <f t="shared" si="10"/>
        <v>1</v>
      </c>
      <c r="AS49" t="b">
        <f t="shared" si="11"/>
        <v>1</v>
      </c>
    </row>
    <row r="50" spans="5:45" x14ac:dyDescent="0.4">
      <c r="E50" t="str">
        <v>fixed_leg.cashflows.[4].amout</v>
      </c>
      <c r="F50">
        <v>14000000</v>
      </c>
      <c r="G50" cm="1">
        <f t="array" ref="G50">_xll.ExLibris.Json.GetJsonValue($F$1,E50)</f>
        <v>14000000</v>
      </c>
      <c r="P50" t="str">
        <v>fixed_leg.cashflows.[3].end_date</v>
      </c>
      <c r="Q50">
        <v>45172</v>
      </c>
      <c r="S50" t="s">
        <v>60</v>
      </c>
      <c r="T50">
        <v>14000000</v>
      </c>
      <c r="U50">
        <v>14000000</v>
      </c>
      <c r="AD50" t="s">
        <v>52</v>
      </c>
      <c r="AE50">
        <v>45172</v>
      </c>
      <c r="AG50" t="b">
        <f t="shared" si="4"/>
        <v>1</v>
      </c>
      <c r="AH50" t="b">
        <f t="shared" si="5"/>
        <v>1</v>
      </c>
      <c r="AI50" t="b">
        <f t="shared" si="6"/>
        <v>1</v>
      </c>
      <c r="AR50" t="b">
        <f t="shared" si="10"/>
        <v>1</v>
      </c>
      <c r="AS50" t="b">
        <f t="shared" si="11"/>
        <v>1</v>
      </c>
    </row>
    <row r="51" spans="5:45" x14ac:dyDescent="0.4">
      <c r="E51" t="str">
        <v>fixed_leg.cashflows.[4].fixed_rate</v>
      </c>
      <c r="F51">
        <v>1E-3</v>
      </c>
      <c r="G51" cm="1">
        <f t="array" ref="G51">_xll.ExLibris.Json.GetJsonValue($F$1,E51)</f>
        <v>1E-3</v>
      </c>
      <c r="P51" t="str">
        <v>fixed_leg.cashflows.[3].day_count_type</v>
      </c>
      <c r="Q51" t="str">
        <v>ACT/360</v>
      </c>
      <c r="S51" t="s">
        <v>61</v>
      </c>
      <c r="T51">
        <v>1E-3</v>
      </c>
      <c r="U51">
        <v>1E-3</v>
      </c>
      <c r="AD51" t="s">
        <v>53</v>
      </c>
      <c r="AE51" t="s">
        <v>8</v>
      </c>
      <c r="AG51" t="b">
        <f t="shared" si="4"/>
        <v>1</v>
      </c>
      <c r="AH51" t="b">
        <f t="shared" si="5"/>
        <v>1</v>
      </c>
      <c r="AI51" t="b">
        <f t="shared" si="6"/>
        <v>1</v>
      </c>
      <c r="AR51" t="b">
        <f t="shared" si="10"/>
        <v>1</v>
      </c>
      <c r="AS51" t="b">
        <f t="shared" si="11"/>
        <v>1</v>
      </c>
    </row>
    <row r="52" spans="5:45" x14ac:dyDescent="0.4">
      <c r="E52" t="str">
        <v>fixed_leg.cashflows.[5].payment _date</v>
      </c>
      <c r="F52">
        <v>45532</v>
      </c>
      <c r="G52" cm="1">
        <f t="array" ref="G52">_xll.ExLibris.Json.GetJsonValue($F$1,E52)</f>
        <v>45532</v>
      </c>
      <c r="P52" t="str">
        <v>fixed_leg.cashflows.[3].amout</v>
      </c>
      <c r="Q52">
        <v>13000000</v>
      </c>
      <c r="S52" t="s">
        <v>62</v>
      </c>
      <c r="T52">
        <v>45532</v>
      </c>
      <c r="U52">
        <v>45532</v>
      </c>
      <c r="AD52" t="s">
        <v>54</v>
      </c>
      <c r="AE52">
        <v>13000000</v>
      </c>
      <c r="AG52" t="b">
        <f t="shared" si="4"/>
        <v>1</v>
      </c>
      <c r="AH52" t="b">
        <f t="shared" si="5"/>
        <v>1</v>
      </c>
      <c r="AI52" t="b">
        <f t="shared" si="6"/>
        <v>1</v>
      </c>
      <c r="AR52" t="b">
        <f t="shared" si="10"/>
        <v>1</v>
      </c>
      <c r="AS52" t="b">
        <f t="shared" si="11"/>
        <v>1</v>
      </c>
    </row>
    <row r="53" spans="5:45" x14ac:dyDescent="0.4">
      <c r="E53" t="str">
        <v>fixed_leg.cashflows.[5].start_date</v>
      </c>
      <c r="F53">
        <v>45352</v>
      </c>
      <c r="G53" cm="1">
        <f t="array" ref="G53">_xll.ExLibris.Json.GetJsonValue($F$1,E53)</f>
        <v>45352</v>
      </c>
      <c r="P53" t="str">
        <v>fixed_leg.cashflows.[3].fixed_rate</v>
      </c>
      <c r="Q53">
        <v>1E-3</v>
      </c>
      <c r="S53" t="s">
        <v>63</v>
      </c>
      <c r="T53">
        <v>45352</v>
      </c>
      <c r="U53">
        <v>45352</v>
      </c>
      <c r="AD53" t="s">
        <v>55</v>
      </c>
      <c r="AE53">
        <v>1E-3</v>
      </c>
      <c r="AG53" t="b">
        <f t="shared" si="4"/>
        <v>1</v>
      </c>
      <c r="AH53" t="b">
        <f t="shared" si="5"/>
        <v>1</v>
      </c>
      <c r="AI53" t="b">
        <f t="shared" si="6"/>
        <v>1</v>
      </c>
      <c r="AR53" t="b">
        <f t="shared" si="10"/>
        <v>1</v>
      </c>
      <c r="AS53" t="b">
        <f t="shared" si="11"/>
        <v>1</v>
      </c>
    </row>
    <row r="54" spans="5:45" x14ac:dyDescent="0.4">
      <c r="E54" t="str">
        <v>fixed_leg.cashflows.[5].end_date</v>
      </c>
      <c r="F54">
        <v>45532</v>
      </c>
      <c r="G54" cm="1">
        <f t="array" ref="G54">_xll.ExLibris.Json.GetJsonValue($F$1,E54)</f>
        <v>45532</v>
      </c>
      <c r="P54" t="str">
        <v>fixed_leg.cashflows.[4].payment _date</v>
      </c>
      <c r="Q54">
        <v>45352</v>
      </c>
      <c r="S54" t="s">
        <v>64</v>
      </c>
      <c r="T54">
        <v>45532</v>
      </c>
      <c r="U54">
        <v>45532</v>
      </c>
      <c r="AD54" t="s">
        <v>56</v>
      </c>
      <c r="AE54">
        <v>45352</v>
      </c>
      <c r="AG54" t="b">
        <f t="shared" si="4"/>
        <v>1</v>
      </c>
      <c r="AH54" t="b">
        <f t="shared" si="5"/>
        <v>1</v>
      </c>
      <c r="AI54" t="b">
        <f t="shared" si="6"/>
        <v>1</v>
      </c>
      <c r="AR54" t="b">
        <f t="shared" si="10"/>
        <v>1</v>
      </c>
      <c r="AS54" t="b">
        <f t="shared" si="11"/>
        <v>1</v>
      </c>
    </row>
    <row r="55" spans="5:45" x14ac:dyDescent="0.4">
      <c r="E55" t="str">
        <v>fixed_leg.cashflows.[5].day_count_type</v>
      </c>
      <c r="F55" t="str">
        <v>ACT/360</v>
      </c>
      <c r="G55" t="str" cm="1">
        <f t="array" ref="G55">_xll.ExLibris.Json.GetJsonValue($F$1,E55)</f>
        <v>ACT/360</v>
      </c>
      <c r="P55" t="str">
        <v>fixed_leg.cashflows.[4].start_date</v>
      </c>
      <c r="Q55">
        <v>45172</v>
      </c>
      <c r="S55" t="s">
        <v>65</v>
      </c>
      <c r="T55" t="s">
        <v>8</v>
      </c>
      <c r="U55" t="s">
        <v>8</v>
      </c>
      <c r="AD55" t="s">
        <v>57</v>
      </c>
      <c r="AE55">
        <v>45172</v>
      </c>
      <c r="AG55" t="b">
        <f t="shared" si="4"/>
        <v>1</v>
      </c>
      <c r="AH55" t="b">
        <f t="shared" si="5"/>
        <v>1</v>
      </c>
      <c r="AI55" t="b">
        <f t="shared" si="6"/>
        <v>1</v>
      </c>
      <c r="AR55" t="b">
        <f t="shared" si="10"/>
        <v>1</v>
      </c>
      <c r="AS55" t="b">
        <f t="shared" si="11"/>
        <v>1</v>
      </c>
    </row>
    <row r="56" spans="5:45" x14ac:dyDescent="0.4">
      <c r="E56" t="str">
        <v>fixed_leg.cashflows.[5].amout</v>
      </c>
      <c r="F56">
        <v>15000000</v>
      </c>
      <c r="G56" cm="1">
        <f t="array" ref="G56">_xll.ExLibris.Json.GetJsonValue($F$1,E56)</f>
        <v>15000000</v>
      </c>
      <c r="P56" t="str">
        <v>fixed_leg.cashflows.[4].end_date</v>
      </c>
      <c r="Q56">
        <v>45352</v>
      </c>
      <c r="S56" t="s">
        <v>66</v>
      </c>
      <c r="T56">
        <v>15000000</v>
      </c>
      <c r="U56">
        <v>15000000</v>
      </c>
      <c r="AD56" t="s">
        <v>58</v>
      </c>
      <c r="AE56">
        <v>45352</v>
      </c>
      <c r="AG56" t="b">
        <f t="shared" si="4"/>
        <v>1</v>
      </c>
      <c r="AH56" t="b">
        <f t="shared" si="5"/>
        <v>1</v>
      </c>
      <c r="AI56" t="b">
        <f t="shared" si="6"/>
        <v>1</v>
      </c>
      <c r="AR56" t="b">
        <f t="shared" si="10"/>
        <v>1</v>
      </c>
      <c r="AS56" t="b">
        <f t="shared" si="11"/>
        <v>1</v>
      </c>
    </row>
    <row r="57" spans="5:45" x14ac:dyDescent="0.4">
      <c r="E57" t="str">
        <v>fixed_leg.cashflows.[5].fixed_rate</v>
      </c>
      <c r="F57">
        <v>1E-3</v>
      </c>
      <c r="G57" cm="1">
        <f t="array" ref="G57">_xll.ExLibris.Json.GetJsonValue($F$1,E57)</f>
        <v>1E-3</v>
      </c>
      <c r="P57" t="str">
        <v>fixed_leg.cashflows.[4].day_count_type</v>
      </c>
      <c r="Q57" t="str">
        <v>ACT/360</v>
      </c>
      <c r="S57" t="s">
        <v>67</v>
      </c>
      <c r="T57">
        <v>1E-3</v>
      </c>
      <c r="U57">
        <v>1E-3</v>
      </c>
      <c r="AD57" t="s">
        <v>59</v>
      </c>
      <c r="AE57" t="s">
        <v>8</v>
      </c>
      <c r="AG57" t="b">
        <f t="shared" si="4"/>
        <v>1</v>
      </c>
      <c r="AH57" t="b">
        <f t="shared" si="5"/>
        <v>1</v>
      </c>
      <c r="AI57" t="b">
        <f t="shared" si="6"/>
        <v>1</v>
      </c>
      <c r="AR57" t="b">
        <f t="shared" si="10"/>
        <v>1</v>
      </c>
      <c r="AS57" t="b">
        <f t="shared" si="11"/>
        <v>1</v>
      </c>
    </row>
    <row r="58" spans="5:45" x14ac:dyDescent="0.4">
      <c r="P58" t="str">
        <v>fixed_leg.cashflows.[4].amout</v>
      </c>
      <c r="Q58">
        <v>14000000</v>
      </c>
      <c r="AD58" t="s">
        <v>60</v>
      </c>
      <c r="AE58">
        <v>14000000</v>
      </c>
      <c r="AR58" t="b">
        <f t="shared" si="10"/>
        <v>1</v>
      </c>
      <c r="AS58" t="b">
        <f t="shared" si="11"/>
        <v>1</v>
      </c>
    </row>
    <row r="59" spans="5:45" x14ac:dyDescent="0.4">
      <c r="P59" t="str">
        <v>fixed_leg.cashflows.[4].fixed_rate</v>
      </c>
      <c r="Q59">
        <v>1E-3</v>
      </c>
      <c r="AD59" t="s">
        <v>61</v>
      </c>
      <c r="AE59">
        <v>1E-3</v>
      </c>
      <c r="AR59" t="b">
        <f t="shared" si="10"/>
        <v>1</v>
      </c>
      <c r="AS59" t="b">
        <f t="shared" si="11"/>
        <v>1</v>
      </c>
    </row>
    <row r="60" spans="5:45" x14ac:dyDescent="0.4">
      <c r="P60" t="str">
        <v>fixed_leg.cashflows.[5].payment _date</v>
      </c>
      <c r="Q60">
        <v>45532</v>
      </c>
      <c r="AD60" t="s">
        <v>62</v>
      </c>
      <c r="AE60">
        <v>45532</v>
      </c>
      <c r="AR60" t="b">
        <f t="shared" si="10"/>
        <v>1</v>
      </c>
      <c r="AS60" t="b">
        <f t="shared" si="11"/>
        <v>1</v>
      </c>
    </row>
    <row r="61" spans="5:45" x14ac:dyDescent="0.4">
      <c r="P61" t="str">
        <v>fixed_leg.cashflows.[5].start_date</v>
      </c>
      <c r="Q61">
        <v>45352</v>
      </c>
      <c r="AD61" t="s">
        <v>63</v>
      </c>
      <c r="AE61">
        <v>45352</v>
      </c>
      <c r="AR61" t="b">
        <f t="shared" si="10"/>
        <v>1</v>
      </c>
      <c r="AS61" t="b">
        <f t="shared" si="11"/>
        <v>1</v>
      </c>
    </row>
    <row r="62" spans="5:45" x14ac:dyDescent="0.4">
      <c r="P62" t="str">
        <v>fixed_leg.cashflows.[5].end_date</v>
      </c>
      <c r="Q62">
        <v>45532</v>
      </c>
      <c r="AD62" t="s">
        <v>64</v>
      </c>
      <c r="AE62">
        <v>45532</v>
      </c>
      <c r="AR62" t="b">
        <f t="shared" si="10"/>
        <v>1</v>
      </c>
      <c r="AS62" t="b">
        <f t="shared" si="11"/>
        <v>1</v>
      </c>
    </row>
    <row r="63" spans="5:45" x14ac:dyDescent="0.4">
      <c r="P63" t="str">
        <v>fixed_leg.cashflows.[5].day_count_type</v>
      </c>
      <c r="Q63" t="str">
        <v>ACT/360</v>
      </c>
      <c r="AD63" t="s">
        <v>65</v>
      </c>
      <c r="AE63" t="s">
        <v>8</v>
      </c>
      <c r="AR63" t="b">
        <f t="shared" si="10"/>
        <v>1</v>
      </c>
      <c r="AS63" t="b">
        <f t="shared" si="11"/>
        <v>1</v>
      </c>
    </row>
    <row r="64" spans="5:45" x14ac:dyDescent="0.4">
      <c r="P64" t="str">
        <v>fixed_leg.cashflows.[5].amout</v>
      </c>
      <c r="Q64">
        <v>15000000</v>
      </c>
      <c r="AD64" t="s">
        <v>66</v>
      </c>
      <c r="AE64">
        <v>15000000</v>
      </c>
      <c r="AR64" t="b">
        <f t="shared" si="10"/>
        <v>1</v>
      </c>
      <c r="AS64" t="b">
        <f t="shared" si="11"/>
        <v>1</v>
      </c>
    </row>
    <row r="65" spans="16:45" x14ac:dyDescent="0.4">
      <c r="P65" t="str">
        <v>fixed_leg.cashflows.[5].fixed_rate</v>
      </c>
      <c r="Q65">
        <v>1E-3</v>
      </c>
      <c r="AD65" t="s">
        <v>67</v>
      </c>
      <c r="AE65">
        <v>1E-3</v>
      </c>
      <c r="AR65" t="b">
        <f>P65=AD65</f>
        <v>1</v>
      </c>
      <c r="AS65" t="b">
        <f>Q65=AE65</f>
        <v>1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ED89E-C884-4680-AA73-D86C4BBD7CCE}">
  <dimension ref="B1:AJ57"/>
  <sheetViews>
    <sheetView zoomScaleNormal="100" workbookViewId="0"/>
  </sheetViews>
  <sheetFormatPr defaultRowHeight="18.75" x14ac:dyDescent="0.4"/>
  <cols>
    <col min="1" max="1" width="2.25" customWidth="1"/>
    <col min="2" max="2" width="11" customWidth="1"/>
    <col min="4" max="4" width="2.125" customWidth="1"/>
    <col min="5" max="5" width="38.125" bestFit="1" customWidth="1"/>
    <col min="6" max="7" width="13.25" customWidth="1"/>
    <col min="8" max="8" width="15.5" bestFit="1" customWidth="1"/>
    <col min="9" max="11" width="13.25" customWidth="1"/>
    <col min="15" max="15" width="7.375" customWidth="1"/>
    <col min="16" max="16" width="13.5" bestFit="1" customWidth="1"/>
    <col min="18" max="18" width="17" customWidth="1"/>
    <col min="19" max="19" width="10.125" bestFit="1" customWidth="1"/>
    <col min="20" max="20" width="9.5" bestFit="1" customWidth="1"/>
    <col min="21" max="21" width="15.5" bestFit="1" customWidth="1"/>
    <col min="22" max="22" width="9.5" bestFit="1" customWidth="1"/>
    <col min="23" max="23" width="9.875" bestFit="1" customWidth="1"/>
  </cols>
  <sheetData>
    <row r="1" spans="2:25" x14ac:dyDescent="0.4">
      <c r="E1" t="s">
        <v>27</v>
      </c>
      <c r="F1" t="str" cm="1">
        <f t="array" ref="F1">_xll.ExLibris.Json.CreateJsonObject(E3:F6, EXLIBRIS_CONFIGURATION)</f>
        <v>JsonObject:78C8DE70-3FE0-4206-99DA-39A009E55690</v>
      </c>
      <c r="K1" t="str">
        <f>EXLIBRIS_CONFIGURATION</f>
        <v>ExLibris.Core.ExLibrisConfiguration:071D03FE-BA0D-4934-B18A-AE48943CECDE</v>
      </c>
    </row>
    <row r="2" spans="2:25" x14ac:dyDescent="0.4">
      <c r="B2" s="5" t="s">
        <v>70</v>
      </c>
      <c r="C2" s="5"/>
    </row>
    <row r="3" spans="2:25" x14ac:dyDescent="0.4">
      <c r="B3" s="6" t="s">
        <v>71</v>
      </c>
      <c r="C3" s="6">
        <f>COUNTIF(AA19:AC57,FALSE)</f>
        <v>0</v>
      </c>
      <c r="E3" t="s">
        <v>15</v>
      </c>
      <c r="F3" t="s">
        <v>17</v>
      </c>
    </row>
    <row r="4" spans="2:25" x14ac:dyDescent="0.4">
      <c r="B4" s="6" t="s">
        <v>72</v>
      </c>
      <c r="C4" s="6">
        <f>COUNTIF(AE20:AJ26,FALSE)</f>
        <v>0</v>
      </c>
      <c r="E4" t="s">
        <v>19</v>
      </c>
      <c r="F4" t="s">
        <v>21</v>
      </c>
    </row>
    <row r="5" spans="2:25" x14ac:dyDescent="0.4">
      <c r="B5" s="6" t="s">
        <v>73</v>
      </c>
      <c r="C5" s="6" t="str">
        <f>IF(M6=M7,"ok","ng")</f>
        <v>ok</v>
      </c>
      <c r="E5" t="s">
        <v>23</v>
      </c>
      <c r="F5" t="s">
        <v>25</v>
      </c>
      <c r="L5" t="s">
        <v>73</v>
      </c>
    </row>
    <row r="6" spans="2:25" x14ac:dyDescent="0.4">
      <c r="B6" s="6" t="s">
        <v>75</v>
      </c>
      <c r="C6" s="6">
        <f>COUNTIF(AE29:AJ30,FALSE)</f>
        <v>0</v>
      </c>
      <c r="E6" t="s">
        <v>26</v>
      </c>
      <c r="F6" t="str" cm="1">
        <f t="array" ref="F6">_xll.ExLibris.Json.CreateJsonArray(E8:J14, EXLIBRIS_CONFIGURATION)</f>
        <v>JsonObject:44F55351-45D0-4307-A634-9C48E3F2F0C0</v>
      </c>
      <c r="L6" t="s">
        <v>68</v>
      </c>
      <c r="M6" t="str" cm="1">
        <f t="array" ref="M6">_xll.ExLibris.Json.ShowJsonText(F1)</f>
        <v>{"trade_code":"money_00001","couter_party":"CP00001","fixed_leg":{"pay_or_recieve":"Receive","cashflows":[{"payment _date":"2022-03-12","start_date":"2021-09-13","end_date":"2022-03-12","day_count_type":"ACT/360","amout":10000000,"fixed_rate":0.001},{"payment _date":"2022-09-08","start_date":"2022-03-12","end_date":"2022-09-08","day_count_type":"ACT/360","amout":10000000,"fixed_rate":0.0011},{"payment _date":"2023-03-07","start_date":"2022-09-08","end_date":"2023-03-07","day_count_type":"ACT/360","amout":11000000,"fixed_rate":0.0012000000000000001},{"payment _date":"2023-09-03","start_date":"2023-03-07","end_date":"2023-09-03","day_count_type":"ACT/360","amout":11000000,"fixed_rate":0.0013000000000000002},{"payment _date":"2024-03-01","start_date":"2023-09-03","end_date":"2024-03-01","day_count_type":"ACT/360","amout":12000000,"fixed_rate":0.0014000000000000002},{"payment _date":"2024-08-28","start_date":"2024-03-01","end_date":"2024-08-28","day_count_type":"ACT/360","amout":12000000,"fixed_rate":0.0015000000000000002}]}}</v>
      </c>
    </row>
    <row r="7" spans="2:25" x14ac:dyDescent="0.4">
      <c r="B7" s="6" t="s">
        <v>117</v>
      </c>
      <c r="C7" s="6">
        <f>COUNTIF(AE34:AJ36,FALSE)</f>
        <v>0</v>
      </c>
      <c r="L7" t="s">
        <v>74</v>
      </c>
      <c r="M7" t="s">
        <v>115</v>
      </c>
    </row>
    <row r="8" spans="2:25" x14ac:dyDescent="0.4">
      <c r="B8" s="6" t="s">
        <v>118</v>
      </c>
      <c r="C8" s="6">
        <f>COUNTIF(AE39:AJ40,FALSE)</f>
        <v>0</v>
      </c>
      <c r="E8" t="s">
        <v>1</v>
      </c>
      <c r="F8" t="s">
        <v>3</v>
      </c>
      <c r="G8" t="s">
        <v>5</v>
      </c>
      <c r="H8" t="s">
        <v>7</v>
      </c>
      <c r="I8" t="s">
        <v>11</v>
      </c>
      <c r="J8" t="s">
        <v>13</v>
      </c>
    </row>
    <row r="9" spans="2:25" x14ac:dyDescent="0.4">
      <c r="B9" s="6" t="s">
        <v>119</v>
      </c>
      <c r="C9" s="6">
        <f>COUNTIF(AE43,FALSE)</f>
        <v>0</v>
      </c>
      <c r="E9" s="1">
        <f>G9</f>
        <v>44632</v>
      </c>
      <c r="F9" s="1">
        <v>44452</v>
      </c>
      <c r="G9" s="1">
        <f>F9+180</f>
        <v>44632</v>
      </c>
      <c r="H9" t="s">
        <v>9</v>
      </c>
      <c r="I9" s="2">
        <v>10000000</v>
      </c>
      <c r="J9" s="3">
        <v>1E-3</v>
      </c>
    </row>
    <row r="10" spans="2:25" x14ac:dyDescent="0.4">
      <c r="E10" s="1">
        <f>G10</f>
        <v>44812</v>
      </c>
      <c r="F10" s="1">
        <f>G9</f>
        <v>44632</v>
      </c>
      <c r="G10" s="1">
        <f>F10+180</f>
        <v>44812</v>
      </c>
      <c r="H10" t="s">
        <v>9</v>
      </c>
      <c r="I10" s="2">
        <f>I9</f>
        <v>10000000</v>
      </c>
      <c r="J10" s="3">
        <f>J9+0.0001</f>
        <v>1.1000000000000001E-3</v>
      </c>
    </row>
    <row r="11" spans="2:25" x14ac:dyDescent="0.4">
      <c r="E11" s="1">
        <f t="shared" ref="E11:E14" si="0">G11</f>
        <v>44992</v>
      </c>
      <c r="F11" s="1">
        <f t="shared" ref="F11:F14" si="1">G10</f>
        <v>44812</v>
      </c>
      <c r="G11" s="1">
        <f t="shared" ref="G11:G14" si="2">F11+180</f>
        <v>44992</v>
      </c>
      <c r="H11" t="s">
        <v>9</v>
      </c>
      <c r="I11" s="2">
        <f t="shared" ref="I11:I13" si="3">I10+1000000</f>
        <v>11000000</v>
      </c>
      <c r="J11" s="3">
        <f t="shared" ref="J11:J14" si="4">J10+0.0001</f>
        <v>1.2000000000000001E-3</v>
      </c>
    </row>
    <row r="12" spans="2:25" x14ac:dyDescent="0.4">
      <c r="E12" s="1">
        <f t="shared" si="0"/>
        <v>45172</v>
      </c>
      <c r="F12" s="1">
        <f t="shared" si="1"/>
        <v>44992</v>
      </c>
      <c r="G12" s="1">
        <f t="shared" si="2"/>
        <v>45172</v>
      </c>
      <c r="H12" t="s">
        <v>9</v>
      </c>
      <c r="I12" s="2">
        <f>I11</f>
        <v>11000000</v>
      </c>
      <c r="J12" s="3">
        <f t="shared" si="4"/>
        <v>1.3000000000000002E-3</v>
      </c>
    </row>
    <row r="13" spans="2:25" x14ac:dyDescent="0.4">
      <c r="E13" s="1">
        <f t="shared" si="0"/>
        <v>45352</v>
      </c>
      <c r="F13" s="1">
        <f t="shared" si="1"/>
        <v>45172</v>
      </c>
      <c r="G13" s="1">
        <f t="shared" si="2"/>
        <v>45352</v>
      </c>
      <c r="H13" t="s">
        <v>9</v>
      </c>
      <c r="I13" s="2">
        <f t="shared" si="3"/>
        <v>12000000</v>
      </c>
      <c r="J13" s="3">
        <f t="shared" si="4"/>
        <v>1.4000000000000002E-3</v>
      </c>
    </row>
    <row r="14" spans="2:25" x14ac:dyDescent="0.4">
      <c r="E14" s="1">
        <f t="shared" si="0"/>
        <v>45532</v>
      </c>
      <c r="F14" s="1">
        <f t="shared" si="1"/>
        <v>45352</v>
      </c>
      <c r="G14" s="1">
        <f t="shared" si="2"/>
        <v>45532</v>
      </c>
      <c r="H14" t="s">
        <v>9</v>
      </c>
      <c r="I14" s="2">
        <f>I13</f>
        <v>12000000</v>
      </c>
      <c r="J14" s="3">
        <f t="shared" si="4"/>
        <v>1.5000000000000002E-3</v>
      </c>
    </row>
    <row r="16" spans="2:25" s="4" customFormat="1" ht="18" x14ac:dyDescent="0.4">
      <c r="E16" s="4" t="s">
        <v>68</v>
      </c>
      <c r="P16" s="4" t="s">
        <v>69</v>
      </c>
      <c r="Y16" s="4" t="s">
        <v>70</v>
      </c>
    </row>
    <row r="18" spans="5:36" x14ac:dyDescent="0.4">
      <c r="E18" t="s">
        <v>29</v>
      </c>
      <c r="I18" t="s">
        <v>31</v>
      </c>
      <c r="P18" t="s">
        <v>28</v>
      </c>
      <c r="T18" t="s">
        <v>30</v>
      </c>
      <c r="AA18" t="s">
        <v>28</v>
      </c>
      <c r="AE18" t="s">
        <v>30</v>
      </c>
    </row>
    <row r="19" spans="5:36" x14ac:dyDescent="0.4">
      <c r="E19" t="str" cm="1">
        <f t="array" ref="E19:F57">_xll.ExLibris.Json.GetJsonKeyValues(F1, EXLIBRIS_CONFIGURATION)</f>
        <v>trade_code</v>
      </c>
      <c r="F19" t="str">
        <v>money_00001</v>
      </c>
      <c r="G19" t="str" cm="1">
        <f t="array" ref="G19">_xll.ExLibris.Json.GetJsonValue($F$1,E19, EXLIBRIS_CONFIGURATION)</f>
        <v>money_00001</v>
      </c>
      <c r="I19" t="str" cm="1">
        <f t="array" ref="I19">_xll.ExLibris.Json.GetJsonValue(F1,E6, EXLIBRIS_CONFIGURATION)</f>
        <v>JsonObject:F3C0C828-B9BB-41D0-BF5D-DEE79978C521</v>
      </c>
      <c r="P19" t="s">
        <v>14</v>
      </c>
      <c r="Q19" t="s">
        <v>16</v>
      </c>
      <c r="R19" t="s">
        <v>16</v>
      </c>
      <c r="AA19" t="b">
        <f t="shared" ref="AA19:AA57" si="5">E19=P19</f>
        <v>1</v>
      </c>
      <c r="AB19" t="b">
        <f t="shared" ref="AB19:AC57" si="6">E19=P19</f>
        <v>1</v>
      </c>
      <c r="AC19" t="b">
        <f t="shared" si="6"/>
        <v>1</v>
      </c>
    </row>
    <row r="20" spans="5:36" x14ac:dyDescent="0.4">
      <c r="E20" t="str">
        <v>couter_party</v>
      </c>
      <c r="F20" t="str">
        <v>CP00001</v>
      </c>
      <c r="G20" t="str" cm="1">
        <f t="array" ref="G20">_xll.ExLibris.Json.GetJsonValue($F$1,E20, EXLIBRIS_CONFIGURATION)</f>
        <v>CP00001</v>
      </c>
      <c r="I20" t="str" cm="1">
        <f t="array" ref="I20:N26">_xll.ExLibris.Json.GetJsonTable(I19, EXLIBRIS_CONFIGURATION)</f>
        <v>payment _date</v>
      </c>
      <c r="J20" t="str">
        <v>start_date</v>
      </c>
      <c r="K20" t="str">
        <v>end_date</v>
      </c>
      <c r="L20" t="str">
        <v>day_count_type</v>
      </c>
      <c r="M20" t="str">
        <v>amout</v>
      </c>
      <c r="N20" t="str">
        <v>fixed_rate</v>
      </c>
      <c r="P20" t="s">
        <v>18</v>
      </c>
      <c r="Q20" t="s">
        <v>20</v>
      </c>
      <c r="R20" t="s">
        <v>20</v>
      </c>
      <c r="T20" t="s">
        <v>0</v>
      </c>
      <c r="U20" t="s">
        <v>2</v>
      </c>
      <c r="V20" t="s">
        <v>4</v>
      </c>
      <c r="W20" t="s">
        <v>6</v>
      </c>
      <c r="X20" t="s">
        <v>10</v>
      </c>
      <c r="Y20" t="s">
        <v>12</v>
      </c>
      <c r="AA20" t="b">
        <f t="shared" si="5"/>
        <v>1</v>
      </c>
      <c r="AB20" t="b">
        <f t="shared" si="6"/>
        <v>1</v>
      </c>
      <c r="AC20" t="b">
        <f t="shared" si="6"/>
        <v>1</v>
      </c>
      <c r="AE20" t="b">
        <f t="shared" ref="AE20:AJ26" si="7">I20=T20</f>
        <v>1</v>
      </c>
      <c r="AF20" t="b">
        <f t="shared" si="7"/>
        <v>1</v>
      </c>
      <c r="AG20" t="b">
        <f t="shared" si="7"/>
        <v>1</v>
      </c>
      <c r="AH20" t="b">
        <f t="shared" si="7"/>
        <v>1</v>
      </c>
      <c r="AI20" t="b">
        <f t="shared" si="7"/>
        <v>1</v>
      </c>
      <c r="AJ20" t="b">
        <f t="shared" si="7"/>
        <v>1</v>
      </c>
    </row>
    <row r="21" spans="5:36" x14ac:dyDescent="0.4">
      <c r="E21" t="str">
        <v>fixed_leg.pay_or_recieve</v>
      </c>
      <c r="F21" t="str">
        <v>Receive</v>
      </c>
      <c r="G21" t="str" cm="1">
        <f t="array" ref="G21">_xll.ExLibris.Json.GetJsonValue($F$1,E21, EXLIBRIS_CONFIGURATION)</f>
        <v>Receive</v>
      </c>
      <c r="I21" t="str">
        <v>2022-03-12</v>
      </c>
      <c r="J21" t="str">
        <v>2021-09-13</v>
      </c>
      <c r="K21" t="str">
        <v>2022-03-12</v>
      </c>
      <c r="L21" t="str">
        <v>ACT/360</v>
      </c>
      <c r="M21">
        <v>10000000</v>
      </c>
      <c r="N21">
        <v>1E-3</v>
      </c>
      <c r="P21" t="s">
        <v>22</v>
      </c>
      <c r="Q21" t="s">
        <v>24</v>
      </c>
      <c r="R21" t="s">
        <v>24</v>
      </c>
      <c r="T21" t="s">
        <v>93</v>
      </c>
      <c r="U21" t="s">
        <v>94</v>
      </c>
      <c r="V21" t="s">
        <v>93</v>
      </c>
      <c r="W21" t="s">
        <v>8</v>
      </c>
      <c r="X21">
        <v>10000000</v>
      </c>
      <c r="Y21">
        <v>1E-3</v>
      </c>
      <c r="AA21" t="b">
        <f t="shared" si="5"/>
        <v>1</v>
      </c>
      <c r="AB21" t="b">
        <f t="shared" si="6"/>
        <v>1</v>
      </c>
      <c r="AC21" t="b">
        <f t="shared" si="6"/>
        <v>1</v>
      </c>
      <c r="AE21" t="b">
        <f t="shared" si="7"/>
        <v>1</v>
      </c>
      <c r="AF21" t="b">
        <f t="shared" si="7"/>
        <v>1</v>
      </c>
      <c r="AG21" t="b">
        <f t="shared" si="7"/>
        <v>1</v>
      </c>
      <c r="AH21" t="b">
        <f t="shared" si="7"/>
        <v>1</v>
      </c>
      <c r="AI21" t="b">
        <f t="shared" si="7"/>
        <v>1</v>
      </c>
      <c r="AJ21" t="b">
        <f t="shared" si="7"/>
        <v>1</v>
      </c>
    </row>
    <row r="22" spans="5:36" x14ac:dyDescent="0.4">
      <c r="E22" t="str">
        <v>fixed_leg.cashflows.[0].payment _date</v>
      </c>
      <c r="F22" t="str">
        <v>2022-03-12</v>
      </c>
      <c r="G22" s="1" t="str" cm="1">
        <f t="array" ref="G22">_xll.ExLibris.Json.GetJsonValue($F$1,E22, EXLIBRIS_CONFIGURATION)</f>
        <v>2022-03-12</v>
      </c>
      <c r="I22" t="str">
        <v>2022-09-08</v>
      </c>
      <c r="J22" t="str">
        <v>2022-03-12</v>
      </c>
      <c r="K22" t="str">
        <v>2022-09-08</v>
      </c>
      <c r="L22" t="str">
        <v>ACT/360</v>
      </c>
      <c r="M22">
        <v>10000000</v>
      </c>
      <c r="N22">
        <v>1.1000000000000001E-3</v>
      </c>
      <c r="P22" t="s">
        <v>32</v>
      </c>
      <c r="Q22" t="s">
        <v>93</v>
      </c>
      <c r="R22" t="s">
        <v>93</v>
      </c>
      <c r="T22" t="s">
        <v>95</v>
      </c>
      <c r="U22" t="s">
        <v>93</v>
      </c>
      <c r="V22" t="s">
        <v>95</v>
      </c>
      <c r="W22" t="s">
        <v>8</v>
      </c>
      <c r="X22">
        <v>10000000</v>
      </c>
      <c r="Y22">
        <v>1.1000000000000001E-3</v>
      </c>
      <c r="AA22" t="b">
        <f t="shared" si="5"/>
        <v>1</v>
      </c>
      <c r="AB22" t="b">
        <f t="shared" si="6"/>
        <v>1</v>
      </c>
      <c r="AC22" t="b">
        <f t="shared" si="6"/>
        <v>1</v>
      </c>
      <c r="AE22" t="b">
        <f t="shared" si="7"/>
        <v>1</v>
      </c>
      <c r="AF22" t="b">
        <f t="shared" si="7"/>
        <v>1</v>
      </c>
      <c r="AG22" t="b">
        <f t="shared" si="7"/>
        <v>1</v>
      </c>
      <c r="AH22" t="b">
        <f t="shared" si="7"/>
        <v>1</v>
      </c>
      <c r="AI22" t="b">
        <f t="shared" si="7"/>
        <v>1</v>
      </c>
      <c r="AJ22" t="b">
        <f t="shared" si="7"/>
        <v>1</v>
      </c>
    </row>
    <row r="23" spans="5:36" x14ac:dyDescent="0.4">
      <c r="E23" t="str">
        <v>fixed_leg.cashflows.[0].start_date</v>
      </c>
      <c r="F23" t="str">
        <v>2021-09-13</v>
      </c>
      <c r="G23" t="str" cm="1">
        <f t="array" ref="G23">_xll.ExLibris.Json.GetJsonValue($F$1,E23, EXLIBRIS_CONFIGURATION)</f>
        <v>2021-09-13</v>
      </c>
      <c r="I23" t="str">
        <v>2023-03-07</v>
      </c>
      <c r="J23" t="str">
        <v>2022-09-08</v>
      </c>
      <c r="K23" t="str">
        <v>2023-03-07</v>
      </c>
      <c r="L23" t="str">
        <v>ACT/360</v>
      </c>
      <c r="M23">
        <v>11000000</v>
      </c>
      <c r="N23">
        <v>1.2000000000000001E-3</v>
      </c>
      <c r="P23" t="s">
        <v>33</v>
      </c>
      <c r="Q23" t="s">
        <v>94</v>
      </c>
      <c r="R23" t="s">
        <v>94</v>
      </c>
      <c r="T23" t="s">
        <v>96</v>
      </c>
      <c r="U23" t="s">
        <v>95</v>
      </c>
      <c r="V23" t="s">
        <v>96</v>
      </c>
      <c r="W23" t="s">
        <v>8</v>
      </c>
      <c r="X23">
        <v>11000000</v>
      </c>
      <c r="Y23">
        <v>1.2000000000000001E-3</v>
      </c>
      <c r="AA23" t="b">
        <f t="shared" si="5"/>
        <v>1</v>
      </c>
      <c r="AB23" t="b">
        <f t="shared" si="6"/>
        <v>1</v>
      </c>
      <c r="AC23" t="b">
        <f t="shared" si="6"/>
        <v>1</v>
      </c>
      <c r="AE23" t="b">
        <f t="shared" si="7"/>
        <v>1</v>
      </c>
      <c r="AF23" t="b">
        <f t="shared" si="7"/>
        <v>1</v>
      </c>
      <c r="AG23" t="b">
        <f t="shared" si="7"/>
        <v>1</v>
      </c>
      <c r="AH23" t="b">
        <f t="shared" si="7"/>
        <v>1</v>
      </c>
      <c r="AI23" t="b">
        <f t="shared" si="7"/>
        <v>1</v>
      </c>
      <c r="AJ23" t="b">
        <f t="shared" si="7"/>
        <v>1</v>
      </c>
    </row>
    <row r="24" spans="5:36" x14ac:dyDescent="0.4">
      <c r="E24" t="str">
        <v>fixed_leg.cashflows.[0].end_date</v>
      </c>
      <c r="F24" t="str">
        <v>2022-03-12</v>
      </c>
      <c r="G24" t="str" cm="1">
        <f t="array" ref="G24">_xll.ExLibris.Json.GetJsonValue($F$1,E24, EXLIBRIS_CONFIGURATION)</f>
        <v>2022-03-12</v>
      </c>
      <c r="I24" t="str">
        <v>2023-09-03</v>
      </c>
      <c r="J24" t="str">
        <v>2023-03-07</v>
      </c>
      <c r="K24" t="str">
        <v>2023-09-03</v>
      </c>
      <c r="L24" t="str">
        <v>ACT/360</v>
      </c>
      <c r="M24">
        <v>11000000</v>
      </c>
      <c r="N24">
        <v>1.3000000000000002E-3</v>
      </c>
      <c r="P24" t="s">
        <v>34</v>
      </c>
      <c r="Q24" t="s">
        <v>93</v>
      </c>
      <c r="R24" t="s">
        <v>93</v>
      </c>
      <c r="T24" t="s">
        <v>97</v>
      </c>
      <c r="U24" t="s">
        <v>96</v>
      </c>
      <c r="V24" t="s">
        <v>97</v>
      </c>
      <c r="W24" t="s">
        <v>8</v>
      </c>
      <c r="X24">
        <v>11000000</v>
      </c>
      <c r="Y24">
        <v>1.3000000000000002E-3</v>
      </c>
      <c r="AA24" t="b">
        <f t="shared" si="5"/>
        <v>1</v>
      </c>
      <c r="AB24" t="b">
        <f t="shared" si="6"/>
        <v>1</v>
      </c>
      <c r="AC24" t="b">
        <f t="shared" si="6"/>
        <v>1</v>
      </c>
      <c r="AE24" t="b">
        <f t="shared" si="7"/>
        <v>1</v>
      </c>
      <c r="AF24" t="b">
        <f t="shared" si="7"/>
        <v>1</v>
      </c>
      <c r="AG24" t="b">
        <f t="shared" si="7"/>
        <v>1</v>
      </c>
      <c r="AH24" t="b">
        <f t="shared" si="7"/>
        <v>1</v>
      </c>
      <c r="AI24" t="b">
        <f t="shared" si="7"/>
        <v>1</v>
      </c>
      <c r="AJ24" t="b">
        <f t="shared" si="7"/>
        <v>1</v>
      </c>
    </row>
    <row r="25" spans="5:36" x14ac:dyDescent="0.4">
      <c r="E25" t="str">
        <v>fixed_leg.cashflows.[0].day_count_type</v>
      </c>
      <c r="F25" t="str">
        <v>ACT/360</v>
      </c>
      <c r="G25" t="str" cm="1">
        <f t="array" ref="G25">_xll.ExLibris.Json.GetJsonValue($F$1,E25, EXLIBRIS_CONFIGURATION)</f>
        <v>ACT/360</v>
      </c>
      <c r="I25" t="str">
        <v>2024-03-01</v>
      </c>
      <c r="J25" t="str">
        <v>2023-09-03</v>
      </c>
      <c r="K25" t="str">
        <v>2024-03-01</v>
      </c>
      <c r="L25" t="str">
        <v>ACT/360</v>
      </c>
      <c r="M25">
        <v>12000000</v>
      </c>
      <c r="N25">
        <v>1.4000000000000002E-3</v>
      </c>
      <c r="P25" t="s">
        <v>35</v>
      </c>
      <c r="Q25" t="s">
        <v>8</v>
      </c>
      <c r="R25" t="s">
        <v>8</v>
      </c>
      <c r="T25" t="s">
        <v>98</v>
      </c>
      <c r="U25" t="s">
        <v>97</v>
      </c>
      <c r="V25" t="s">
        <v>98</v>
      </c>
      <c r="W25" t="s">
        <v>8</v>
      </c>
      <c r="X25">
        <v>12000000</v>
      </c>
      <c r="Y25">
        <v>1.4000000000000002E-3</v>
      </c>
      <c r="AA25" t="b">
        <f t="shared" si="5"/>
        <v>1</v>
      </c>
      <c r="AB25" t="b">
        <f t="shared" si="6"/>
        <v>1</v>
      </c>
      <c r="AC25" t="b">
        <f t="shared" si="6"/>
        <v>1</v>
      </c>
      <c r="AE25" t="b">
        <f t="shared" si="7"/>
        <v>1</v>
      </c>
      <c r="AF25" t="b">
        <f t="shared" si="7"/>
        <v>1</v>
      </c>
      <c r="AG25" t="b">
        <f t="shared" si="7"/>
        <v>1</v>
      </c>
      <c r="AH25" t="b">
        <f t="shared" si="7"/>
        <v>1</v>
      </c>
      <c r="AI25" t="b">
        <f t="shared" si="7"/>
        <v>1</v>
      </c>
      <c r="AJ25" t="b">
        <f t="shared" si="7"/>
        <v>1</v>
      </c>
    </row>
    <row r="26" spans="5:36" x14ac:dyDescent="0.4">
      <c r="E26" t="str">
        <v>fixed_leg.cashflows.[0].amout</v>
      </c>
      <c r="F26">
        <v>10000000</v>
      </c>
      <c r="G26" cm="1">
        <f t="array" ref="G26">_xll.ExLibris.Json.GetJsonValue($F$1,E26, EXLIBRIS_CONFIGURATION)</f>
        <v>10000000</v>
      </c>
      <c r="I26" t="str">
        <v>2024-08-28</v>
      </c>
      <c r="J26" t="str">
        <v>2024-03-01</v>
      </c>
      <c r="K26" t="str">
        <v>2024-08-28</v>
      </c>
      <c r="L26" t="str">
        <v>ACT/360</v>
      </c>
      <c r="M26">
        <v>12000000</v>
      </c>
      <c r="N26">
        <v>1.5000000000000002E-3</v>
      </c>
      <c r="P26" t="s">
        <v>36</v>
      </c>
      <c r="Q26">
        <v>10000000</v>
      </c>
      <c r="R26">
        <v>10000000</v>
      </c>
      <c r="T26" t="s">
        <v>99</v>
      </c>
      <c r="U26" t="s">
        <v>98</v>
      </c>
      <c r="V26" t="s">
        <v>99</v>
      </c>
      <c r="W26" t="s">
        <v>8</v>
      </c>
      <c r="X26">
        <v>12000000</v>
      </c>
      <c r="Y26">
        <v>1.5000000000000002E-3</v>
      </c>
      <c r="AA26" t="b">
        <f t="shared" si="5"/>
        <v>1</v>
      </c>
      <c r="AB26" t="b">
        <f t="shared" si="6"/>
        <v>1</v>
      </c>
      <c r="AC26" t="b">
        <f t="shared" si="6"/>
        <v>1</v>
      </c>
      <c r="AE26" t="b">
        <f t="shared" si="7"/>
        <v>1</v>
      </c>
      <c r="AF26" t="b">
        <f t="shared" si="7"/>
        <v>1</v>
      </c>
      <c r="AG26" t="b">
        <f t="shared" si="7"/>
        <v>1</v>
      </c>
      <c r="AH26" t="b">
        <f t="shared" si="7"/>
        <v>1</v>
      </c>
      <c r="AI26" t="b">
        <f t="shared" si="7"/>
        <v>1</v>
      </c>
      <c r="AJ26" t="b">
        <f t="shared" si="7"/>
        <v>1</v>
      </c>
    </row>
    <row r="27" spans="5:36" x14ac:dyDescent="0.4">
      <c r="E27" t="str">
        <v>fixed_leg.cashflows.[0].fixed_rate</v>
      </c>
      <c r="F27">
        <v>1E-3</v>
      </c>
      <c r="G27" cm="1">
        <f t="array" ref="G27">_xll.ExLibris.Json.GetJsonValue($F$1,E27, EXLIBRIS_CONFIGURATION)</f>
        <v>1E-3</v>
      </c>
      <c r="P27" t="s">
        <v>37</v>
      </c>
      <c r="Q27">
        <v>1E-3</v>
      </c>
      <c r="R27">
        <v>1E-3</v>
      </c>
      <c r="AA27" t="b">
        <f t="shared" si="5"/>
        <v>1</v>
      </c>
      <c r="AB27" t="b">
        <f t="shared" si="6"/>
        <v>1</v>
      </c>
      <c r="AC27" t="b">
        <f t="shared" si="6"/>
        <v>1</v>
      </c>
    </row>
    <row r="28" spans="5:36" x14ac:dyDescent="0.4">
      <c r="E28" t="str">
        <v>fixed_leg.cashflows.[1].payment _date</v>
      </c>
      <c r="F28" t="str">
        <v>2022-09-08</v>
      </c>
      <c r="G28" t="str" cm="1">
        <f t="array" ref="G28">_xll.ExLibris.Json.GetJsonValue($F$1,E28, EXLIBRIS_CONFIGURATION)</f>
        <v>2022-09-08</v>
      </c>
      <c r="I28" t="str" cm="1">
        <f t="array" ref="I28">_xll.ExLibris.Json.GetJsonValue(I19,"[2]", EXLIBRIS_CONFIGURATION)</f>
        <v>JsonObject:875821EB-1FF5-4415-A293-F1DC5EC637E9</v>
      </c>
      <c r="P28" t="s">
        <v>38</v>
      </c>
      <c r="Q28" t="s">
        <v>95</v>
      </c>
      <c r="R28" t="s">
        <v>95</v>
      </c>
      <c r="AA28" t="b">
        <f t="shared" si="5"/>
        <v>1</v>
      </c>
      <c r="AB28" t="b">
        <f t="shared" si="6"/>
        <v>1</v>
      </c>
      <c r="AC28" t="b">
        <f t="shared" si="6"/>
        <v>1</v>
      </c>
    </row>
    <row r="29" spans="5:36" x14ac:dyDescent="0.4">
      <c r="E29" t="str">
        <v>fixed_leg.cashflows.[1].start_date</v>
      </c>
      <c r="F29" t="str">
        <v>2022-03-12</v>
      </c>
      <c r="G29" t="str" cm="1">
        <f t="array" ref="G29">_xll.ExLibris.Json.GetJsonValue($F$1,E29, EXLIBRIS_CONFIGURATION)</f>
        <v>2022-03-12</v>
      </c>
      <c r="I29" t="str" cm="1">
        <f t="array" ref="I29:N30">_xll.ExLibris.Json.GetJsonTable(I28, EXLIBRIS_CONFIGURATION)</f>
        <v>payment _date</v>
      </c>
      <c r="J29" t="str">
        <v>start_date</v>
      </c>
      <c r="K29" t="str">
        <v>end_date</v>
      </c>
      <c r="L29" t="str">
        <v>day_count_type</v>
      </c>
      <c r="M29" t="str">
        <v>amout</v>
      </c>
      <c r="N29" t="str">
        <v>fixed_rate</v>
      </c>
      <c r="P29" t="s">
        <v>39</v>
      </c>
      <c r="Q29" t="s">
        <v>93</v>
      </c>
      <c r="R29" t="s">
        <v>93</v>
      </c>
      <c r="T29" t="s">
        <v>0</v>
      </c>
      <c r="U29" t="s">
        <v>2</v>
      </c>
      <c r="V29" t="s">
        <v>4</v>
      </c>
      <c r="W29" t="s">
        <v>6</v>
      </c>
      <c r="X29" t="s">
        <v>10</v>
      </c>
      <c r="Y29" t="s">
        <v>12</v>
      </c>
      <c r="AA29" t="b">
        <f t="shared" si="5"/>
        <v>1</v>
      </c>
      <c r="AB29" t="b">
        <f t="shared" si="6"/>
        <v>1</v>
      </c>
      <c r="AC29" t="b">
        <f t="shared" si="6"/>
        <v>1</v>
      </c>
      <c r="AE29" t="b">
        <f t="shared" ref="AE29:AJ30" si="8">I29=T29</f>
        <v>1</v>
      </c>
      <c r="AF29" t="b">
        <f t="shared" si="8"/>
        <v>1</v>
      </c>
      <c r="AG29" t="b">
        <f t="shared" si="8"/>
        <v>1</v>
      </c>
      <c r="AH29" t="b">
        <f t="shared" si="8"/>
        <v>1</v>
      </c>
      <c r="AI29" t="b">
        <f t="shared" si="8"/>
        <v>1</v>
      </c>
      <c r="AJ29" t="b">
        <f t="shared" si="8"/>
        <v>1</v>
      </c>
    </row>
    <row r="30" spans="5:36" x14ac:dyDescent="0.4">
      <c r="E30" t="str">
        <v>fixed_leg.cashflows.[1].end_date</v>
      </c>
      <c r="F30" t="str">
        <v>2022-09-08</v>
      </c>
      <c r="G30" t="str" cm="1">
        <f t="array" ref="G30">_xll.ExLibris.Json.GetJsonValue($F$1,E30, EXLIBRIS_CONFIGURATION)</f>
        <v>2022-09-08</v>
      </c>
      <c r="I30" t="str">
        <v>2023-03-07</v>
      </c>
      <c r="J30" t="str">
        <v>2022-09-08</v>
      </c>
      <c r="K30" t="str">
        <v>2023-03-07</v>
      </c>
      <c r="L30" t="str">
        <v>ACT/360</v>
      </c>
      <c r="M30">
        <v>11000000</v>
      </c>
      <c r="N30">
        <v>1.2000000000000001E-3</v>
      </c>
      <c r="P30" t="s">
        <v>40</v>
      </c>
      <c r="Q30" t="s">
        <v>95</v>
      </c>
      <c r="R30" t="s">
        <v>95</v>
      </c>
      <c r="T30" t="s">
        <v>96</v>
      </c>
      <c r="U30" t="s">
        <v>95</v>
      </c>
      <c r="V30" t="s">
        <v>96</v>
      </c>
      <c r="W30" t="s">
        <v>8</v>
      </c>
      <c r="X30">
        <v>11000000</v>
      </c>
      <c r="Y30">
        <v>1.2000000000000001E-3</v>
      </c>
      <c r="AA30" t="b">
        <f t="shared" si="5"/>
        <v>1</v>
      </c>
      <c r="AB30" t="b">
        <f t="shared" si="6"/>
        <v>1</v>
      </c>
      <c r="AC30" t="b">
        <f t="shared" si="6"/>
        <v>1</v>
      </c>
      <c r="AE30" t="b">
        <f t="shared" si="8"/>
        <v>1</v>
      </c>
      <c r="AF30" t="b">
        <f t="shared" si="8"/>
        <v>1</v>
      </c>
      <c r="AG30" t="b">
        <f t="shared" si="8"/>
        <v>1</v>
      </c>
      <c r="AH30" t="b">
        <f t="shared" si="8"/>
        <v>1</v>
      </c>
      <c r="AI30" t="b">
        <f t="shared" si="8"/>
        <v>1</v>
      </c>
      <c r="AJ30" t="b">
        <f t="shared" si="8"/>
        <v>1</v>
      </c>
    </row>
    <row r="31" spans="5:36" x14ac:dyDescent="0.4">
      <c r="E31" t="str">
        <v>fixed_leg.cashflows.[1].day_count_type</v>
      </c>
      <c r="F31" t="str">
        <v>ACT/360</v>
      </c>
      <c r="G31" t="str" cm="1">
        <f t="array" ref="G31">_xll.ExLibris.Json.GetJsonValue($F$1,E31, EXLIBRIS_CONFIGURATION)</f>
        <v>ACT/360</v>
      </c>
      <c r="P31" t="s">
        <v>41</v>
      </c>
      <c r="Q31" t="s">
        <v>8</v>
      </c>
      <c r="R31" t="s">
        <v>8</v>
      </c>
      <c r="AA31" t="b">
        <f t="shared" si="5"/>
        <v>1</v>
      </c>
      <c r="AB31" t="b">
        <f t="shared" si="6"/>
        <v>1</v>
      </c>
      <c r="AC31" t="b">
        <f t="shared" si="6"/>
        <v>1</v>
      </c>
    </row>
    <row r="32" spans="5:36" x14ac:dyDescent="0.4">
      <c r="E32" t="str">
        <v>fixed_leg.cashflows.[1].amout</v>
      </c>
      <c r="F32">
        <v>10000000</v>
      </c>
      <c r="G32" cm="1">
        <f t="array" ref="G32">_xll.ExLibris.Json.GetJsonValue($F$1,E32, EXLIBRIS_CONFIGURATION)</f>
        <v>10000000</v>
      </c>
      <c r="I32" t="str" cm="1">
        <f t="array" ref="I32">_xll.ExLibris.Json.GetJsonValue(F1,E6,EXLIBRIS_CONFIGURATION)</f>
        <v>JsonObject:F3C0C828-B9BB-41D0-BF5D-DEE79978C521</v>
      </c>
      <c r="P32" t="s">
        <v>42</v>
      </c>
      <c r="Q32">
        <v>10000000</v>
      </c>
      <c r="R32">
        <v>10000000</v>
      </c>
      <c r="AA32" t="b">
        <f t="shared" si="5"/>
        <v>1</v>
      </c>
      <c r="AB32" t="b">
        <f t="shared" si="6"/>
        <v>1</v>
      </c>
      <c r="AC32" t="b">
        <f t="shared" si="6"/>
        <v>1</v>
      </c>
    </row>
    <row r="33" spans="5:36" x14ac:dyDescent="0.4">
      <c r="E33" t="str">
        <v>fixed_leg.cashflows.[1].fixed_rate</v>
      </c>
      <c r="F33">
        <v>1.1000000000000001E-3</v>
      </c>
      <c r="G33" cm="1">
        <f t="array" ref="G33">_xll.ExLibris.Json.GetJsonValue($F$1,E33, EXLIBRIS_CONFIGURATION)</f>
        <v>1.1000000000000001E-3</v>
      </c>
      <c r="I33" t="str" cm="1">
        <f t="array" ref="I33">_xll.ExLibris.Json.SeachJsonArrayElements(I32,I8,I11,EXLIBRIS_CONFIGURATION)</f>
        <v>JsonObject:B07D1FDD-E38F-49EA-A53F-AF9F240EDE74</v>
      </c>
      <c r="P33" t="s">
        <v>43</v>
      </c>
      <c r="Q33">
        <v>1.1000000000000001E-3</v>
      </c>
      <c r="R33">
        <v>1.1000000000000001E-3</v>
      </c>
      <c r="AA33" t="b">
        <f t="shared" si="5"/>
        <v>1</v>
      </c>
      <c r="AB33" t="b">
        <f t="shared" si="6"/>
        <v>1</v>
      </c>
      <c r="AC33" t="b">
        <f t="shared" si="6"/>
        <v>1</v>
      </c>
    </row>
    <row r="34" spans="5:36" x14ac:dyDescent="0.4">
      <c r="E34" t="str">
        <v>fixed_leg.cashflows.[2].payment _date</v>
      </c>
      <c r="F34" t="str">
        <v>2023-03-07</v>
      </c>
      <c r="G34" t="str" cm="1">
        <f t="array" ref="G34">_xll.ExLibris.Json.GetJsonValue($F$1,E34, EXLIBRIS_CONFIGURATION)</f>
        <v>2023-03-07</v>
      </c>
      <c r="I34" t="str" cm="1">
        <f t="array" ref="I34:N36">_xll.ExLibris.Json.GetJsonTable(I33, EXLIBRIS_CONFIGURATION)</f>
        <v>payment _date</v>
      </c>
      <c r="J34" t="str">
        <v>start_date</v>
      </c>
      <c r="K34" t="str">
        <v>end_date</v>
      </c>
      <c r="L34" t="str">
        <v>day_count_type</v>
      </c>
      <c r="M34" t="str">
        <v>amout</v>
      </c>
      <c r="N34" t="str">
        <v>fixed_rate</v>
      </c>
      <c r="P34" t="s">
        <v>44</v>
      </c>
      <c r="Q34" t="s">
        <v>96</v>
      </c>
      <c r="R34" t="s">
        <v>96</v>
      </c>
      <c r="T34" t="s">
        <v>0</v>
      </c>
      <c r="U34" t="s">
        <v>2</v>
      </c>
      <c r="V34" t="s">
        <v>4</v>
      </c>
      <c r="W34" t="s">
        <v>6</v>
      </c>
      <c r="X34" t="s">
        <v>10</v>
      </c>
      <c r="Y34" t="s">
        <v>12</v>
      </c>
      <c r="AA34" t="b">
        <f t="shared" si="5"/>
        <v>1</v>
      </c>
      <c r="AB34" t="b">
        <f t="shared" si="6"/>
        <v>1</v>
      </c>
      <c r="AC34" t="b">
        <f t="shared" si="6"/>
        <v>1</v>
      </c>
      <c r="AE34" t="b">
        <f t="shared" ref="AE34:AE36" si="9">I34=T34</f>
        <v>1</v>
      </c>
      <c r="AF34" t="b">
        <f t="shared" ref="AF34:AF36" si="10">J34=U34</f>
        <v>1</v>
      </c>
      <c r="AG34" t="b">
        <f t="shared" ref="AG34:AG36" si="11">K34=V34</f>
        <v>1</v>
      </c>
      <c r="AH34" t="b">
        <f t="shared" ref="AH34:AH36" si="12">L34=W34</f>
        <v>1</v>
      </c>
      <c r="AI34" t="b">
        <f t="shared" ref="AI34:AI36" si="13">M34=X34</f>
        <v>1</v>
      </c>
      <c r="AJ34" t="b">
        <f t="shared" ref="AJ34:AJ36" si="14">N34=Y34</f>
        <v>1</v>
      </c>
    </row>
    <row r="35" spans="5:36" x14ac:dyDescent="0.4">
      <c r="E35" t="str">
        <v>fixed_leg.cashflows.[2].start_date</v>
      </c>
      <c r="F35" t="str">
        <v>2022-09-08</v>
      </c>
      <c r="G35" t="str" cm="1">
        <f t="array" ref="G35">_xll.ExLibris.Json.GetJsonValue($F$1,E35, EXLIBRIS_CONFIGURATION)</f>
        <v>2022-09-08</v>
      </c>
      <c r="I35" t="str">
        <v>2023-03-07</v>
      </c>
      <c r="J35" t="str">
        <v>2022-09-08</v>
      </c>
      <c r="K35" t="str">
        <v>2023-03-07</v>
      </c>
      <c r="L35" t="str">
        <v>ACT/360</v>
      </c>
      <c r="M35">
        <v>11000000</v>
      </c>
      <c r="N35">
        <v>1.2000000000000001E-3</v>
      </c>
      <c r="P35" t="s">
        <v>45</v>
      </c>
      <c r="Q35" t="s">
        <v>95</v>
      </c>
      <c r="R35" t="s">
        <v>95</v>
      </c>
      <c r="T35" t="s">
        <v>96</v>
      </c>
      <c r="U35" t="s">
        <v>95</v>
      </c>
      <c r="V35" t="s">
        <v>96</v>
      </c>
      <c r="W35" t="s">
        <v>8</v>
      </c>
      <c r="X35">
        <v>11000000</v>
      </c>
      <c r="Y35">
        <v>1.2000000000000001E-3</v>
      </c>
      <c r="AA35" t="b">
        <f t="shared" si="5"/>
        <v>1</v>
      </c>
      <c r="AB35" t="b">
        <f t="shared" si="6"/>
        <v>1</v>
      </c>
      <c r="AC35" t="b">
        <f t="shared" si="6"/>
        <v>1</v>
      </c>
      <c r="AE35" t="b">
        <f t="shared" si="9"/>
        <v>1</v>
      </c>
      <c r="AF35" t="b">
        <f t="shared" si="10"/>
        <v>1</v>
      </c>
      <c r="AG35" t="b">
        <f t="shared" si="11"/>
        <v>1</v>
      </c>
      <c r="AH35" t="b">
        <f t="shared" si="12"/>
        <v>1</v>
      </c>
      <c r="AI35" t="b">
        <f t="shared" si="13"/>
        <v>1</v>
      </c>
      <c r="AJ35" t="b">
        <f t="shared" si="14"/>
        <v>1</v>
      </c>
    </row>
    <row r="36" spans="5:36" x14ac:dyDescent="0.4">
      <c r="E36" t="str">
        <v>fixed_leg.cashflows.[2].end_date</v>
      </c>
      <c r="F36" t="str">
        <v>2023-03-07</v>
      </c>
      <c r="G36" t="str" cm="1">
        <f t="array" ref="G36">_xll.ExLibris.Json.GetJsonValue($F$1,E36, EXLIBRIS_CONFIGURATION)</f>
        <v>2023-03-07</v>
      </c>
      <c r="I36" t="str">
        <v>2023-09-03</v>
      </c>
      <c r="J36" t="str">
        <v>2023-03-07</v>
      </c>
      <c r="K36" t="str">
        <v>2023-09-03</v>
      </c>
      <c r="L36" t="str">
        <v>ACT/360</v>
      </c>
      <c r="M36">
        <v>11000000</v>
      </c>
      <c r="N36">
        <v>1.3000000000000002E-3</v>
      </c>
      <c r="P36" t="s">
        <v>46</v>
      </c>
      <c r="Q36" t="s">
        <v>96</v>
      </c>
      <c r="R36" t="s">
        <v>96</v>
      </c>
      <c r="T36" t="s">
        <v>97</v>
      </c>
      <c r="U36" t="s">
        <v>96</v>
      </c>
      <c r="V36" t="s">
        <v>97</v>
      </c>
      <c r="W36" t="s">
        <v>8</v>
      </c>
      <c r="X36">
        <v>11000000</v>
      </c>
      <c r="Y36">
        <v>1.3000000000000002E-3</v>
      </c>
      <c r="AA36" t="b">
        <f t="shared" si="5"/>
        <v>1</v>
      </c>
      <c r="AB36" t="b">
        <f t="shared" si="6"/>
        <v>1</v>
      </c>
      <c r="AC36" t="b">
        <f t="shared" si="6"/>
        <v>1</v>
      </c>
      <c r="AE36" t="b">
        <f t="shared" si="9"/>
        <v>1</v>
      </c>
      <c r="AF36" t="b">
        <f t="shared" si="10"/>
        <v>1</v>
      </c>
      <c r="AG36" t="b">
        <f t="shared" si="11"/>
        <v>1</v>
      </c>
      <c r="AH36" t="b">
        <f t="shared" si="12"/>
        <v>1</v>
      </c>
      <c r="AI36" t="b">
        <f t="shared" si="13"/>
        <v>1</v>
      </c>
      <c r="AJ36" t="b">
        <f t="shared" si="14"/>
        <v>1</v>
      </c>
    </row>
    <row r="37" spans="5:36" x14ac:dyDescent="0.4">
      <c r="E37" t="str">
        <v>fixed_leg.cashflows.[2].day_count_type</v>
      </c>
      <c r="F37" t="str">
        <v>ACT/360</v>
      </c>
      <c r="G37" t="str" cm="1">
        <f t="array" ref="G37">_xll.ExLibris.Json.GetJsonValue($F$1,E37, EXLIBRIS_CONFIGURATION)</f>
        <v>ACT/360</v>
      </c>
      <c r="P37" t="s">
        <v>47</v>
      </c>
      <c r="Q37" t="s">
        <v>8</v>
      </c>
      <c r="R37" t="s">
        <v>8</v>
      </c>
      <c r="AA37" t="b">
        <f t="shared" si="5"/>
        <v>1</v>
      </c>
      <c r="AB37" t="b">
        <f t="shared" si="6"/>
        <v>1</v>
      </c>
      <c r="AC37" t="b">
        <f t="shared" si="6"/>
        <v>1</v>
      </c>
    </row>
    <row r="38" spans="5:36" x14ac:dyDescent="0.4">
      <c r="E38" t="str">
        <v>fixed_leg.cashflows.[2].amout</v>
      </c>
      <c r="F38">
        <v>11000000</v>
      </c>
      <c r="G38" cm="1">
        <f t="array" ref="G38">_xll.ExLibris.Json.GetJsonValue($F$1,E38, EXLIBRIS_CONFIGURATION)</f>
        <v>11000000</v>
      </c>
      <c r="I38" t="str" cm="1">
        <f t="array" ref="I38">_xll.ExLibris.Json.SeachJsonArrayElements(I32,J8,J11,EXLIBRIS_CONFIGURATION)</f>
        <v>JsonObject:5EBFCDC0-2BFB-446C-8F34-FA4F7D2AFD22</v>
      </c>
      <c r="P38" t="s">
        <v>48</v>
      </c>
      <c r="Q38">
        <v>11000000</v>
      </c>
      <c r="R38">
        <v>11000000</v>
      </c>
      <c r="AA38" t="b">
        <f t="shared" si="5"/>
        <v>1</v>
      </c>
      <c r="AB38" t="b">
        <f t="shared" si="6"/>
        <v>1</v>
      </c>
      <c r="AC38" t="b">
        <f t="shared" si="6"/>
        <v>1</v>
      </c>
    </row>
    <row r="39" spans="5:36" x14ac:dyDescent="0.4">
      <c r="E39" t="str">
        <v>fixed_leg.cashflows.[2].fixed_rate</v>
      </c>
      <c r="F39">
        <v>1.2000000000000001E-3</v>
      </c>
      <c r="G39" cm="1">
        <f t="array" ref="G39">_xll.ExLibris.Json.GetJsonValue($F$1,E39, EXLIBRIS_CONFIGURATION)</f>
        <v>1.2000000000000001E-3</v>
      </c>
      <c r="I39" t="str" cm="1">
        <f t="array" ref="I39:N40">_xll.ExLibris.Json.GetJsonTable(I38, EXLIBRIS_CONFIGURATION)</f>
        <v>payment _date</v>
      </c>
      <c r="J39" t="str">
        <v>start_date</v>
      </c>
      <c r="K39" t="str">
        <v>end_date</v>
      </c>
      <c r="L39" t="str">
        <v>day_count_type</v>
      </c>
      <c r="M39" t="str">
        <v>amout</v>
      </c>
      <c r="N39" t="str">
        <v>fixed_rate</v>
      </c>
      <c r="P39" t="s">
        <v>49</v>
      </c>
      <c r="Q39">
        <v>1.2000000000000001E-3</v>
      </c>
      <c r="R39">
        <v>1.2000000000000001E-3</v>
      </c>
      <c r="T39" t="s">
        <v>0</v>
      </c>
      <c r="U39" t="s">
        <v>2</v>
      </c>
      <c r="V39" t="s">
        <v>4</v>
      </c>
      <c r="W39" t="s">
        <v>6</v>
      </c>
      <c r="X39" t="s">
        <v>10</v>
      </c>
      <c r="Y39" t="s">
        <v>12</v>
      </c>
      <c r="AA39" t="b">
        <f t="shared" si="5"/>
        <v>1</v>
      </c>
      <c r="AB39" t="b">
        <f t="shared" si="6"/>
        <v>1</v>
      </c>
      <c r="AC39" t="b">
        <f t="shared" si="6"/>
        <v>1</v>
      </c>
      <c r="AE39" t="b">
        <f t="shared" ref="AE39:AE40" si="15">I39=T39</f>
        <v>1</v>
      </c>
      <c r="AF39" t="b">
        <f t="shared" ref="AF39:AF40" si="16">J39=U39</f>
        <v>1</v>
      </c>
      <c r="AG39" t="b">
        <f t="shared" ref="AG39:AG40" si="17">K39=V39</f>
        <v>1</v>
      </c>
      <c r="AH39" t="b">
        <f t="shared" ref="AH39:AH40" si="18">L39=W39</f>
        <v>1</v>
      </c>
      <c r="AI39" t="b">
        <f t="shared" ref="AI39:AI40" si="19">M39=X39</f>
        <v>1</v>
      </c>
      <c r="AJ39" t="b">
        <f t="shared" ref="AJ39:AJ40" si="20">N39=Y39</f>
        <v>1</v>
      </c>
    </row>
    <row r="40" spans="5:36" x14ac:dyDescent="0.4">
      <c r="E40" t="str">
        <v>fixed_leg.cashflows.[3].payment _date</v>
      </c>
      <c r="F40" t="str">
        <v>2023-09-03</v>
      </c>
      <c r="G40" t="str" cm="1">
        <f t="array" ref="G40">_xll.ExLibris.Json.GetJsonValue($F$1,E40, EXLIBRIS_CONFIGURATION)</f>
        <v>2023-09-03</v>
      </c>
      <c r="I40" t="str">
        <v>2023-03-07</v>
      </c>
      <c r="J40" t="str">
        <v>2022-09-08</v>
      </c>
      <c r="K40" t="str">
        <v>2023-03-07</v>
      </c>
      <c r="L40" t="str">
        <v>ACT/360</v>
      </c>
      <c r="M40">
        <v>11000000</v>
      </c>
      <c r="N40">
        <v>1.2000000000000001E-3</v>
      </c>
      <c r="P40" t="s">
        <v>50</v>
      </c>
      <c r="Q40" t="s">
        <v>97</v>
      </c>
      <c r="R40" t="s">
        <v>97</v>
      </c>
      <c r="T40" t="s">
        <v>96</v>
      </c>
      <c r="U40" t="s">
        <v>95</v>
      </c>
      <c r="V40" t="s">
        <v>96</v>
      </c>
      <c r="W40" t="s">
        <v>8</v>
      </c>
      <c r="X40">
        <v>11000000</v>
      </c>
      <c r="Y40">
        <v>1.2000000000000001E-3</v>
      </c>
      <c r="AA40" t="b">
        <f t="shared" si="5"/>
        <v>1</v>
      </c>
      <c r="AB40" t="b">
        <f t="shared" si="6"/>
        <v>1</v>
      </c>
      <c r="AC40" t="b">
        <f t="shared" si="6"/>
        <v>1</v>
      </c>
      <c r="AE40" t="b">
        <f t="shared" si="15"/>
        <v>1</v>
      </c>
      <c r="AF40" t="b">
        <f t="shared" si="16"/>
        <v>1</v>
      </c>
      <c r="AG40" t="b">
        <f t="shared" si="17"/>
        <v>1</v>
      </c>
      <c r="AH40" t="b">
        <f t="shared" si="18"/>
        <v>1</v>
      </c>
      <c r="AI40" t="b">
        <f t="shared" si="19"/>
        <v>1</v>
      </c>
      <c r="AJ40" t="b">
        <f t="shared" si="20"/>
        <v>1</v>
      </c>
    </row>
    <row r="41" spans="5:36" x14ac:dyDescent="0.4">
      <c r="E41" t="str">
        <v>fixed_leg.cashflows.[3].start_date</v>
      </c>
      <c r="F41" t="str">
        <v>2023-03-07</v>
      </c>
      <c r="G41" t="str" cm="1">
        <f t="array" ref="G41">_xll.ExLibris.Json.GetJsonValue($F$1,E41, EXLIBRIS_CONFIGURATION)</f>
        <v>2023-03-07</v>
      </c>
      <c r="P41" t="s">
        <v>51</v>
      </c>
      <c r="Q41" t="s">
        <v>96</v>
      </c>
      <c r="R41" t="s">
        <v>96</v>
      </c>
      <c r="AA41" t="b">
        <f t="shared" si="5"/>
        <v>1</v>
      </c>
      <c r="AB41" t="b">
        <f t="shared" si="6"/>
        <v>1</v>
      </c>
      <c r="AC41" t="b">
        <f t="shared" si="6"/>
        <v>1</v>
      </c>
    </row>
    <row r="42" spans="5:36" x14ac:dyDescent="0.4">
      <c r="E42" t="str">
        <v>fixed_leg.cashflows.[3].end_date</v>
      </c>
      <c r="F42" t="str">
        <v>2023-09-03</v>
      </c>
      <c r="G42" t="str" cm="1">
        <f t="array" ref="G42">_xll.ExLibris.Json.GetJsonValue($F$1,E42, EXLIBRIS_CONFIGURATION)</f>
        <v>2023-09-03</v>
      </c>
      <c r="I42" t="str" cm="1">
        <f t="array" ref="I42">_xll.ExLibris.Json.SeachJsonArrayElements(I32,J8,,EXLIBRIS_CONFIGURATION)</f>
        <v>JsonObject:95DA0C50-D59E-4BF1-B4EF-C7268FCEA62A</v>
      </c>
      <c r="P42" t="s">
        <v>52</v>
      </c>
      <c r="Q42" t="s">
        <v>97</v>
      </c>
      <c r="R42" t="s">
        <v>97</v>
      </c>
      <c r="AA42" t="b">
        <f t="shared" si="5"/>
        <v>1</v>
      </c>
      <c r="AB42" t="b">
        <f t="shared" si="6"/>
        <v>1</v>
      </c>
      <c r="AC42" t="b">
        <f t="shared" si="6"/>
        <v>1</v>
      </c>
    </row>
    <row r="43" spans="5:36" x14ac:dyDescent="0.4">
      <c r="E43" t="str">
        <v>fixed_leg.cashflows.[3].day_count_type</v>
      </c>
      <c r="F43" t="str">
        <v>ACT/360</v>
      </c>
      <c r="G43" t="str" cm="1">
        <f t="array" ref="G43">_xll.ExLibris.Json.GetJsonValue($F$1,E43, EXLIBRIS_CONFIGURATION)</f>
        <v>ACT/360</v>
      </c>
      <c r="I43" t="str" cm="1">
        <f t="array" ref="I43">_xll.ExLibris.Json.GetJsonTable(I42, EXLIBRIS_CONFIGURATION)</f>
        <v/>
      </c>
      <c r="P43" t="s">
        <v>53</v>
      </c>
      <c r="Q43" t="s">
        <v>8</v>
      </c>
      <c r="R43" t="s">
        <v>8</v>
      </c>
      <c r="T43" t="s">
        <v>116</v>
      </c>
      <c r="AA43" t="b">
        <f t="shared" si="5"/>
        <v>1</v>
      </c>
      <c r="AB43" t="b">
        <f t="shared" si="6"/>
        <v>1</v>
      </c>
      <c r="AC43" t="b">
        <f t="shared" si="6"/>
        <v>1</v>
      </c>
      <c r="AE43" t="b">
        <f t="shared" ref="AE43" si="21">I43=T43</f>
        <v>1</v>
      </c>
    </row>
    <row r="44" spans="5:36" x14ac:dyDescent="0.4">
      <c r="E44" t="str">
        <v>fixed_leg.cashflows.[3].amout</v>
      </c>
      <c r="F44">
        <v>11000000</v>
      </c>
      <c r="G44" cm="1">
        <f t="array" ref="G44">_xll.ExLibris.Json.GetJsonValue($F$1,E44, EXLIBRIS_CONFIGURATION)</f>
        <v>11000000</v>
      </c>
      <c r="P44" t="s">
        <v>54</v>
      </c>
      <c r="Q44">
        <v>11000000</v>
      </c>
      <c r="R44">
        <v>11000000</v>
      </c>
      <c r="AA44" t="b">
        <f t="shared" si="5"/>
        <v>1</v>
      </c>
      <c r="AB44" t="b">
        <f t="shared" si="6"/>
        <v>1</v>
      </c>
      <c r="AC44" t="b">
        <f t="shared" si="6"/>
        <v>1</v>
      </c>
    </row>
    <row r="45" spans="5:36" x14ac:dyDescent="0.4">
      <c r="E45" t="str">
        <v>fixed_leg.cashflows.[3].fixed_rate</v>
      </c>
      <c r="F45">
        <v>1.3000000000000002E-3</v>
      </c>
      <c r="G45" cm="1">
        <f t="array" ref="G45">_xll.ExLibris.Json.GetJsonValue($F$1,E45, EXLIBRIS_CONFIGURATION)</f>
        <v>1.3000000000000002E-3</v>
      </c>
      <c r="P45" t="s">
        <v>55</v>
      </c>
      <c r="Q45">
        <v>1.3000000000000002E-3</v>
      </c>
      <c r="R45">
        <v>1.3000000000000002E-3</v>
      </c>
      <c r="AA45" t="b">
        <f t="shared" si="5"/>
        <v>1</v>
      </c>
      <c r="AB45" t="b">
        <f t="shared" si="6"/>
        <v>1</v>
      </c>
      <c r="AC45" t="b">
        <f t="shared" si="6"/>
        <v>1</v>
      </c>
    </row>
    <row r="46" spans="5:36" x14ac:dyDescent="0.4">
      <c r="E46" t="str">
        <v>fixed_leg.cashflows.[4].payment _date</v>
      </c>
      <c r="F46" t="str">
        <v>2024-03-01</v>
      </c>
      <c r="G46" t="str" cm="1">
        <f t="array" ref="G46">_xll.ExLibris.Json.GetJsonValue($F$1,E46, EXLIBRIS_CONFIGURATION)</f>
        <v>2024-03-01</v>
      </c>
      <c r="P46" t="s">
        <v>56</v>
      </c>
      <c r="Q46" t="s">
        <v>98</v>
      </c>
      <c r="R46" t="s">
        <v>98</v>
      </c>
      <c r="AA46" t="b">
        <f t="shared" si="5"/>
        <v>1</v>
      </c>
      <c r="AB46" t="b">
        <f t="shared" si="6"/>
        <v>1</v>
      </c>
      <c r="AC46" t="b">
        <f t="shared" si="6"/>
        <v>1</v>
      </c>
    </row>
    <row r="47" spans="5:36" x14ac:dyDescent="0.4">
      <c r="E47" t="str">
        <v>fixed_leg.cashflows.[4].start_date</v>
      </c>
      <c r="F47" t="str">
        <v>2023-09-03</v>
      </c>
      <c r="G47" t="str" cm="1">
        <f t="array" ref="G47">_xll.ExLibris.Json.GetJsonValue($F$1,E47, EXLIBRIS_CONFIGURATION)</f>
        <v>2023-09-03</v>
      </c>
      <c r="P47" t="s">
        <v>57</v>
      </c>
      <c r="Q47" t="s">
        <v>97</v>
      </c>
      <c r="R47" t="s">
        <v>97</v>
      </c>
      <c r="AA47" t="b">
        <f t="shared" si="5"/>
        <v>1</v>
      </c>
      <c r="AB47" t="b">
        <f t="shared" si="6"/>
        <v>1</v>
      </c>
      <c r="AC47" t="b">
        <f t="shared" si="6"/>
        <v>1</v>
      </c>
    </row>
    <row r="48" spans="5:36" x14ac:dyDescent="0.4">
      <c r="E48" t="str">
        <v>fixed_leg.cashflows.[4].end_date</v>
      </c>
      <c r="F48" t="str">
        <v>2024-03-01</v>
      </c>
      <c r="G48" t="str" cm="1">
        <f t="array" ref="G48">_xll.ExLibris.Json.GetJsonValue($F$1,E48, EXLIBRIS_CONFIGURATION)</f>
        <v>2024-03-01</v>
      </c>
      <c r="P48" t="s">
        <v>58</v>
      </c>
      <c r="Q48" t="s">
        <v>98</v>
      </c>
      <c r="R48" t="s">
        <v>98</v>
      </c>
      <c r="AA48" t="b">
        <f t="shared" si="5"/>
        <v>1</v>
      </c>
      <c r="AB48" t="b">
        <f t="shared" si="6"/>
        <v>1</v>
      </c>
      <c r="AC48" t="b">
        <f t="shared" si="6"/>
        <v>1</v>
      </c>
    </row>
    <row r="49" spans="5:29" x14ac:dyDescent="0.4">
      <c r="E49" t="str">
        <v>fixed_leg.cashflows.[4].day_count_type</v>
      </c>
      <c r="F49" t="str">
        <v>ACT/360</v>
      </c>
      <c r="G49" t="str" cm="1">
        <f t="array" ref="G49">_xll.ExLibris.Json.GetJsonValue($F$1,E49, EXLIBRIS_CONFIGURATION)</f>
        <v>ACT/360</v>
      </c>
      <c r="P49" t="s">
        <v>59</v>
      </c>
      <c r="Q49" t="s">
        <v>8</v>
      </c>
      <c r="R49" t="s">
        <v>8</v>
      </c>
      <c r="AA49" t="b">
        <f t="shared" si="5"/>
        <v>1</v>
      </c>
      <c r="AB49" t="b">
        <f t="shared" si="6"/>
        <v>1</v>
      </c>
      <c r="AC49" t="b">
        <f t="shared" si="6"/>
        <v>1</v>
      </c>
    </row>
    <row r="50" spans="5:29" x14ac:dyDescent="0.4">
      <c r="E50" t="str">
        <v>fixed_leg.cashflows.[4].amout</v>
      </c>
      <c r="F50">
        <v>12000000</v>
      </c>
      <c r="G50" cm="1">
        <f t="array" ref="G50">_xll.ExLibris.Json.GetJsonValue($F$1,E50, EXLIBRIS_CONFIGURATION)</f>
        <v>12000000</v>
      </c>
      <c r="P50" t="s">
        <v>60</v>
      </c>
      <c r="Q50">
        <v>12000000</v>
      </c>
      <c r="R50">
        <v>12000000</v>
      </c>
      <c r="AA50" t="b">
        <f t="shared" si="5"/>
        <v>1</v>
      </c>
      <c r="AB50" t="b">
        <f t="shared" si="6"/>
        <v>1</v>
      </c>
      <c r="AC50" t="b">
        <f t="shared" si="6"/>
        <v>1</v>
      </c>
    </row>
    <row r="51" spans="5:29" x14ac:dyDescent="0.4">
      <c r="E51" t="str">
        <v>fixed_leg.cashflows.[4].fixed_rate</v>
      </c>
      <c r="F51">
        <v>1.4000000000000002E-3</v>
      </c>
      <c r="G51" cm="1">
        <f t="array" ref="G51">_xll.ExLibris.Json.GetJsonValue($F$1,E51, EXLIBRIS_CONFIGURATION)</f>
        <v>1.4000000000000002E-3</v>
      </c>
      <c r="P51" t="s">
        <v>61</v>
      </c>
      <c r="Q51">
        <v>1.4000000000000002E-3</v>
      </c>
      <c r="R51">
        <v>1.4000000000000002E-3</v>
      </c>
      <c r="AA51" t="b">
        <f t="shared" si="5"/>
        <v>1</v>
      </c>
      <c r="AB51" t="b">
        <f t="shared" si="6"/>
        <v>1</v>
      </c>
      <c r="AC51" t="b">
        <f t="shared" si="6"/>
        <v>1</v>
      </c>
    </row>
    <row r="52" spans="5:29" x14ac:dyDescent="0.4">
      <c r="E52" t="str">
        <v>fixed_leg.cashflows.[5].payment _date</v>
      </c>
      <c r="F52" t="str">
        <v>2024-08-28</v>
      </c>
      <c r="G52" t="str" cm="1">
        <f t="array" ref="G52">_xll.ExLibris.Json.GetJsonValue($F$1,E52, EXLIBRIS_CONFIGURATION)</f>
        <v>2024-08-28</v>
      </c>
      <c r="P52" t="s">
        <v>62</v>
      </c>
      <c r="Q52" t="s">
        <v>99</v>
      </c>
      <c r="R52" t="s">
        <v>99</v>
      </c>
      <c r="AA52" t="b">
        <f t="shared" si="5"/>
        <v>1</v>
      </c>
      <c r="AB52" t="b">
        <f t="shared" si="6"/>
        <v>1</v>
      </c>
      <c r="AC52" t="b">
        <f t="shared" si="6"/>
        <v>1</v>
      </c>
    </row>
    <row r="53" spans="5:29" x14ac:dyDescent="0.4">
      <c r="E53" t="str">
        <v>fixed_leg.cashflows.[5].start_date</v>
      </c>
      <c r="F53" t="str">
        <v>2024-03-01</v>
      </c>
      <c r="G53" t="str" cm="1">
        <f t="array" ref="G53">_xll.ExLibris.Json.GetJsonValue($F$1,E53, EXLIBRIS_CONFIGURATION)</f>
        <v>2024-03-01</v>
      </c>
      <c r="P53" t="s">
        <v>63</v>
      </c>
      <c r="Q53" t="s">
        <v>98</v>
      </c>
      <c r="R53" t="s">
        <v>98</v>
      </c>
      <c r="AA53" t="b">
        <f t="shared" si="5"/>
        <v>1</v>
      </c>
      <c r="AB53" t="b">
        <f t="shared" si="6"/>
        <v>1</v>
      </c>
      <c r="AC53" t="b">
        <f t="shared" si="6"/>
        <v>1</v>
      </c>
    </row>
    <row r="54" spans="5:29" x14ac:dyDescent="0.4">
      <c r="E54" t="str">
        <v>fixed_leg.cashflows.[5].end_date</v>
      </c>
      <c r="F54" t="str">
        <v>2024-08-28</v>
      </c>
      <c r="G54" t="str" cm="1">
        <f t="array" ref="G54">_xll.ExLibris.Json.GetJsonValue($F$1,E54, EXLIBRIS_CONFIGURATION)</f>
        <v>2024-08-28</v>
      </c>
      <c r="P54" t="s">
        <v>64</v>
      </c>
      <c r="Q54" t="s">
        <v>99</v>
      </c>
      <c r="R54" t="s">
        <v>99</v>
      </c>
      <c r="AA54" t="b">
        <f t="shared" si="5"/>
        <v>1</v>
      </c>
      <c r="AB54" t="b">
        <f t="shared" si="6"/>
        <v>1</v>
      </c>
      <c r="AC54" t="b">
        <f t="shared" si="6"/>
        <v>1</v>
      </c>
    </row>
    <row r="55" spans="5:29" x14ac:dyDescent="0.4">
      <c r="E55" t="str">
        <v>fixed_leg.cashflows.[5].day_count_type</v>
      </c>
      <c r="F55" t="str">
        <v>ACT/360</v>
      </c>
      <c r="G55" t="str" cm="1">
        <f t="array" ref="G55">_xll.ExLibris.Json.GetJsonValue($F$1,E55, EXLIBRIS_CONFIGURATION)</f>
        <v>ACT/360</v>
      </c>
      <c r="P55" t="s">
        <v>65</v>
      </c>
      <c r="Q55" t="s">
        <v>8</v>
      </c>
      <c r="R55" t="s">
        <v>8</v>
      </c>
      <c r="AA55" t="b">
        <f t="shared" si="5"/>
        <v>1</v>
      </c>
      <c r="AB55" t="b">
        <f t="shared" si="6"/>
        <v>1</v>
      </c>
      <c r="AC55" t="b">
        <f t="shared" si="6"/>
        <v>1</v>
      </c>
    </row>
    <row r="56" spans="5:29" x14ac:dyDescent="0.4">
      <c r="E56" t="str">
        <v>fixed_leg.cashflows.[5].amout</v>
      </c>
      <c r="F56">
        <v>12000000</v>
      </c>
      <c r="G56" cm="1">
        <f t="array" ref="G56">_xll.ExLibris.Json.GetJsonValue($F$1,E56, EXLIBRIS_CONFIGURATION)</f>
        <v>12000000</v>
      </c>
      <c r="P56" t="s">
        <v>66</v>
      </c>
      <c r="Q56">
        <v>12000000</v>
      </c>
      <c r="R56">
        <v>12000000</v>
      </c>
      <c r="AA56" t="b">
        <f t="shared" si="5"/>
        <v>1</v>
      </c>
      <c r="AB56" t="b">
        <f t="shared" si="6"/>
        <v>1</v>
      </c>
      <c r="AC56" t="b">
        <f t="shared" si="6"/>
        <v>1</v>
      </c>
    </row>
    <row r="57" spans="5:29" x14ac:dyDescent="0.4">
      <c r="E57" t="str">
        <v>fixed_leg.cashflows.[5].fixed_rate</v>
      </c>
      <c r="F57">
        <v>1.5000000000000002E-3</v>
      </c>
      <c r="G57" cm="1">
        <f t="array" ref="G57">_xll.ExLibris.Json.GetJsonValue($F$1,E57, EXLIBRIS_CONFIGURATION)</f>
        <v>1.5000000000000002E-3</v>
      </c>
      <c r="P57" t="s">
        <v>67</v>
      </c>
      <c r="Q57">
        <v>1.5000000000000002E-3</v>
      </c>
      <c r="R57">
        <v>1.5000000000000002E-3</v>
      </c>
      <c r="AA57" t="b">
        <f t="shared" si="5"/>
        <v>1</v>
      </c>
      <c r="AB57" t="b">
        <f t="shared" si="6"/>
        <v>1</v>
      </c>
      <c r="AC57" t="b">
        <f t="shared" si="6"/>
        <v>1</v>
      </c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31E65-5244-494C-A4E6-E2042CA25001}">
  <dimension ref="B2:H15"/>
  <sheetViews>
    <sheetView workbookViewId="0"/>
  </sheetViews>
  <sheetFormatPr defaultRowHeight="18.75" x14ac:dyDescent="0.4"/>
  <cols>
    <col min="1" max="1" width="3.5" customWidth="1"/>
    <col min="2" max="2" width="39.625" bestFit="1" customWidth="1"/>
    <col min="3" max="3" width="19.375" customWidth="1"/>
    <col min="5" max="5" width="39.625" bestFit="1" customWidth="1"/>
  </cols>
  <sheetData>
    <row r="2" spans="2:8" x14ac:dyDescent="0.4">
      <c r="B2" t="s">
        <v>84</v>
      </c>
      <c r="C2" t="str" cm="1">
        <f t="array" ref="C2">_xll.ExLibris.LoadConfiguration(B6:C15)</f>
        <v>ExLibris.Core.ExLibrisConfiguration:071D03FE-BA0D-4934-B18A-AE48943CECDE</v>
      </c>
    </row>
    <row r="4" spans="2:8" s="4" customFormat="1" ht="18" x14ac:dyDescent="0.4">
      <c r="B4" s="4" t="s">
        <v>86</v>
      </c>
      <c r="E4" s="4" t="s">
        <v>85</v>
      </c>
    </row>
    <row r="6" spans="2:8" x14ac:dyDescent="0.4">
      <c r="B6" t="s">
        <v>76</v>
      </c>
      <c r="C6" t="s">
        <v>77</v>
      </c>
      <c r="E6" t="str" cm="1">
        <f t="array" ref="E6:F15">_xll.ExLibris.DumpObject(EXLIBRIS_CONFIGURATION)</f>
        <v>excel_value.excel_error_to</v>
      </c>
      <c r="F6" t="str">
        <v>Error</v>
      </c>
      <c r="H6" t="str" cm="1">
        <f t="array" ref="H6:H13">_xll.ExLibris.ObserveRegisteredObjects()</f>
        <v>ExLibris.Core.WebAPIs.WebAPI:6005D771-739F-4C99-9176-660635E7D7B5</v>
      </c>
    </row>
    <row r="7" spans="2:8" x14ac:dyDescent="0.4">
      <c r="B7" t="s">
        <v>78</v>
      </c>
      <c r="C7" t="s">
        <v>79</v>
      </c>
      <c r="E7" t="str">
        <v>excel_value.excel_missing_to</v>
      </c>
      <c r="F7" t="str">
        <v>Null</v>
      </c>
      <c r="H7" t="str">
        <v>JsonObject:050D24DC-EACE-4A93-BFB3-5F276238AEF8</v>
      </c>
    </row>
    <row r="8" spans="2:8" x14ac:dyDescent="0.4">
      <c r="B8" t="s">
        <v>80</v>
      </c>
      <c r="C8" t="s">
        <v>79</v>
      </c>
      <c r="E8" t="str">
        <v>excel_value.excel_empty_to</v>
      </c>
      <c r="F8" t="str">
        <v>Null</v>
      </c>
      <c r="H8" t="str">
        <v>ExLibris.Core.WebAPIs.WebAPI:11382C18-9847-4A62-A7DD-9DA6C08F5EC7</v>
      </c>
    </row>
    <row r="9" spans="2:8" x14ac:dyDescent="0.4">
      <c r="B9" t="s">
        <v>81</v>
      </c>
      <c r="C9" t="s">
        <v>79</v>
      </c>
      <c r="E9" t="str">
        <v>excel_value.excel_string_empty_to</v>
      </c>
      <c r="F9" t="str">
        <v>Null</v>
      </c>
      <c r="H9" t="str">
        <v>JsonObject:C6C326E0-1662-49FC-81C0-2E8B3665ECE1</v>
      </c>
    </row>
    <row r="10" spans="2:8" x14ac:dyDescent="0.4">
      <c r="B10" t="s">
        <v>82</v>
      </c>
      <c r="C10" t="s">
        <v>87</v>
      </c>
      <c r="E10" t="str">
        <v>excel_value.null_to_excel</v>
      </c>
      <c r="F10" t="str">
        <v>StringEmpty</v>
      </c>
      <c r="H10" t="str">
        <v>ExLibris.Core.WebSockets.WebsocketClient:66FBBE7C-6569-4F7C-9D15-9056F70AA2DD</v>
      </c>
    </row>
    <row r="11" spans="2:8" x14ac:dyDescent="0.4">
      <c r="B11" t="s">
        <v>83</v>
      </c>
      <c r="C11" t="s">
        <v>87</v>
      </c>
      <c r="E11" t="str">
        <v>excel_value.string_empty_to_excel</v>
      </c>
      <c r="F11" t="str">
        <v>StringEmpty</v>
      </c>
      <c r="H11" t="str">
        <v>ExLibris.Core.WebAPIs.WebAPI:D11EFF26-B3A3-4171-B2DD-FB4B5CA5E165</v>
      </c>
    </row>
    <row r="12" spans="2:8" x14ac:dyDescent="0.4">
      <c r="B12" t="s">
        <v>88</v>
      </c>
      <c r="C12" t="s">
        <v>89</v>
      </c>
      <c r="E12" t="str">
        <v>json.double_to_date_text.[0].date_format</v>
      </c>
      <c r="F12" t="str">
        <v>yyyy-MM-dd</v>
      </c>
      <c r="H12" t="str">
        <v>ExLibris.Core.WebSockets.WebsocketClient:80B14C47-6803-42B1-979B-8DE44E17200C</v>
      </c>
    </row>
    <row r="13" spans="2:8" x14ac:dyDescent="0.4">
      <c r="B13" t="s">
        <v>90</v>
      </c>
      <c r="C13" t="s">
        <v>1</v>
      </c>
      <c r="E13" t="str">
        <v>json.double_to_date_text.[0].keys.[0]</v>
      </c>
      <c r="F13" t="str">
        <v>payment _date</v>
      </c>
      <c r="H13" t="str">
        <v>ExLibris.Core.ExLibrisConfiguration:071D03FE-BA0D-4934-B18A-AE48943CECDE</v>
      </c>
    </row>
    <row r="14" spans="2:8" x14ac:dyDescent="0.4">
      <c r="B14" t="s">
        <v>91</v>
      </c>
      <c r="C14" t="s">
        <v>3</v>
      </c>
      <c r="E14" t="str">
        <v>json.double_to_date_text.[0].keys.[1]</v>
      </c>
      <c r="F14" t="str">
        <v>start_date</v>
      </c>
    </row>
    <row r="15" spans="2:8" x14ac:dyDescent="0.4">
      <c r="B15" t="s">
        <v>92</v>
      </c>
      <c r="C15" t="s">
        <v>5</v>
      </c>
      <c r="E15" t="str">
        <v>json.double_to_date_text.[0].keys.[2]</v>
      </c>
      <c r="F15" t="str">
        <v>end_date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ACF1-D52B-4405-9E6D-D2579DCD0199}">
  <dimension ref="B2:E28"/>
  <sheetViews>
    <sheetView workbookViewId="0"/>
  </sheetViews>
  <sheetFormatPr defaultRowHeight="18.75" x14ac:dyDescent="0.4"/>
  <cols>
    <col min="1" max="1" width="2.25" customWidth="1"/>
    <col min="3" max="3" width="2.25" customWidth="1"/>
    <col min="4" max="4" width="10.625" bestFit="1" customWidth="1"/>
    <col min="5" max="5" width="9.375" bestFit="1" customWidth="1"/>
  </cols>
  <sheetData>
    <row r="2" spans="2:5" s="4" customFormat="1" ht="18" x14ac:dyDescent="0.4">
      <c r="B2" s="4" t="s">
        <v>100</v>
      </c>
    </row>
    <row r="4" spans="2:5" x14ac:dyDescent="0.4">
      <c r="D4" t="s">
        <v>110</v>
      </c>
      <c r="E4" t="str" cm="1">
        <f t="array" ref="E4">_xll.ExLibris.WebSockets.OpenWebSocket("ws://localhost:10101",,D4)</f>
        <v>ExLibris.Core.WebSockets.WebsocketClient:80B14C47-6803-42B1-979B-8DE44E17200C</v>
      </c>
    </row>
    <row r="6" spans="2:5" x14ac:dyDescent="0.4">
      <c r="D6" t="s">
        <v>101</v>
      </c>
      <c r="E6" t="str" cm="1">
        <f t="array" ref="E6">_xll.ExLibris.WebSockets.ObserveWebSocketStatus(E4,1000)</f>
        <v>Closed</v>
      </c>
    </row>
    <row r="7" spans="2:5" x14ac:dyDescent="0.4">
      <c r="D7" t="s">
        <v>102</v>
      </c>
      <c r="E7" t="e" cm="1">
        <f t="array" ref="E7">_xll.ExLibris.WebSockets.ObserveWebSocketMessage(E4)</f>
        <v>#N/A</v>
      </c>
    </row>
    <row r="9" spans="2:5" x14ac:dyDescent="0.4">
      <c r="D9" t="s">
        <v>103</v>
      </c>
      <c r="E9" t="e" cm="1">
        <f t="array" ref="E9">_xll.ExLibris.WebSockets.SendWebSocketMessage(E4,"test "&amp;D9,E6="Open")</f>
        <v>#N/A</v>
      </c>
    </row>
    <row r="10" spans="2:5" x14ac:dyDescent="0.4">
      <c r="D10" t="s">
        <v>104</v>
      </c>
      <c r="E10" t="e" cm="1">
        <f t="array" ref="E10">_xll.ExLibris.WebSockets.SendWebSocketMessage($E$4,"test next "&amp;D10,E9)</f>
        <v>#N/A</v>
      </c>
    </row>
    <row r="11" spans="2:5" x14ac:dyDescent="0.4">
      <c r="D11" t="s">
        <v>105</v>
      </c>
      <c r="E11" t="e" cm="1">
        <f t="array" ref="E11">_xll.ExLibris.WebSockets.SendWebSocketMessage($E$4,"test next "&amp;D11,E10)</f>
        <v>#N/A</v>
      </c>
    </row>
    <row r="12" spans="2:5" x14ac:dyDescent="0.4">
      <c r="D12" t="s">
        <v>106</v>
      </c>
      <c r="E12" t="e" cm="1">
        <f t="array" ref="E12">_xll.ExLibris.WebSockets.SendWebSocketMessage($E$4,"test next "&amp;D12,E11)</f>
        <v>#N/A</v>
      </c>
    </row>
    <row r="13" spans="2:5" x14ac:dyDescent="0.4">
      <c r="D13" t="s">
        <v>107</v>
      </c>
      <c r="E13" t="e" cm="1">
        <f t="array" ref="E13">_xll.ExLibris.WebSockets.SendWebSocketMessage($E$4,"test next "&amp;D13,E12)</f>
        <v>#N/A</v>
      </c>
    </row>
    <row r="14" spans="2:5" x14ac:dyDescent="0.4">
      <c r="D14" t="s">
        <v>108</v>
      </c>
      <c r="E14" t="e" cm="1">
        <f t="array" ref="E14">_xll.ExLibris.WebSockets.SendWebSocketMessage($E$4,"test next "&amp;D14,E13)</f>
        <v>#N/A</v>
      </c>
    </row>
    <row r="15" spans="2:5" x14ac:dyDescent="0.4">
      <c r="D15" t="s">
        <v>109</v>
      </c>
      <c r="E15" t="e" cm="1">
        <f t="array" ref="E15">_xll.ExLibris.WebSockets.SendWebSocketMessage($E$4,"test next "&amp;D15,E14)</f>
        <v>#N/A</v>
      </c>
    </row>
    <row r="17" spans="4:5" x14ac:dyDescent="0.4">
      <c r="D17" t="s">
        <v>112</v>
      </c>
      <c r="E17" t="str" cm="1">
        <f t="array" ref="E17">_xll.ExLibris.WebSockets.OpenWebSocket("ws://localhost:10101",,D17)</f>
        <v>ExLibris.Core.WebSockets.WebsocketClient:66FBBE7C-6569-4F7C-9D15-9056F70AA2DD</v>
      </c>
    </row>
    <row r="19" spans="4:5" x14ac:dyDescent="0.4">
      <c r="D19" t="s">
        <v>101</v>
      </c>
      <c r="E19" t="str" cm="1">
        <f t="array" ref="E19">_xll.ExLibris.WebSockets.ObserveWebSocketStatus(E17,1000)</f>
        <v>Closed</v>
      </c>
    </row>
    <row r="20" spans="4:5" x14ac:dyDescent="0.4">
      <c r="D20" t="s">
        <v>102</v>
      </c>
      <c r="E20" t="e" cm="1">
        <f t="array" ref="E20">_xll.ExLibris.WebSockets.ObserveWebSocketMessage(E17)</f>
        <v>#N/A</v>
      </c>
    </row>
    <row r="22" spans="4:5" x14ac:dyDescent="0.4">
      <c r="D22" t="s">
        <v>103</v>
      </c>
      <c r="E22" t="e" cm="1">
        <f t="array" ref="E22">_xll.ExLibris.WebSockets.SendWebSocketMessage(E17,"test "&amp;D22,E19="Open")</f>
        <v>#N/A</v>
      </c>
    </row>
    <row r="23" spans="4:5" x14ac:dyDescent="0.4">
      <c r="D23" t="s">
        <v>104</v>
      </c>
      <c r="E23" t="e" cm="1">
        <f t="array" ref="E23">_xll.ExLibris.WebSockets.SendWebSocketMessage($E$4,"test next "&amp;D23,E22)</f>
        <v>#N/A</v>
      </c>
    </row>
    <row r="24" spans="4:5" x14ac:dyDescent="0.4">
      <c r="D24" t="s">
        <v>105</v>
      </c>
      <c r="E24" t="e" cm="1">
        <f t="array" ref="E24">_xll.ExLibris.WebSockets.SendWebSocketMessage($E$4,"test next "&amp;D24,E23)</f>
        <v>#N/A</v>
      </c>
    </row>
    <row r="25" spans="4:5" x14ac:dyDescent="0.4">
      <c r="D25" t="s">
        <v>106</v>
      </c>
      <c r="E25" t="e" cm="1">
        <f t="array" ref="E25">_xll.ExLibris.WebSockets.SendWebSocketMessage($E$4,"test next "&amp;D25,E24)</f>
        <v>#N/A</v>
      </c>
    </row>
    <row r="26" spans="4:5" x14ac:dyDescent="0.4">
      <c r="D26" t="s">
        <v>107</v>
      </c>
      <c r="E26" t="e" cm="1">
        <f t="array" ref="E26">_xll.ExLibris.WebSockets.SendWebSocketMessage($E$4,"test next "&amp;D26,E25)</f>
        <v>#N/A</v>
      </c>
    </row>
    <row r="27" spans="4:5" x14ac:dyDescent="0.4">
      <c r="D27" t="s">
        <v>108</v>
      </c>
      <c r="E27" t="e" cm="1">
        <f t="array" ref="E27">_xll.ExLibris.WebSockets.SendWebSocketMessage($E$4,"test next "&amp;D27,E26)</f>
        <v>#N/A</v>
      </c>
    </row>
    <row r="28" spans="4:5" x14ac:dyDescent="0.4">
      <c r="D28" t="s">
        <v>109</v>
      </c>
      <c r="E28" t="e" cm="1">
        <f t="array" ref="E28">_xll.ExLibris.WebSockets.SendWebSocketMessage($E$4,"test next "&amp;D28,E27)</f>
        <v>#N/A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52036-D85E-4010-85A4-72DC442287D3}">
  <dimension ref="B2:N63"/>
  <sheetViews>
    <sheetView tabSelected="1" workbookViewId="0"/>
  </sheetViews>
  <sheetFormatPr defaultRowHeight="18.75" x14ac:dyDescent="0.4"/>
  <cols>
    <col min="4" max="4" width="9.375" bestFit="1" customWidth="1"/>
  </cols>
  <sheetData>
    <row r="2" spans="2:4" x14ac:dyDescent="0.4">
      <c r="B2" t="s">
        <v>120</v>
      </c>
      <c r="C2" s="7" t="s">
        <v>127</v>
      </c>
    </row>
    <row r="3" spans="2:4" x14ac:dyDescent="0.4">
      <c r="C3" t="s">
        <v>126</v>
      </c>
    </row>
    <row r="5" spans="2:4" x14ac:dyDescent="0.4">
      <c r="B5" t="s">
        <v>129</v>
      </c>
      <c r="C5" t="str" cm="1">
        <f t="array" ref="C5">_xll.ExLibris.WebAPIs.OpenWebSocket($C$2,B5)</f>
        <v>ExLibris.Core.WebAPIs.WebAPI:D11EFF26-B3A3-4171-B2DD-FB4B5CA5E165</v>
      </c>
    </row>
    <row r="6" spans="2:4" x14ac:dyDescent="0.4">
      <c r="B6" t="s">
        <v>125</v>
      </c>
      <c r="C6" t="s">
        <v>124</v>
      </c>
      <c r="D6" t="s">
        <v>121</v>
      </c>
    </row>
    <row r="7" spans="2:4" x14ac:dyDescent="0.4">
      <c r="C7" t="s">
        <v>122</v>
      </c>
      <c r="D7" t="str" cm="1">
        <f t="array" ref="D7">_xll.ExLibris.WebAPIs.WebAPIGet(C5,D6)</f>
        <v>ExLibris.Core.WebAPIs.Response:D5DD101C-3DDE-4177-AD74-E08CB471FDFC</v>
      </c>
    </row>
    <row r="8" spans="2:4" x14ac:dyDescent="0.4">
      <c r="C8" t="s">
        <v>123</v>
      </c>
      <c r="D8" t="str" cm="1">
        <f t="array" ref="D8">_xll.ExLibris.WebAPIs.WebAPIRequestContent(D7)</f>
        <v xml:space="preserve">{
  "args": {}, 
  "headers": {
    "Host": "localhost"
  }, 
  "origin": "172.17.0.1", 
  "url": "http://localhost/get"
}
</v>
      </c>
    </row>
    <row r="9" spans="2:4" x14ac:dyDescent="0.4">
      <c r="C9" t="s">
        <v>101</v>
      </c>
      <c r="D9" t="str" cm="1">
        <f t="array" ref="D9">_xll.ExLibris.WebAPIs.WebAPIResponseStatus(D7)</f>
        <v>OK(200)</v>
      </c>
    </row>
    <row r="10" spans="2:4" x14ac:dyDescent="0.4">
      <c r="C10" t="s">
        <v>138</v>
      </c>
      <c r="D10" t="str" cm="1">
        <f t="array" ref="D10">_xll.ExLibris.WebAPIs.WebAPIResponseHeader(D7)</f>
        <v xml:space="preserve">Connection: keep-alive_x000D_
Access-Control-Allow-Origin: *_x000D_
Access-Control-Allow-Credentials: true_x000D_
Date: Thu, 23 Sep 2021 13:30:27 GMT_x000D_
Server: gunicorn/19.9.0_x000D_
</v>
      </c>
    </row>
    <row r="11" spans="2:4" x14ac:dyDescent="0.4">
      <c r="B11" t="s">
        <v>139</v>
      </c>
      <c r="C11" t="s">
        <v>124</v>
      </c>
      <c r="D11" t="s">
        <v>140</v>
      </c>
    </row>
    <row r="12" spans="2:4" x14ac:dyDescent="0.4">
      <c r="C12" t="s">
        <v>122</v>
      </c>
      <c r="D12" t="str" cm="1">
        <f t="array" ref="D12">_xll.ExLibris.WebAPIs.WebAPIPost(C5,D11)</f>
        <v>ExLibris.Core.WebAPIs.Response:2D1CF90E-67C6-458B-926D-0ED46CC87802</v>
      </c>
    </row>
    <row r="13" spans="2:4" x14ac:dyDescent="0.4">
      <c r="C13" t="s">
        <v>123</v>
      </c>
      <c r="D13" t="str" cm="1">
        <f t="array" ref="D13">_xll.ExLibris.WebAPIs.WebAPIRequestContent(D12)</f>
        <v xml:space="preserve">{
  "args": {}, 
  "data": "", 
  "files": {}, 
  "form": {}, 
  "headers": {
    "Content-Length": "0", 
    "Host": "localhost"
  }, 
  "json": null, 
  "origin": "172.17.0.1", 
  "url": "http://localhost/post"
}
</v>
      </c>
    </row>
    <row r="14" spans="2:4" x14ac:dyDescent="0.4">
      <c r="C14" t="s">
        <v>101</v>
      </c>
      <c r="D14" t="str" cm="1">
        <f t="array" ref="D14">_xll.ExLibris.WebAPIs.WebAPIResponseStatus(D12)</f>
        <v>OK(200)</v>
      </c>
    </row>
    <row r="15" spans="2:4" x14ac:dyDescent="0.4">
      <c r="C15" t="s">
        <v>138</v>
      </c>
      <c r="D15" t="str" cm="1">
        <f t="array" ref="D15">_xll.ExLibris.WebAPIs.WebAPIResponseHeader(D12)</f>
        <v xml:space="preserve">Connection: keep-alive_x000D_
Access-Control-Allow-Origin: *_x000D_
Access-Control-Allow-Credentials: true_x000D_
Date: Thu, 23 Sep 2021 13:31:14 GMT_x000D_
Server: gunicorn/19.9.0_x000D_
</v>
      </c>
    </row>
    <row r="17" spans="2:14" x14ac:dyDescent="0.4">
      <c r="B17" t="s">
        <v>128</v>
      </c>
      <c r="C17" t="str" cm="1">
        <f t="array" ref="C17">_xll.ExLibris.WebAPIs.OpenWebSocket(,B17)</f>
        <v>ExLibris.Core.WebAPIs.WebAPI:6005D771-739F-4C99-9176-660635E7D7B5</v>
      </c>
    </row>
    <row r="18" spans="2:14" x14ac:dyDescent="0.4">
      <c r="B18" t="s">
        <v>125</v>
      </c>
      <c r="C18" t="s">
        <v>124</v>
      </c>
      <c r="D18" t="str">
        <f>$C$2&amp;"get"</f>
        <v>http://localhost:80/get</v>
      </c>
    </row>
    <row r="19" spans="2:14" x14ac:dyDescent="0.4">
      <c r="C19" t="s">
        <v>122</v>
      </c>
      <c r="D19" t="str" cm="1">
        <f t="array" ref="D19">_xll.ExLibris.WebAPIs.WebAPIGet(C17,D18,C17)</f>
        <v>ExLibris.Core.WebAPIs.Response:2A0E957A-8BDC-44A6-BE3F-B49BF6A0AC27</v>
      </c>
    </row>
    <row r="20" spans="2:14" x14ac:dyDescent="0.4">
      <c r="C20" t="s">
        <v>123</v>
      </c>
      <c r="D20" t="str" cm="1">
        <f t="array" ref="D20">_xll.ExLibris.WebAPIs.WebAPIRequestContent(D19)</f>
        <v xml:space="preserve">{
  "args": {}, 
  "headers": {
    "Host": "localhost"
  }, 
  "origin": "172.17.0.1", 
  "url": "http://localhost/get"
}
</v>
      </c>
    </row>
    <row r="21" spans="2:14" x14ac:dyDescent="0.4">
      <c r="C21" t="s">
        <v>101</v>
      </c>
      <c r="D21" t="str" cm="1">
        <f t="array" ref="D21">_xll.ExLibris.WebAPIs.WebAPIResponseStatus(D19)</f>
        <v>OK(200)</v>
      </c>
    </row>
    <row r="22" spans="2:14" x14ac:dyDescent="0.4">
      <c r="C22" t="s">
        <v>138</v>
      </c>
      <c r="D22" t="str" cm="1">
        <f t="array" ref="D22">_xll.ExLibris.WebAPIs.WebAPIResponseHeader(D19)</f>
        <v xml:space="preserve">Connection: keep-alive_x000D_
Access-Control-Allow-Origin: *_x000D_
Access-Control-Allow-Credentials: true_x000D_
Date: Thu, 23 Sep 2021 13:30:27 GMT_x000D_
Server: gunicorn/19.9.0_x000D_
</v>
      </c>
    </row>
    <row r="23" spans="2:14" x14ac:dyDescent="0.4">
      <c r="B23" t="s">
        <v>139</v>
      </c>
      <c r="C23" t="s">
        <v>124</v>
      </c>
      <c r="D23" t="str">
        <f>$C$2&amp;"post"</f>
        <v>http://localhost:80/post</v>
      </c>
    </row>
    <row r="24" spans="2:14" x14ac:dyDescent="0.4">
      <c r="C24" t="s">
        <v>122</v>
      </c>
      <c r="D24" t="str" cm="1">
        <f t="array" ref="D24">_xll.ExLibris.WebAPIs.WebAPIPost(C17,D23)</f>
        <v>ExLibris.Core.WebAPIs.Response:EB67F456-93FD-4F9D-8D5B-204950FF1E1B</v>
      </c>
    </row>
    <row r="25" spans="2:14" x14ac:dyDescent="0.4">
      <c r="C25" t="s">
        <v>123</v>
      </c>
      <c r="D25" t="str" cm="1">
        <f t="array" ref="D25">_xll.ExLibris.WebAPIs.WebAPIRequestContent(D24)</f>
        <v xml:space="preserve">{
  "args": {}, 
  "data": "", 
  "files": {}, 
  "form": {}, 
  "headers": {
    "Content-Length": "0", 
    "Host": "localhost"
  }, 
  "json": null, 
  "origin": "172.17.0.1", 
  "url": "http://localhost/post"
}
</v>
      </c>
    </row>
    <row r="26" spans="2:14" x14ac:dyDescent="0.4">
      <c r="C26" t="s">
        <v>101</v>
      </c>
      <c r="D26" t="str" cm="1">
        <f t="array" ref="D26">_xll.ExLibris.WebAPIs.WebAPIResponseStatus(D24)</f>
        <v>OK(200)</v>
      </c>
    </row>
    <row r="27" spans="2:14" x14ac:dyDescent="0.4">
      <c r="C27" t="s">
        <v>138</v>
      </c>
      <c r="D27" t="str" cm="1">
        <f t="array" ref="D27">_xll.ExLibris.WebAPIs.WebAPIResponseHeader(D24)</f>
        <v xml:space="preserve">Connection: keep-alive_x000D_
Access-Control-Allow-Origin: *_x000D_
Access-Control-Allow-Credentials: true_x000D_
Date: Thu, 23 Sep 2021 13:31:56 GMT_x000D_
Server: gunicorn/19.9.0_x000D_
</v>
      </c>
    </row>
    <row r="29" spans="2:14" x14ac:dyDescent="0.4">
      <c r="B29" t="s">
        <v>130</v>
      </c>
      <c r="C29" t="str" cm="1">
        <f t="array" ref="C29">_xll.ExLibris.WebAPIs.OpenWebSocket(,B29)</f>
        <v>ExLibris.Core.WebAPIs.WebAPI:0FC229A9-94A6-486D-A316-3F1A9F5746E5</v>
      </c>
      <c r="M29" t="s">
        <v>135</v>
      </c>
    </row>
    <row r="30" spans="2:14" x14ac:dyDescent="0.4">
      <c r="B30" t="s">
        <v>125</v>
      </c>
      <c r="C30" t="s">
        <v>124</v>
      </c>
      <c r="D30" t="str" cm="1">
        <f t="array" ref="D30">_xll.ExLibris.WebAPIs.BuildUri($C$2&amp;"get",M30:N32)</f>
        <v>http://localhost:80/get?key0=WebAPI2&amp;key1.int=1&amp;key1.string=value1</v>
      </c>
      <c r="M30" t="s">
        <v>131</v>
      </c>
      <c r="N30" t="str">
        <f>B29</f>
        <v>WebAPI2</v>
      </c>
    </row>
    <row r="31" spans="2:14" x14ac:dyDescent="0.4">
      <c r="C31" t="s">
        <v>122</v>
      </c>
      <c r="D31" t="str" cm="1">
        <f t="array" ref="D31">_xll.ExLibris.WebAPIs.WebAPIGet(C29,D30,C29)</f>
        <v>ExLibris.Core.WebAPIs.Response:F403E3AA-B962-4AD4-80C0-2B8DE044D870</v>
      </c>
      <c r="M31" t="s">
        <v>132</v>
      </c>
      <c r="N31">
        <v>1</v>
      </c>
    </row>
    <row r="32" spans="2:14" x14ac:dyDescent="0.4">
      <c r="C32" t="s">
        <v>123</v>
      </c>
      <c r="D32" t="str" cm="1">
        <f t="array" ref="D32">_xll.ExLibris.WebAPIs.WebAPIRequestContent(D31)</f>
        <v xml:space="preserve">{
  "args": {
    "key0": "WebAPI2", 
    "key1.int": "1", 
    "key1.string": "value1"
  }, 
  "headers": {
    "Host": "localhost"
  }, 
  "origin": "172.17.0.1", 
  "url": "http://localhost/get?key0=WebAPI2&amp;key1.int=1&amp;key1.string=value1"
}
</v>
      </c>
      <c r="M32" t="s">
        <v>133</v>
      </c>
      <c r="N32" t="s">
        <v>134</v>
      </c>
    </row>
    <row r="33" spans="2:14" x14ac:dyDescent="0.4">
      <c r="C33" t="s">
        <v>101</v>
      </c>
      <c r="D33" t="str" cm="1">
        <f t="array" ref="D33">_xll.ExLibris.WebAPIs.WebAPIResponseStatus(D31)</f>
        <v>OK(200)</v>
      </c>
    </row>
    <row r="34" spans="2:14" x14ac:dyDescent="0.4">
      <c r="C34" t="s">
        <v>138</v>
      </c>
      <c r="D34" t="str" cm="1">
        <f t="array" ref="D34">_xll.ExLibris.WebAPIs.WebAPIResponseHeader(D31)</f>
        <v xml:space="preserve">Connection: keep-alive_x000D_
Access-Control-Allow-Origin: *_x000D_
Access-Control-Allow-Credentials: true_x000D_
Date: Thu, 23 Sep 2021 13:39:20 GMT_x000D_
Server: gunicorn/19.9.0_x000D_
</v>
      </c>
    </row>
    <row r="35" spans="2:14" x14ac:dyDescent="0.4">
      <c r="B35" t="s">
        <v>139</v>
      </c>
      <c r="C35" t="s">
        <v>124</v>
      </c>
      <c r="D35" t="str" cm="1">
        <f t="array" ref="D35">_xll.ExLibris.WebAPIs.BuildUri($C$2&amp;"post",M30:N32)</f>
        <v>http://localhost:80/post?key0=WebAPI2&amp;key1.int=1&amp;key1.string=value1</v>
      </c>
    </row>
    <row r="36" spans="2:14" x14ac:dyDescent="0.4">
      <c r="B36" t="s">
        <v>141</v>
      </c>
      <c r="C36" t="s">
        <v>122</v>
      </c>
      <c r="D36" t="str" cm="1">
        <f t="array" ref="D36">_xll.ExLibris.WebAPIs.WebAPIPost(C29,D35,M30:N32,TRUE)</f>
        <v>ExLibris.Core.WebAPIs.Response:50DF7329-245C-431C-94AC-AEB877132063</v>
      </c>
    </row>
    <row r="37" spans="2:14" x14ac:dyDescent="0.4">
      <c r="C37" t="s">
        <v>123</v>
      </c>
      <c r="D37" t="str" cm="1">
        <f t="array" ref="D37">_xll.ExLibris.WebAPIs.WebAPIRequestContent(D36)</f>
        <v xml:space="preserve">{
  "args": {
    "key0": "WebAPI2", 
    "key1.int": "1", 
    "key1.string": "value1"
  }, 
  "data": "", 
  "files": {}, 
  "form": {
    "key0": "WebAPI2", 
    "key1.int": "1", 
    "key1.string": "value1"
  }, 
  "headers": {
    "Content-Length": "42", 
    "Content-Type": "application/x-www-form-urlencoded", 
    "Expect": "100-continue", 
    "Host": "localhost"
  }, 
  "json": null, 
  "origin": "172.17.0.1", 
  "url": "http://localhost/post?key0=WebAPI2&amp;key1.int=1&amp;key1.string=value1"
}
</v>
      </c>
    </row>
    <row r="38" spans="2:14" x14ac:dyDescent="0.4">
      <c r="C38" t="s">
        <v>101</v>
      </c>
      <c r="D38" t="str" cm="1">
        <f t="array" ref="D38">_xll.ExLibris.WebAPIs.WebAPIResponseStatus(D36)</f>
        <v>OK(200)</v>
      </c>
    </row>
    <row r="39" spans="2:14" x14ac:dyDescent="0.4">
      <c r="C39" t="s">
        <v>138</v>
      </c>
      <c r="D39" t="str" cm="1">
        <f t="array" ref="D39">_xll.ExLibris.WebAPIs.WebAPIResponseHeader(D36)</f>
        <v xml:space="preserve">Connection: keep-alive_x000D_
Access-Control-Allow-Origin: *_x000D_
Access-Control-Allow-Credentials: true_x000D_
Date: Thu, 23 Sep 2021 13:39:20 GMT_x000D_
Server: gunicorn/19.9.0_x000D_
</v>
      </c>
    </row>
    <row r="41" spans="2:14" x14ac:dyDescent="0.4">
      <c r="B41" t="s">
        <v>136</v>
      </c>
      <c r="C41" t="str" cm="1">
        <f t="array" ref="C41">_xll.ExLibris.WebAPIs.OpenWebSocket(,B41)</f>
        <v>ExLibris.Core.WebAPIs.WebAPI:11382C18-9847-4A62-A7DD-9DA6C08F5EC7</v>
      </c>
      <c r="M41" t="s">
        <v>135</v>
      </c>
      <c r="N41" t="str" cm="1">
        <f t="array" ref="N41">_xll.ExLibris.Json.CreateJsonObject(M42:N44)</f>
        <v>JsonObject:C6C326E0-1662-49FC-81C0-2E8B3665ECE1</v>
      </c>
    </row>
    <row r="42" spans="2:14" x14ac:dyDescent="0.4">
      <c r="B42" t="s">
        <v>125</v>
      </c>
      <c r="C42" t="s">
        <v>124</v>
      </c>
      <c r="D42" t="str" cm="1">
        <f t="array" ref="D42">_xll.ExLibris.WebAPIs.BuildUri($C$2&amp;"get",N41)</f>
        <v>http://localhost:80/get?key0=WebAPI3&amp;key1.int=1&amp;key1.string=value1</v>
      </c>
      <c r="M42" t="s">
        <v>131</v>
      </c>
      <c r="N42" t="str">
        <f>B41</f>
        <v>WebAPI3</v>
      </c>
    </row>
    <row r="43" spans="2:14" x14ac:dyDescent="0.4">
      <c r="C43" t="s">
        <v>122</v>
      </c>
      <c r="D43" t="str" cm="1">
        <f t="array" ref="D43">_xll.ExLibris.WebAPIs.WebAPIGet(C41,D42,C41)</f>
        <v>ExLibris.Core.WebAPIs.Response:E6338FEF-3D84-4C51-A991-5BCDA1293A0E</v>
      </c>
      <c r="M43" t="s">
        <v>132</v>
      </c>
      <c r="N43">
        <v>1</v>
      </c>
    </row>
    <row r="44" spans="2:14" x14ac:dyDescent="0.4">
      <c r="C44" t="s">
        <v>123</v>
      </c>
      <c r="D44" t="str" cm="1">
        <f t="array" ref="D44">_xll.ExLibris.WebAPIs.WebAPIRequestContent(D43)</f>
        <v xml:space="preserve">{
  "args": {
    "key0": "WebAPI3", 
    "key1.int": "1", 
    "key1.string": "value1"
  }, 
  "headers": {
    "Host": "localhost"
  }, 
  "origin": "172.17.0.1", 
  "url": "http://localhost/get?key0=WebAPI3&amp;key1.int=1&amp;key1.string=value1"
}
</v>
      </c>
      <c r="M44" t="s">
        <v>133</v>
      </c>
      <c r="N44" t="s">
        <v>134</v>
      </c>
    </row>
    <row r="45" spans="2:14" x14ac:dyDescent="0.4">
      <c r="C45" t="s">
        <v>101</v>
      </c>
      <c r="D45" t="str" cm="1">
        <f t="array" ref="D45">_xll.ExLibris.WebAPIs.WebAPIResponseStatus(D43)</f>
        <v>OK(200)</v>
      </c>
    </row>
    <row r="46" spans="2:14" x14ac:dyDescent="0.4">
      <c r="C46" t="s">
        <v>138</v>
      </c>
      <c r="D46" t="str" cm="1">
        <f t="array" ref="D46">_xll.ExLibris.WebAPIs.WebAPIResponseHeader(D43)</f>
        <v xml:space="preserve">Connection: keep-alive_x000D_
Access-Control-Allow-Origin: *_x000D_
Access-Control-Allow-Credentials: true_x000D_
Date: Thu, 23 Sep 2021 13:39:20 GMT_x000D_
Server: gunicorn/19.9.0_x000D_
</v>
      </c>
    </row>
    <row r="47" spans="2:14" x14ac:dyDescent="0.4">
      <c r="B47" t="s">
        <v>139</v>
      </c>
      <c r="C47" t="s">
        <v>124</v>
      </c>
      <c r="D47" t="str" cm="1">
        <f t="array" ref="D47">_xll.ExLibris.WebAPIs.BuildUri($C$2&amp;"post",N41)</f>
        <v>http://localhost:80/post?key0=WebAPI3&amp;key1.int=1&amp;key1.string=value1</v>
      </c>
    </row>
    <row r="48" spans="2:14" x14ac:dyDescent="0.4">
      <c r="B48" t="s">
        <v>141</v>
      </c>
      <c r="C48" t="s">
        <v>122</v>
      </c>
      <c r="D48" t="str" cm="1">
        <f t="array" ref="D48">_xll.ExLibris.WebAPIs.WebAPIPost(C41,D47,N41,TRUE)</f>
        <v>ExLibris.Core.WebAPIs.Response:3FB36DB8-3092-4F07-8C6E-61A1CBB9EAB9</v>
      </c>
    </row>
    <row r="49" spans="2:14" x14ac:dyDescent="0.4">
      <c r="C49" t="s">
        <v>123</v>
      </c>
      <c r="D49" t="str" cm="1">
        <f t="array" ref="D49">_xll.ExLibris.WebAPIs.WebAPIRequestContent(D48)</f>
        <v xml:space="preserve">{
  "args": {
    "key0": "WebAPI3", 
    "key1.int": "1", 
    "key1.string": "value1"
  }, 
  "data": "", 
  "files": {}, 
  "form": {
    "key0": "WebAPI3", 
    "key1.int": "1", 
    "key1.string": "value1"
  }, 
  "headers": {
    "Content-Length": "42", 
    "Content-Type": "application/x-www-form-urlencoded", 
    "Expect": "100-continue", 
    "Host": "localhost"
  }, 
  "json": null, 
  "origin": "172.17.0.1", 
  "url": "http://localhost/post?key0=WebAPI3&amp;key1.int=1&amp;key1.string=value1"
}
</v>
      </c>
    </row>
    <row r="50" spans="2:14" x14ac:dyDescent="0.4">
      <c r="C50" t="s">
        <v>101</v>
      </c>
      <c r="D50" t="str" cm="1">
        <f t="array" ref="D50">_xll.ExLibris.WebAPIs.WebAPIResponseStatus(D48)</f>
        <v>OK(200)</v>
      </c>
    </row>
    <row r="51" spans="2:14" x14ac:dyDescent="0.4">
      <c r="C51" t="s">
        <v>138</v>
      </c>
      <c r="D51" t="str" cm="1">
        <f t="array" ref="D51">_xll.ExLibris.WebAPIs.WebAPIResponseHeader(D48)</f>
        <v xml:space="preserve">Connection: keep-alive_x000D_
Access-Control-Allow-Origin: *_x000D_
Access-Control-Allow-Credentials: true_x000D_
Date: Thu, 23 Sep 2021 13:39:20 GMT_x000D_
Server: gunicorn/19.9.0_x000D_
</v>
      </c>
    </row>
    <row r="53" spans="2:14" x14ac:dyDescent="0.4">
      <c r="B53" t="s">
        <v>137</v>
      </c>
      <c r="C53" t="str" cm="1">
        <f t="array" ref="C53">_xll.ExLibris.WebAPIs.OpenWebSocket(D54,B53)</f>
        <v>ExLibris.Core.WebAPIs.WebAPI:FF06A376-420B-4820-942F-78B3280E2A1E</v>
      </c>
      <c r="M53" t="s">
        <v>135</v>
      </c>
      <c r="N53" t="str" cm="1">
        <f t="array" ref="N53">_xll.ExLibris.Json.CreateJsonObject(M54:N56)</f>
        <v>JsonObject:050D24DC-EACE-4A93-BFB3-5F276238AEF8</v>
      </c>
    </row>
    <row r="54" spans="2:14" x14ac:dyDescent="0.4">
      <c r="B54" t="s">
        <v>125</v>
      </c>
      <c r="C54" t="s">
        <v>124</v>
      </c>
      <c r="D54" t="str" cm="1">
        <f t="array" ref="D54">_xll.ExLibris.WebAPIs.BuildUri($C$2&amp;"get",N53)</f>
        <v>http://localhost:80/get?key0=WebAPI4&amp;key1.int=1&amp;key1.string=value1</v>
      </c>
      <c r="M54" t="s">
        <v>131</v>
      </c>
      <c r="N54" t="str">
        <f>B53</f>
        <v>WebAPI4</v>
      </c>
    </row>
    <row r="55" spans="2:14" x14ac:dyDescent="0.4">
      <c r="C55" t="s">
        <v>122</v>
      </c>
      <c r="D55" t="str" cm="1">
        <f t="array" ref="D55">_xll.ExLibris.WebAPIs.WebAPIGet(C53,,C53)</f>
        <v>ExLibris.Core.WebAPIs.Response:238CAE9D-E038-4E60-9F33-596840D733E3</v>
      </c>
      <c r="M55" t="s">
        <v>132</v>
      </c>
      <c r="N55">
        <v>1</v>
      </c>
    </row>
    <row r="56" spans="2:14" x14ac:dyDescent="0.4">
      <c r="C56" t="s">
        <v>123</v>
      </c>
      <c r="D56" t="str" cm="1">
        <f t="array" ref="D56">_xll.ExLibris.WebAPIs.WebAPIRequestContent(D55)</f>
        <v xml:space="preserve">{
  "args": {
    "key0": "WebAPI4", 
    "key1.int": "1", 
    "key1.string": "value1"
  }, 
  "headers": {
    "Host": "localhost"
  }, 
  "origin": "172.17.0.1", 
  "url": "http://localhost/get?key0=WebAPI4&amp;key1.int=1&amp;key1.string=value1"
}
</v>
      </c>
      <c r="M56" t="s">
        <v>133</v>
      </c>
      <c r="N56" t="s">
        <v>134</v>
      </c>
    </row>
    <row r="57" spans="2:14" x14ac:dyDescent="0.4">
      <c r="C57" t="s">
        <v>101</v>
      </c>
      <c r="D57" t="str" cm="1">
        <f t="array" ref="D57">_xll.ExLibris.WebAPIs.WebAPIResponseStatus(D55)</f>
        <v>OK(200)</v>
      </c>
    </row>
    <row r="58" spans="2:14" x14ac:dyDescent="0.4">
      <c r="C58" t="s">
        <v>138</v>
      </c>
      <c r="D58" t="str" cm="1">
        <f t="array" ref="D58">_xll.ExLibris.WebAPIs.WebAPIResponseHeader(D55)</f>
        <v xml:space="preserve">Connection: keep-alive_x000D_
Access-Control-Allow-Origin: *_x000D_
Access-Control-Allow-Credentials: true_x000D_
Date: Thu, 23 Sep 2021 13:39:20 GMT_x000D_
Server: gunicorn/19.9.0_x000D_
</v>
      </c>
    </row>
    <row r="59" spans="2:14" x14ac:dyDescent="0.4">
      <c r="B59" t="s">
        <v>139</v>
      </c>
      <c r="C59" t="s">
        <v>124</v>
      </c>
      <c r="D59" t="str" cm="1">
        <f t="array" ref="D59">_xll.ExLibris.WebAPIs.BuildUri($C$2&amp;"post",N53)</f>
        <v>http://localhost:80/post?key0=WebAPI4&amp;key1.int=1&amp;key1.string=value1</v>
      </c>
    </row>
    <row r="60" spans="2:14" x14ac:dyDescent="0.4">
      <c r="B60" t="s">
        <v>142</v>
      </c>
      <c r="C60" t="s">
        <v>122</v>
      </c>
      <c r="D60" t="str" cm="1">
        <f t="array" ref="D60">_xll.ExLibris.WebAPIs.WebAPIPost(C53,D59,_xll.ExLibris.Json.ShowJsonText(N53))</f>
        <v>ExLibris.Core.WebAPIs.Response:547973D5-BF2B-4A4D-A6BB-637007A0F29F</v>
      </c>
    </row>
    <row r="61" spans="2:14" x14ac:dyDescent="0.4">
      <c r="C61" t="s">
        <v>123</v>
      </c>
      <c r="D61" t="str" cm="1">
        <f t="array" ref="D61">_xll.ExLibris.WebAPIs.WebAPIRequestContent(D60)</f>
        <v xml:space="preserve">{
  "args": {
    "key0": "WebAPI4", 
    "key1.int": "1", 
    "key1.string": "value1"
  }, 
  "data": "{\"key0\":\"WebAPI4\",\"key1\":{\"int\":1,\"string\":\"value1\"}}", 
  "files": {}, 
  "form": {}, 
  "headers": {
    "Content-Length": "53", 
    "Content-Type": "text/plain; charset=utf-8", 
    "Expect": "100-continue", 
    "Host": "localhost"
  }, 
  "json": {
    "key0": "WebAPI4", 
    "key1": {
      "int": 1, 
      "string": "value1"
    }
  }, 
  "origin": "172.17.0.1", 
  "url": "http://localhost/post?key0=WebAPI4&amp;key1.int=1&amp;key1.string=value1"
}
</v>
      </c>
    </row>
    <row r="62" spans="2:14" x14ac:dyDescent="0.4">
      <c r="C62" t="s">
        <v>101</v>
      </c>
      <c r="D62" t="str" cm="1">
        <f t="array" ref="D62">_xll.ExLibris.WebAPIs.WebAPIResponseStatus(D60)</f>
        <v>OK(200)</v>
      </c>
    </row>
    <row r="63" spans="2:14" x14ac:dyDescent="0.4">
      <c r="C63" t="s">
        <v>138</v>
      </c>
      <c r="D63" t="str" cm="1">
        <f t="array" ref="D63">_xll.ExLibris.WebAPIs.WebAPIResponseHeader(D60)</f>
        <v xml:space="preserve">Connection: keep-alive_x000D_
Access-Control-Allow-Origin: *_x000D_
Access-Control-Allow-Credentials: true_x000D_
Date: Thu, 23 Sep 2021 13:39:24 GMT_x000D_
Server: gunicorn/19.9.0_x000D_
</v>
      </c>
    </row>
  </sheetData>
  <phoneticPr fontId="1"/>
  <hyperlinks>
    <hyperlink ref="C2" r:id="rId1" xr:uid="{1F584646-A45A-426F-9C4B-AC5B12FEC0AF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</vt:i4>
      </vt:variant>
    </vt:vector>
  </HeadingPairs>
  <TitlesOfParts>
    <vt:vector size="6" baseType="lpstr">
      <vt:lpstr>json_test</vt:lpstr>
      <vt:lpstr>json_w_conf_test</vt:lpstr>
      <vt:lpstr>configuration</vt:lpstr>
      <vt:lpstr>websocket</vt:lpstr>
      <vt:lpstr>webapi</vt:lpstr>
      <vt:lpstr>EXLIBRIS_CONFIGURATION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mugen fugafuga</dc:creator>
  <cp:lastModifiedBy>mugen fugafuga</cp:lastModifiedBy>
  <dcterms:created xsi:type="dcterms:W3CDTF">2021-09-12T06:00:20Z</dcterms:created>
  <dcterms:modified xsi:type="dcterms:W3CDTF">2021-09-23T13:39:29Z</dcterms:modified>
</cp:coreProperties>
</file>