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mugen\git\ex-libris\ExLibris\test_excel\"/>
    </mc:Choice>
  </mc:AlternateContent>
  <xr:revisionPtr revIDLastSave="0" documentId="13_ncr:1_{B7D274E7-8A72-4E44-AF45-4E50D99540E1}" xr6:coauthVersionLast="47" xr6:coauthVersionMax="47" xr10:uidLastSave="{00000000-0000-0000-0000-000000000000}"/>
  <bookViews>
    <workbookView xWindow="-120" yWindow="-120" windowWidth="29040" windowHeight="15840" xr2:uid="{705CD0B7-27A9-4291-85BD-6034C0FEE3E4}"/>
  </bookViews>
  <sheets>
    <sheet name="json_test" sheetId="7" r:id="rId1"/>
    <sheet name="json_test_async" sheetId="1" r:id="rId2"/>
    <sheet name="json_w_conf_test_async" sheetId="4" r:id="rId3"/>
    <sheet name="configuration" sheetId="2" r:id="rId4"/>
    <sheet name="websocket" sheetId="3" r:id="rId5"/>
    <sheet name="webapi" sheetId="5" r:id="rId6"/>
    <sheet name="webapi github" sheetId="6" r:id="rId7"/>
  </sheets>
  <definedNames>
    <definedName name="EXLIBRIS_CONFIGURATION">configuration!$C$2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4" i="5" l="1"/>
  <c r="I10" i="7"/>
  <c r="I11" i="7" s="1"/>
  <c r="I12" i="7" s="1"/>
  <c r="I13" i="7" s="1"/>
  <c r="I14" i="7" s="1"/>
  <c r="G9" i="7"/>
  <c r="F10" i="7" s="1"/>
  <c r="G10" i="7" s="1"/>
  <c r="D49" i="5"/>
  <c r="E49" i="5" s="1"/>
  <c r="D50" i="5" a="1"/>
  <c r="B5" i="5" a="1"/>
  <c r="B2" i="6" a="1"/>
  <c r="D8" i="3" a="1"/>
  <c r="D5" i="3" a="1"/>
  <c r="D7" i="3" a="1"/>
  <c r="F6" i="7" a="1"/>
  <c r="H5" i="5" a="1"/>
  <c r="F6" i="1" a="1"/>
  <c r="D4" i="3" a="1"/>
  <c r="D6" i="3" a="1"/>
  <c r="C2" i="2" a="1"/>
  <c r="F6" i="7" l="1"/>
  <c r="E10" i="7"/>
  <c r="F11" i="7"/>
  <c r="G11" i="7" s="1"/>
  <c r="E9" i="7"/>
  <c r="D7" i="3"/>
  <c r="D6" i="3"/>
  <c r="D8" i="3"/>
  <c r="D5" i="3"/>
  <c r="B2" i="6"/>
  <c r="D4" i="3"/>
  <c r="H5" i="5"/>
  <c r="B5" i="5"/>
  <c r="C2" i="2"/>
  <c r="K1" i="7" s="1"/>
  <c r="F6" i="1"/>
  <c r="D50" i="5"/>
  <c r="D52" i="5" a="1"/>
  <c r="F5" i="3" a="1"/>
  <c r="F6" i="3" a="1"/>
  <c r="G6" i="3" a="1"/>
  <c r="G5" i="3" a="1"/>
  <c r="F8" i="3" a="1"/>
  <c r="F1" i="7" a="1"/>
  <c r="E6" i="2" a="1"/>
  <c r="F7" i="3" a="1"/>
  <c r="D51" i="5" a="1"/>
  <c r="F6" i="4" a="1"/>
  <c r="G8" i="3" a="1"/>
  <c r="G7" i="3" a="1"/>
  <c r="F1" i="7" l="1"/>
  <c r="F12" i="7"/>
  <c r="G12" i="7" s="1"/>
  <c r="E11" i="7"/>
  <c r="F5" i="3"/>
  <c r="G5" i="3"/>
  <c r="F8" i="3"/>
  <c r="G8" i="3"/>
  <c r="F6" i="3"/>
  <c r="G6" i="3"/>
  <c r="G7" i="3"/>
  <c r="F7" i="3"/>
  <c r="D52" i="5"/>
  <c r="E52" i="5" s="1"/>
  <c r="F6" i="4"/>
  <c r="E6" i="2"/>
  <c r="D51" i="5"/>
  <c r="E51" i="5" s="1"/>
  <c r="C5" i="6"/>
  <c r="D34" i="5"/>
  <c r="E34" i="5" s="1"/>
  <c r="D29" i="5"/>
  <c r="E29" i="5" s="1"/>
  <c r="D24" i="5"/>
  <c r="E24" i="5" s="1"/>
  <c r="D19" i="5"/>
  <c r="E19" i="5" s="1"/>
  <c r="E14" i="5"/>
  <c r="D44" i="5" a="1"/>
  <c r="D39" i="5" a="1"/>
  <c r="P19" i="7" a="1"/>
  <c r="P74" i="7" a="1"/>
  <c r="I19" i="7" a="1"/>
  <c r="M6" i="7" a="1"/>
  <c r="D20" i="5" a="1"/>
  <c r="E19" i="7" a="1"/>
  <c r="G24" i="7" a="1"/>
  <c r="G34" i="7" a="1"/>
  <c r="G38" i="7" a="1"/>
  <c r="G22" i="7" a="1"/>
  <c r="G57" i="7" a="1"/>
  <c r="G45" i="7" a="1"/>
  <c r="D15" i="5" a="1"/>
  <c r="G54" i="7" a="1"/>
  <c r="G27" i="7" a="1"/>
  <c r="G30" i="7" a="1"/>
  <c r="G43" i="7" a="1"/>
  <c r="G47" i="7" a="1"/>
  <c r="G20" i="7" a="1"/>
  <c r="P67" i="7" a="1"/>
  <c r="G26" i="7" a="1"/>
  <c r="G53" i="7" a="1"/>
  <c r="G33" i="7" a="1"/>
  <c r="G32" i="7" a="1"/>
  <c r="G35" i="7" a="1"/>
  <c r="G55" i="7" a="1"/>
  <c r="G44" i="7" a="1"/>
  <c r="G56" i="7" a="1"/>
  <c r="G50" i="7" a="1"/>
  <c r="G21" i="7" a="1"/>
  <c r="G52" i="7" a="1"/>
  <c r="G23" i="7" a="1"/>
  <c r="G48" i="7" a="1"/>
  <c r="G25" i="7" a="1"/>
  <c r="G40" i="7" a="1"/>
  <c r="G51" i="7" a="1"/>
  <c r="G41" i="7" a="1"/>
  <c r="G46" i="7" a="1"/>
  <c r="G49" i="7" a="1"/>
  <c r="G36" i="7" a="1"/>
  <c r="G31" i="7" a="1"/>
  <c r="G28" i="7" a="1"/>
  <c r="G37" i="7" a="1"/>
  <c r="G29" i="7" a="1"/>
  <c r="G39" i="7" a="1"/>
  <c r="G42" i="7" a="1"/>
  <c r="AR77" i="7" l="1"/>
  <c r="AS76" i="7"/>
  <c r="AS78" i="7"/>
  <c r="AS74" i="7"/>
  <c r="AR79" i="7"/>
  <c r="AR75" i="7"/>
  <c r="AR78" i="7"/>
  <c r="AS77" i="7"/>
  <c r="AR76" i="7"/>
  <c r="AS79" i="7"/>
  <c r="AS75" i="7"/>
  <c r="P74" i="7"/>
  <c r="AR74" i="7" s="1"/>
  <c r="P19" i="7"/>
  <c r="AR72" i="7"/>
  <c r="AR68" i="7"/>
  <c r="AS70" i="7"/>
  <c r="AS69" i="7"/>
  <c r="AR70" i="7"/>
  <c r="AR69" i="7"/>
  <c r="AS72" i="7"/>
  <c r="AS68" i="7"/>
  <c r="AS71" i="7"/>
  <c r="AS67" i="7"/>
  <c r="AR71" i="7"/>
  <c r="P67" i="7"/>
  <c r="AR67" i="7" s="1"/>
  <c r="G30" i="7"/>
  <c r="G53" i="7"/>
  <c r="G57" i="7"/>
  <c r="G48" i="7"/>
  <c r="G36" i="7"/>
  <c r="G43" i="7"/>
  <c r="M6" i="7"/>
  <c r="G45" i="7"/>
  <c r="G49" i="7"/>
  <c r="G40" i="7"/>
  <c r="G28" i="7"/>
  <c r="G23" i="7"/>
  <c r="G35" i="7"/>
  <c r="G41" i="7"/>
  <c r="G37" i="7"/>
  <c r="G32" i="7"/>
  <c r="G39" i="7"/>
  <c r="G26" i="7"/>
  <c r="G25" i="7"/>
  <c r="G46" i="7"/>
  <c r="G50" i="7"/>
  <c r="G27" i="7"/>
  <c r="G22" i="7"/>
  <c r="G42" i="7"/>
  <c r="G52" i="7"/>
  <c r="G33" i="7"/>
  <c r="G29" i="7"/>
  <c r="G20" i="7"/>
  <c r="G34" i="7"/>
  <c r="G54" i="7"/>
  <c r="G21" i="7"/>
  <c r="G31" i="7"/>
  <c r="G24" i="7"/>
  <c r="G55" i="7"/>
  <c r="G51" i="7"/>
  <c r="I19" i="7"/>
  <c r="G38" i="7"/>
  <c r="G56" i="7"/>
  <c r="G44" i="7"/>
  <c r="G47" i="7"/>
  <c r="E19" i="7"/>
  <c r="E12" i="7"/>
  <c r="F13" i="7"/>
  <c r="G13" i="7" s="1"/>
  <c r="D39" i="5"/>
  <c r="E39" i="5" s="1"/>
  <c r="D44" i="5"/>
  <c r="E44" i="5" s="1"/>
  <c r="D20" i="5"/>
  <c r="D15" i="5"/>
  <c r="J11" i="4"/>
  <c r="J12" i="4" s="1"/>
  <c r="J13" i="4" s="1"/>
  <c r="J14" i="4" s="1"/>
  <c r="J10" i="4"/>
  <c r="I14" i="4"/>
  <c r="I12" i="4"/>
  <c r="I10" i="4"/>
  <c r="I11" i="4"/>
  <c r="I13" i="4" s="1"/>
  <c r="G9" i="4"/>
  <c r="E9" i="4" s="1"/>
  <c r="I10" i="1"/>
  <c r="I11" i="1" s="1"/>
  <c r="I12" i="1" s="1"/>
  <c r="I13" i="1" s="1"/>
  <c r="I14" i="1" s="1"/>
  <c r="G9" i="1"/>
  <c r="E9" i="1" s="1"/>
  <c r="I28" i="7" a="1"/>
  <c r="G19" i="7" a="1"/>
  <c r="D45" i="5" a="1"/>
  <c r="P29" i="7" a="1"/>
  <c r="D17" i="5" a="1"/>
  <c r="D21" i="5" a="1"/>
  <c r="D22" i="5" a="1"/>
  <c r="I20" i="7" a="1"/>
  <c r="I32" i="7" a="1"/>
  <c r="D16" i="5" a="1"/>
  <c r="C6" i="6" a="1"/>
  <c r="AK38" i="7" l="1"/>
  <c r="AK36" i="7"/>
  <c r="AK34" i="7"/>
  <c r="AL36" i="7"/>
  <c r="AL32" i="7"/>
  <c r="AN37" i="7"/>
  <c r="AN35" i="7"/>
  <c r="AN33" i="7"/>
  <c r="AM37" i="7"/>
  <c r="AM35" i="7"/>
  <c r="AM33" i="7"/>
  <c r="AK37" i="7"/>
  <c r="AK35" i="7"/>
  <c r="AK33" i="7"/>
  <c r="AL38" i="7"/>
  <c r="AL34" i="7"/>
  <c r="AL37" i="7"/>
  <c r="AL35" i="7"/>
  <c r="AL33" i="7"/>
  <c r="AM38" i="7"/>
  <c r="AM36" i="7"/>
  <c r="AM34" i="7"/>
  <c r="AM32" i="7"/>
  <c r="AN38" i="7"/>
  <c r="AN36" i="7"/>
  <c r="AN34" i="7"/>
  <c r="AN32" i="7"/>
  <c r="I32" i="7"/>
  <c r="AK32" i="7" s="1"/>
  <c r="C11" i="7" s="1"/>
  <c r="I20" i="7"/>
  <c r="C10" i="7"/>
  <c r="C9" i="7"/>
  <c r="P29" i="7"/>
  <c r="D17" i="5"/>
  <c r="E17" i="5" s="1"/>
  <c r="I28" i="7"/>
  <c r="G19" i="7"/>
  <c r="E13" i="7"/>
  <c r="F14" i="7"/>
  <c r="G14" i="7" s="1"/>
  <c r="E14" i="7" s="1"/>
  <c r="D22" i="5"/>
  <c r="E22" i="5" s="1"/>
  <c r="C6" i="6"/>
  <c r="D45" i="5"/>
  <c r="D21" i="5"/>
  <c r="E21" i="5" s="1"/>
  <c r="D16" i="5"/>
  <c r="E16" i="5" s="1"/>
  <c r="F10" i="4"/>
  <c r="G10" i="4" s="1"/>
  <c r="F10" i="1"/>
  <c r="G10" i="1" s="1"/>
  <c r="F11" i="1" s="1"/>
  <c r="G11" i="1" s="1"/>
  <c r="F12" i="1" s="1"/>
  <c r="G12" i="1" s="1"/>
  <c r="E12" i="1" s="1"/>
  <c r="D40" i="5" a="1"/>
  <c r="D46" i="5" a="1"/>
  <c r="I29" i="7" a="1"/>
  <c r="D30" i="5" a="1"/>
  <c r="F4" i="3" a="1"/>
  <c r="C8" i="6" a="1"/>
  <c r="D35" i="5" a="1"/>
  <c r="D25" i="5" a="1"/>
  <c r="C7" i="6" a="1"/>
  <c r="D47" i="5" a="1"/>
  <c r="G4" i="3" a="1"/>
  <c r="I29" i="7" l="1"/>
  <c r="D47" i="5"/>
  <c r="E47" i="5" s="1"/>
  <c r="C8" i="6"/>
  <c r="D25" i="5"/>
  <c r="C7" i="6"/>
  <c r="D46" i="5"/>
  <c r="E46" i="5" s="1"/>
  <c r="D40" i="5"/>
  <c r="D30" i="5"/>
  <c r="D35" i="5"/>
  <c r="K1" i="1"/>
  <c r="K1" i="4"/>
  <c r="F11" i="4"/>
  <c r="G11" i="4" s="1"/>
  <c r="E10" i="4"/>
  <c r="G4" i="3"/>
  <c r="F4" i="3"/>
  <c r="F13" i="1"/>
  <c r="G13" i="1" s="1"/>
  <c r="F14" i="1" s="1"/>
  <c r="G14" i="1" s="1"/>
  <c r="E14" i="1" s="1"/>
  <c r="E10" i="1"/>
  <c r="E11" i="1"/>
  <c r="H7" i="3" a="1"/>
  <c r="D26" i="5" a="1"/>
  <c r="D42" i="5" a="1"/>
  <c r="H4" i="3" a="1"/>
  <c r="D27" i="5" a="1"/>
  <c r="D41" i="5" a="1"/>
  <c r="D31" i="5" a="1"/>
  <c r="C10" i="6" a="1"/>
  <c r="H6" i="3" a="1"/>
  <c r="D36" i="5" a="1"/>
  <c r="H8" i="3" a="1"/>
  <c r="D32" i="5" a="1"/>
  <c r="D37" i="5" a="1"/>
  <c r="H5" i="3" a="1"/>
  <c r="H7" i="3" l="1"/>
  <c r="H6" i="3"/>
  <c r="H5" i="3"/>
  <c r="H8" i="3"/>
  <c r="H4" i="3"/>
  <c r="D37" i="5"/>
  <c r="E37" i="5" s="1"/>
  <c r="D42" i="5"/>
  <c r="E42" i="5" s="1"/>
  <c r="D27" i="5"/>
  <c r="E27" i="5" s="1"/>
  <c r="D32" i="5"/>
  <c r="E32" i="5" s="1"/>
  <c r="C10" i="6"/>
  <c r="D36" i="5"/>
  <c r="E36" i="5" s="1"/>
  <c r="D31" i="5"/>
  <c r="E31" i="5" s="1"/>
  <c r="D41" i="5"/>
  <c r="E41" i="5" s="1"/>
  <c r="D26" i="5"/>
  <c r="E26" i="5" s="1"/>
  <c r="E11" i="4"/>
  <c r="F12" i="4"/>
  <c r="G12" i="4" s="1"/>
  <c r="E13" i="1"/>
  <c r="I8" i="3" a="1"/>
  <c r="I7" i="3" a="1"/>
  <c r="I5" i="3" a="1"/>
  <c r="I4" i="3" a="1"/>
  <c r="I6" i="3" a="1"/>
  <c r="C11" i="6" a="1"/>
  <c r="B12" i="5" l="1"/>
  <c r="I5" i="3"/>
  <c r="I6" i="3"/>
  <c r="I7" i="3"/>
  <c r="I8" i="3"/>
  <c r="I4" i="3"/>
  <c r="AS21" i="7"/>
  <c r="AS19" i="7"/>
  <c r="AS20" i="7"/>
  <c r="AR20" i="7"/>
  <c r="AR21" i="7"/>
  <c r="AR19" i="7"/>
  <c r="C5" i="7"/>
  <c r="AI55" i="7"/>
  <c r="AH54" i="7"/>
  <c r="AG53" i="7"/>
  <c r="AI47" i="7"/>
  <c r="AH46" i="7"/>
  <c r="AG45" i="7"/>
  <c r="AI39" i="7"/>
  <c r="AH38" i="7"/>
  <c r="AG37" i="7"/>
  <c r="AI31" i="7"/>
  <c r="AI25" i="7"/>
  <c r="AG23" i="7"/>
  <c r="AG21" i="7"/>
  <c r="AI56" i="7"/>
  <c r="AH55" i="7"/>
  <c r="AG54" i="7"/>
  <c r="AI48" i="7"/>
  <c r="AH47" i="7"/>
  <c r="AG46" i="7"/>
  <c r="AI40" i="7"/>
  <c r="AH39" i="7"/>
  <c r="AG38" i="7"/>
  <c r="AI32" i="7"/>
  <c r="AH31" i="7"/>
  <c r="AH25" i="7"/>
  <c r="AI22" i="7"/>
  <c r="AH52" i="7"/>
  <c r="AG35" i="7"/>
  <c r="AH30" i="7"/>
  <c r="AI57" i="7"/>
  <c r="AH56" i="7"/>
  <c r="AG55" i="7"/>
  <c r="AI49" i="7"/>
  <c r="AH48" i="7"/>
  <c r="AG47" i="7"/>
  <c r="AI41" i="7"/>
  <c r="AH40" i="7"/>
  <c r="AG39" i="7"/>
  <c r="AI33" i="7"/>
  <c r="AH32" i="7"/>
  <c r="AG31" i="7"/>
  <c r="AI29" i="7"/>
  <c r="AI27" i="7"/>
  <c r="AG25" i="7"/>
  <c r="AH22" i="7"/>
  <c r="AI53" i="7"/>
  <c r="AG51" i="7"/>
  <c r="AI45" i="7"/>
  <c r="AH44" i="7"/>
  <c r="AG43" i="7"/>
  <c r="AI37" i="7"/>
  <c r="AH36" i="7"/>
  <c r="AH26" i="7"/>
  <c r="AI23" i="7"/>
  <c r="AI21" i="7"/>
  <c r="AH57" i="7"/>
  <c r="AG56" i="7"/>
  <c r="AI50" i="7"/>
  <c r="AH49" i="7"/>
  <c r="AG48" i="7"/>
  <c r="AI42" i="7"/>
  <c r="AH41" i="7"/>
  <c r="AG40" i="7"/>
  <c r="AI34" i="7"/>
  <c r="AH33" i="7"/>
  <c r="AG32" i="7"/>
  <c r="AH29" i="7"/>
  <c r="AI28" i="7"/>
  <c r="AH27" i="7"/>
  <c r="AI24" i="7"/>
  <c r="AG22" i="7"/>
  <c r="AI20" i="7"/>
  <c r="AG57" i="7"/>
  <c r="AI51" i="7"/>
  <c r="AH50" i="7"/>
  <c r="AG49" i="7"/>
  <c r="AI43" i="7"/>
  <c r="AH42" i="7"/>
  <c r="AG41" i="7"/>
  <c r="AI35" i="7"/>
  <c r="AH34" i="7"/>
  <c r="AG33" i="7"/>
  <c r="AG29" i="7"/>
  <c r="AH28" i="7"/>
  <c r="AG27" i="7"/>
  <c r="AH24" i="7"/>
  <c r="AH20" i="7"/>
  <c r="AI19" i="7"/>
  <c r="AI52" i="7"/>
  <c r="AH51" i="7"/>
  <c r="AG50" i="7"/>
  <c r="AI44" i="7"/>
  <c r="AH43" i="7"/>
  <c r="AG42" i="7"/>
  <c r="AI36" i="7"/>
  <c r="AH35" i="7"/>
  <c r="AG34" i="7"/>
  <c r="AI30" i="7"/>
  <c r="AG28" i="7"/>
  <c r="AI26" i="7"/>
  <c r="AG24" i="7"/>
  <c r="AG20" i="7"/>
  <c r="AI54" i="7"/>
  <c r="AH53" i="7"/>
  <c r="AG52" i="7"/>
  <c r="AI46" i="7"/>
  <c r="AH45" i="7"/>
  <c r="AG44" i="7"/>
  <c r="AI38" i="7"/>
  <c r="AH37" i="7"/>
  <c r="AG36" i="7"/>
  <c r="AG30" i="7"/>
  <c r="AG26" i="7"/>
  <c r="AH23" i="7"/>
  <c r="AH21" i="7"/>
  <c r="C11" i="6"/>
  <c r="F13" i="4"/>
  <c r="G13" i="4" s="1"/>
  <c r="E12" i="4"/>
  <c r="J7" i="3" a="1"/>
  <c r="J8" i="3" a="1"/>
  <c r="J5" i="3" a="1"/>
  <c r="J4" i="3" a="1"/>
  <c r="P30" i="7" a="1"/>
  <c r="J6" i="3" a="1"/>
  <c r="F1" i="1" a="1"/>
  <c r="J7" i="3" l="1"/>
  <c r="J6" i="3"/>
  <c r="J8" i="3"/>
  <c r="J5" i="3"/>
  <c r="J4" i="3"/>
  <c r="C7" i="7"/>
  <c r="AS65" i="7"/>
  <c r="AS61" i="7"/>
  <c r="AS57" i="7"/>
  <c r="AR56" i="7"/>
  <c r="AS49" i="7"/>
  <c r="AR48" i="7"/>
  <c r="AS41" i="7"/>
  <c r="AR40" i="7"/>
  <c r="AS33" i="7"/>
  <c r="AR32" i="7"/>
  <c r="P30" i="7"/>
  <c r="AR30" i="7" s="1"/>
  <c r="AR65" i="7"/>
  <c r="AR61" i="7"/>
  <c r="AR57" i="7"/>
  <c r="AS50" i="7"/>
  <c r="AR49" i="7"/>
  <c r="AS42" i="7"/>
  <c r="AR41" i="7"/>
  <c r="AS34" i="7"/>
  <c r="AR33" i="7"/>
  <c r="AS58" i="7"/>
  <c r="AR54" i="7"/>
  <c r="AR38" i="7"/>
  <c r="AS64" i="7"/>
  <c r="AS60" i="7"/>
  <c r="AS51" i="7"/>
  <c r="AR50" i="7"/>
  <c r="AS43" i="7"/>
  <c r="AR42" i="7"/>
  <c r="AS35" i="7"/>
  <c r="AR34" i="7"/>
  <c r="AS62" i="7"/>
  <c r="AS55" i="7"/>
  <c r="AS47" i="7"/>
  <c r="AR46" i="7"/>
  <c r="AS39" i="7"/>
  <c r="AR64" i="7"/>
  <c r="AR60" i="7"/>
  <c r="AS52" i="7"/>
  <c r="AR51" i="7"/>
  <c r="AS44" i="7"/>
  <c r="AR43" i="7"/>
  <c r="AS36" i="7"/>
  <c r="AR35" i="7"/>
  <c r="AS63" i="7"/>
  <c r="AS59" i="7"/>
  <c r="AS53" i="7"/>
  <c r="AR52" i="7"/>
  <c r="AS45" i="7"/>
  <c r="AR44" i="7"/>
  <c r="AS37" i="7"/>
  <c r="AR36" i="7"/>
  <c r="AS31" i="7"/>
  <c r="AR63" i="7"/>
  <c r="AR59" i="7"/>
  <c r="AS54" i="7"/>
  <c r="AR53" i="7"/>
  <c r="AS46" i="7"/>
  <c r="AR45" i="7"/>
  <c r="AS38" i="7"/>
  <c r="AR37" i="7"/>
  <c r="AS30" i="7"/>
  <c r="AR62" i="7"/>
  <c r="AR58" i="7"/>
  <c r="AS56" i="7"/>
  <c r="AR55" i="7"/>
  <c r="AS48" i="7"/>
  <c r="AR47" i="7"/>
  <c r="AS40" i="7"/>
  <c r="AR39" i="7"/>
  <c r="AS32" i="7"/>
  <c r="AR31" i="7"/>
  <c r="AO26" i="7"/>
  <c r="AM24" i="7"/>
  <c r="AP23" i="7"/>
  <c r="AK22" i="7"/>
  <c r="AP21" i="7"/>
  <c r="AM20" i="7"/>
  <c r="AN26" i="7"/>
  <c r="AL24" i="7"/>
  <c r="AO23" i="7"/>
  <c r="AO21" i="7"/>
  <c r="AL20" i="7"/>
  <c r="AM26" i="7"/>
  <c r="AP25" i="7"/>
  <c r="AK24" i="7"/>
  <c r="AN23" i="7"/>
  <c r="AN21" i="7"/>
  <c r="AO24" i="7"/>
  <c r="AL26" i="7"/>
  <c r="AO25" i="7"/>
  <c r="AM23" i="7"/>
  <c r="AP22" i="7"/>
  <c r="AM21" i="7"/>
  <c r="AL25" i="7"/>
  <c r="AK20" i="7"/>
  <c r="AK26" i="7"/>
  <c r="AN25" i="7"/>
  <c r="AL23" i="7"/>
  <c r="AO22" i="7"/>
  <c r="AL21" i="7"/>
  <c r="AO20" i="7"/>
  <c r="AM25" i="7"/>
  <c r="AP24" i="7"/>
  <c r="AK23" i="7"/>
  <c r="AN22" i="7"/>
  <c r="AK21" i="7"/>
  <c r="AP20" i="7"/>
  <c r="AM22" i="7"/>
  <c r="AP26" i="7"/>
  <c r="AK25" i="7"/>
  <c r="AN24" i="7"/>
  <c r="AL22" i="7"/>
  <c r="AN20" i="7"/>
  <c r="AG19" i="7"/>
  <c r="AH19" i="7"/>
  <c r="F1" i="1"/>
  <c r="E13" i="4"/>
  <c r="F14" i="4"/>
  <c r="G14" i="4" s="1"/>
  <c r="E14" i="4" s="1"/>
  <c r="G47" i="1" a="1"/>
  <c r="P19" i="1" a="1"/>
  <c r="G22" i="1" a="1"/>
  <c r="E19" i="1" a="1"/>
  <c r="G33" i="1" a="1"/>
  <c r="G29" i="1" a="1"/>
  <c r="G28" i="1" a="1"/>
  <c r="M6" i="1" a="1"/>
  <c r="G31" i="1" a="1"/>
  <c r="G25" i="1" a="1"/>
  <c r="G21" i="1" a="1"/>
  <c r="G27" i="1" a="1"/>
  <c r="P67" i="1" a="1"/>
  <c r="G42" i="1" a="1"/>
  <c r="G44" i="1" a="1"/>
  <c r="G41" i="1" a="1"/>
  <c r="G46" i="1" a="1"/>
  <c r="G54" i="1" a="1"/>
  <c r="G34" i="1" a="1"/>
  <c r="G38" i="1" a="1"/>
  <c r="P74" i="1" a="1"/>
  <c r="G40" i="1" a="1"/>
  <c r="G56" i="1" a="1"/>
  <c r="G24" i="1" a="1"/>
  <c r="G52" i="1" a="1"/>
  <c r="G49" i="1" a="1"/>
  <c r="G39" i="1" a="1"/>
  <c r="G36" i="1" a="1"/>
  <c r="G50" i="1" a="1"/>
  <c r="I19" i="1" a="1"/>
  <c r="G55" i="1" a="1"/>
  <c r="G26" i="1" a="1"/>
  <c r="G53" i="1" a="1"/>
  <c r="G37" i="1" a="1"/>
  <c r="G35" i="1" a="1"/>
  <c r="G48" i="1" a="1"/>
  <c r="G45" i="1" a="1"/>
  <c r="G51" i="1" a="1"/>
  <c r="G23" i="1" a="1"/>
  <c r="G43" i="1" a="1"/>
  <c r="G30" i="1" a="1"/>
  <c r="G32" i="1" a="1"/>
  <c r="G20" i="1" a="1"/>
  <c r="G57" i="1" a="1"/>
  <c r="AR71" i="1" l="1"/>
  <c r="AS68" i="1"/>
  <c r="AS70" i="1"/>
  <c r="AR69" i="1"/>
  <c r="AS72" i="1"/>
  <c r="AR72" i="1"/>
  <c r="AR68" i="1"/>
  <c r="AS71" i="1"/>
  <c r="AS67" i="1"/>
  <c r="AR70" i="1"/>
  <c r="AS69" i="1"/>
  <c r="P67" i="1"/>
  <c r="AR67" i="1" s="1"/>
  <c r="P19" i="1"/>
  <c r="AR76" i="1"/>
  <c r="AR79" i="1"/>
  <c r="AR75" i="1"/>
  <c r="AS77" i="1"/>
  <c r="AS79" i="1"/>
  <c r="AS75" i="1"/>
  <c r="AR78" i="1"/>
  <c r="AR77" i="1"/>
  <c r="AS76" i="1"/>
  <c r="AS78" i="1"/>
  <c r="AS74" i="1"/>
  <c r="P74" i="1"/>
  <c r="AR74" i="1" s="1"/>
  <c r="M6" i="1"/>
  <c r="C5" i="1" s="1"/>
  <c r="AO30" i="7"/>
  <c r="AL29" i="7"/>
  <c r="AN30" i="7"/>
  <c r="AM30" i="7"/>
  <c r="AN29" i="7"/>
  <c r="AL30" i="7"/>
  <c r="AK30" i="7"/>
  <c r="AP29" i="7"/>
  <c r="AO29" i="7"/>
  <c r="AP30" i="7"/>
  <c r="AM29" i="7"/>
  <c r="AK29" i="7"/>
  <c r="C8" i="7"/>
  <c r="C3" i="7"/>
  <c r="C4" i="7"/>
  <c r="G48" i="1"/>
  <c r="G55" i="1"/>
  <c r="G39" i="1"/>
  <c r="G26" i="1"/>
  <c r="G33" i="1"/>
  <c r="AR19" i="1"/>
  <c r="G44" i="1"/>
  <c r="G51" i="1"/>
  <c r="G54" i="1"/>
  <c r="G22" i="1"/>
  <c r="G29" i="1"/>
  <c r="G40" i="1"/>
  <c r="G47" i="1"/>
  <c r="G50" i="1"/>
  <c r="G57" i="1"/>
  <c r="G25" i="1"/>
  <c r="G36" i="1"/>
  <c r="G46" i="1"/>
  <c r="G21" i="1"/>
  <c r="G32" i="1"/>
  <c r="G42" i="1"/>
  <c r="G38" i="1"/>
  <c r="G56" i="1"/>
  <c r="G24" i="1"/>
  <c r="G27" i="1"/>
  <c r="G34" i="1"/>
  <c r="G41" i="1"/>
  <c r="G52" i="1"/>
  <c r="G20" i="1"/>
  <c r="G23" i="1"/>
  <c r="G30" i="1"/>
  <c r="G37" i="1"/>
  <c r="G43" i="1"/>
  <c r="G53" i="1"/>
  <c r="G35" i="1"/>
  <c r="G49" i="1"/>
  <c r="I19" i="1"/>
  <c r="G28" i="1"/>
  <c r="G31" i="1"/>
  <c r="G45" i="1"/>
  <c r="E19" i="1"/>
  <c r="AS21" i="1"/>
  <c r="AR21" i="1"/>
  <c r="AS19" i="1"/>
  <c r="AS20" i="1"/>
  <c r="AR20" i="1"/>
  <c r="AG27" i="1"/>
  <c r="AH42" i="1"/>
  <c r="AH46" i="1"/>
  <c r="AI55" i="1"/>
  <c r="AH51" i="1"/>
  <c r="AH22" i="1"/>
  <c r="AH28" i="1"/>
  <c r="AG39" i="1"/>
  <c r="AG24" i="1"/>
  <c r="AH57" i="1"/>
  <c r="AH45" i="1"/>
  <c r="AI28" i="1"/>
  <c r="AH26" i="1"/>
  <c r="AG44" i="1"/>
  <c r="AI21" i="1"/>
  <c r="AH55" i="1"/>
  <c r="AG53" i="1"/>
  <c r="AG51" i="1"/>
  <c r="AG29" i="1"/>
  <c r="AG46" i="1"/>
  <c r="AH48" i="1"/>
  <c r="AI26" i="1"/>
  <c r="AI45" i="1"/>
  <c r="AG41" i="1"/>
  <c r="AH30" i="1"/>
  <c r="AH35" i="1"/>
  <c r="AG36" i="1"/>
  <c r="AG56" i="1"/>
  <c r="AI22" i="1"/>
  <c r="AG21" i="1"/>
  <c r="AH43" i="1"/>
  <c r="AH20" i="1"/>
  <c r="AG28" i="1"/>
  <c r="AI40" i="1"/>
  <c r="AG32" i="1"/>
  <c r="AI57" i="1"/>
  <c r="AI52" i="1"/>
  <c r="AG43" i="1"/>
  <c r="AI49" i="1"/>
  <c r="AI36" i="1"/>
  <c r="AI43" i="1"/>
  <c r="AH32" i="1"/>
  <c r="AH33" i="1"/>
  <c r="AH27" i="1"/>
  <c r="AG34" i="1"/>
  <c r="AG48" i="1"/>
  <c r="AI32" i="1"/>
  <c r="AI42" i="1"/>
  <c r="AG50" i="1"/>
  <c r="AI41" i="1"/>
  <c r="AI20" i="1"/>
  <c r="AI30" i="1"/>
  <c r="AI19" i="1"/>
  <c r="AH34" i="1"/>
  <c r="AH53" i="1"/>
  <c r="AG23" i="1"/>
  <c r="AG55" i="1"/>
  <c r="AI37" i="1"/>
  <c r="AH23" i="1"/>
  <c r="AG54" i="1"/>
  <c r="AG42" i="1"/>
  <c r="AI48" i="1"/>
  <c r="AG45" i="1"/>
  <c r="AH31" i="1"/>
  <c r="AI46" i="1"/>
  <c r="AH50" i="1"/>
  <c r="AI47" i="1"/>
  <c r="AG37" i="1"/>
  <c r="AH47" i="1"/>
  <c r="AG49" i="1"/>
  <c r="AH41" i="1"/>
  <c r="AG25" i="1"/>
  <c r="AI51" i="1"/>
  <c r="AH52" i="1"/>
  <c r="AH25" i="1"/>
  <c r="AH56" i="1"/>
  <c r="AG26" i="1"/>
  <c r="AH37" i="1"/>
  <c r="AI29" i="1"/>
  <c r="AI38" i="1"/>
  <c r="AG35" i="1"/>
  <c r="AG57" i="1"/>
  <c r="AH38" i="1"/>
  <c r="AI34" i="1"/>
  <c r="AH54" i="1"/>
  <c r="AH21" i="1"/>
  <c r="AI44" i="1"/>
  <c r="AI31" i="1"/>
  <c r="AI39" i="1"/>
  <c r="AI54" i="1"/>
  <c r="AH29" i="1"/>
  <c r="AH39" i="1"/>
  <c r="AI27" i="1"/>
  <c r="AG40" i="1"/>
  <c r="AH40" i="1"/>
  <c r="AG33" i="1"/>
  <c r="AI35" i="1"/>
  <c r="AI33" i="1"/>
  <c r="AG30" i="1"/>
  <c r="AH36" i="1"/>
  <c r="AH49" i="1"/>
  <c r="AG47" i="1"/>
  <c r="AI53" i="1"/>
  <c r="AI23" i="1"/>
  <c r="AG31" i="1"/>
  <c r="AI56" i="1"/>
  <c r="AI25" i="1"/>
  <c r="AG38" i="1"/>
  <c r="AI24" i="1"/>
  <c r="AG22" i="1"/>
  <c r="AH44" i="1"/>
  <c r="AH24" i="1"/>
  <c r="AG52" i="1"/>
  <c r="AG20" i="1"/>
  <c r="AI50" i="1"/>
  <c r="F1" i="4" a="1"/>
  <c r="G19" i="1" a="1"/>
  <c r="P29" i="1" a="1"/>
  <c r="I20" i="1" a="1"/>
  <c r="I28" i="1" a="1"/>
  <c r="I32" i="1" a="1"/>
  <c r="AK37" i="1" l="1"/>
  <c r="AK35" i="1"/>
  <c r="AK33" i="1"/>
  <c r="AN38" i="1"/>
  <c r="AN36" i="1"/>
  <c r="AN34" i="1"/>
  <c r="AN32" i="1"/>
  <c r="AM38" i="1"/>
  <c r="AM36" i="1"/>
  <c r="AM34" i="1"/>
  <c r="AM32" i="1"/>
  <c r="I32" i="1"/>
  <c r="AK32" i="1" s="1"/>
  <c r="AK38" i="1"/>
  <c r="AK34" i="1"/>
  <c r="AL37" i="1"/>
  <c r="AL35" i="1"/>
  <c r="AL33" i="1"/>
  <c r="AL38" i="1"/>
  <c r="AL36" i="1"/>
  <c r="AL34" i="1"/>
  <c r="AL32" i="1"/>
  <c r="AK36" i="1"/>
  <c r="AM37" i="1"/>
  <c r="AM35" i="1"/>
  <c r="AM33" i="1"/>
  <c r="AN37" i="1"/>
  <c r="AN35" i="1"/>
  <c r="AN33" i="1"/>
  <c r="C10" i="1"/>
  <c r="C9" i="1"/>
  <c r="P29" i="1"/>
  <c r="C6" i="7"/>
  <c r="G19" i="1"/>
  <c r="I28" i="1"/>
  <c r="I20" i="1"/>
  <c r="AK20" i="1" s="1"/>
  <c r="F1" i="4"/>
  <c r="C7" i="1"/>
  <c r="AP22" i="1"/>
  <c r="AO23" i="1"/>
  <c r="AM24" i="1"/>
  <c r="AP26" i="1"/>
  <c r="AP24" i="1"/>
  <c r="AN26" i="1"/>
  <c r="AL24" i="1"/>
  <c r="AL26" i="1"/>
  <c r="AK21" i="1"/>
  <c r="AL23" i="1"/>
  <c r="AO24" i="1"/>
  <c r="AP20" i="1"/>
  <c r="AM26" i="1"/>
  <c r="AO22" i="1"/>
  <c r="AP25" i="1"/>
  <c r="AN21" i="1"/>
  <c r="AP21" i="1"/>
  <c r="AK26" i="1"/>
  <c r="AM23" i="1"/>
  <c r="AK24" i="1"/>
  <c r="AN23" i="1"/>
  <c r="AN24" i="1"/>
  <c r="AL21" i="1"/>
  <c r="AL22" i="1"/>
  <c r="AL20" i="1"/>
  <c r="AK23" i="1"/>
  <c r="AO20" i="1"/>
  <c r="AN25" i="1"/>
  <c r="AO26" i="1"/>
  <c r="AN20" i="1"/>
  <c r="AN22" i="1"/>
  <c r="AK22" i="1"/>
  <c r="AP23" i="1"/>
  <c r="AO25" i="1"/>
  <c r="AO21" i="1"/>
  <c r="AM20" i="1"/>
  <c r="AM22" i="1"/>
  <c r="AL25" i="1"/>
  <c r="AM21" i="1"/>
  <c r="AM25" i="1"/>
  <c r="AK25" i="1"/>
  <c r="AH19" i="1"/>
  <c r="AG19" i="1"/>
  <c r="I29" i="1" a="1"/>
  <c r="G24" i="4" a="1"/>
  <c r="G36" i="4" a="1"/>
  <c r="G27" i="4" a="1"/>
  <c r="G29" i="4" a="1"/>
  <c r="G57" i="4" a="1"/>
  <c r="G26" i="4" a="1"/>
  <c r="G51" i="4" a="1"/>
  <c r="E19" i="4" a="1"/>
  <c r="G52" i="4" a="1"/>
  <c r="M6" i="4" a="1"/>
  <c r="G33" i="4" a="1"/>
  <c r="G21" i="4" a="1"/>
  <c r="I32" i="4" a="1"/>
  <c r="G39" i="4" a="1"/>
  <c r="G32" i="4" a="1"/>
  <c r="G34" i="4" a="1"/>
  <c r="G53" i="4" a="1"/>
  <c r="G31" i="4" a="1"/>
  <c r="G55" i="4" a="1"/>
  <c r="G23" i="4" a="1"/>
  <c r="G49" i="4" a="1"/>
  <c r="G35" i="4" a="1"/>
  <c r="I19" i="4" a="1"/>
  <c r="G30" i="4" a="1"/>
  <c r="P30" i="1" a="1"/>
  <c r="G40" i="4" a="1"/>
  <c r="G38" i="4" a="1"/>
  <c r="G37" i="4" a="1"/>
  <c r="G22" i="4" a="1"/>
  <c r="G56" i="4" a="1"/>
  <c r="G54" i="4" a="1"/>
  <c r="G41" i="4" a="1"/>
  <c r="G48" i="4" a="1"/>
  <c r="G44" i="4" a="1"/>
  <c r="G46" i="4" a="1"/>
  <c r="G45" i="4" a="1"/>
  <c r="G28" i="4" a="1"/>
  <c r="G43" i="4" a="1"/>
  <c r="G20" i="4" a="1"/>
  <c r="G50" i="4" a="1"/>
  <c r="G25" i="4" a="1"/>
  <c r="G47" i="4" a="1"/>
  <c r="G42" i="4" a="1"/>
  <c r="C11" i="1" l="1"/>
  <c r="E19" i="4"/>
  <c r="P30" i="1"/>
  <c r="AR30" i="1" s="1"/>
  <c r="M6" i="4"/>
  <c r="C5" i="4" s="1"/>
  <c r="G45" i="4"/>
  <c r="G36" i="4"/>
  <c r="G20" i="4"/>
  <c r="G31" i="4"/>
  <c r="G26" i="4"/>
  <c r="G41" i="4"/>
  <c r="G24" i="4"/>
  <c r="G23" i="4"/>
  <c r="G54" i="4"/>
  <c r="G22" i="4"/>
  <c r="G37" i="4"/>
  <c r="G27" i="4"/>
  <c r="G55" i="4"/>
  <c r="G50" i="4"/>
  <c r="I19" i="4"/>
  <c r="G33" i="4"/>
  <c r="G56" i="4"/>
  <c r="G51" i="4"/>
  <c r="G46" i="4"/>
  <c r="G21" i="4"/>
  <c r="G48" i="4"/>
  <c r="G42" i="4"/>
  <c r="G40" i="4"/>
  <c r="G43" i="4"/>
  <c r="G57" i="4"/>
  <c r="G53" i="4"/>
  <c r="G52" i="4"/>
  <c r="G32" i="4"/>
  <c r="G39" i="4"/>
  <c r="G34" i="4"/>
  <c r="I32" i="4"/>
  <c r="G49" i="4"/>
  <c r="G44" i="4"/>
  <c r="G28" i="4"/>
  <c r="G35" i="4"/>
  <c r="G30" i="4"/>
  <c r="G29" i="4"/>
  <c r="G47" i="4"/>
  <c r="G25" i="4"/>
  <c r="G38" i="4"/>
  <c r="I29" i="1"/>
  <c r="AK29" i="1" s="1"/>
  <c r="AR47" i="1"/>
  <c r="AS50" i="1"/>
  <c r="AR54" i="1"/>
  <c r="AS53" i="1"/>
  <c r="AR53" i="1"/>
  <c r="AS56" i="1"/>
  <c r="AR60" i="1"/>
  <c r="AS59" i="1"/>
  <c r="AS62" i="1"/>
  <c r="AS33" i="1"/>
  <c r="AR40" i="1"/>
  <c r="AR55" i="1"/>
  <c r="AR62" i="1"/>
  <c r="AS32" i="1"/>
  <c r="AR36" i="1"/>
  <c r="AS65" i="1"/>
  <c r="AR43" i="1"/>
  <c r="AS46" i="1"/>
  <c r="AR50" i="1"/>
  <c r="AS49" i="1"/>
  <c r="AR49" i="1"/>
  <c r="AS52" i="1"/>
  <c r="AR56" i="1"/>
  <c r="AS55" i="1"/>
  <c r="AS30" i="1"/>
  <c r="AR33" i="1"/>
  <c r="AS39" i="1"/>
  <c r="AS64" i="1"/>
  <c r="AR65" i="1"/>
  <c r="AR39" i="1"/>
  <c r="AS42" i="1"/>
  <c r="AR46" i="1"/>
  <c r="AS45" i="1"/>
  <c r="AR45" i="1"/>
  <c r="AS48" i="1"/>
  <c r="AR52" i="1"/>
  <c r="AS51" i="1"/>
  <c r="AR34" i="1"/>
  <c r="AR61" i="1"/>
  <c r="AS63" i="1"/>
  <c r="AR35" i="1"/>
  <c r="AS38" i="1"/>
  <c r="AR42" i="1"/>
  <c r="AS41" i="1"/>
  <c r="AR41" i="1"/>
  <c r="AS44" i="1"/>
  <c r="AR48" i="1"/>
  <c r="AS47" i="1"/>
  <c r="AS61" i="1"/>
  <c r="AR63" i="1"/>
  <c r="AR31" i="1"/>
  <c r="AS34" i="1"/>
  <c r="AR38" i="1"/>
  <c r="AS37" i="1"/>
  <c r="AR37" i="1"/>
  <c r="AS40" i="1"/>
  <c r="AR44" i="1"/>
  <c r="AS43" i="1"/>
  <c r="AR59" i="1"/>
  <c r="AS36" i="1"/>
  <c r="AS58" i="1"/>
  <c r="AS35" i="1"/>
  <c r="AR51" i="1"/>
  <c r="AS54" i="1"/>
  <c r="AR58" i="1"/>
  <c r="AS57" i="1"/>
  <c r="AR57" i="1"/>
  <c r="AS60" i="1"/>
  <c r="AR64" i="1"/>
  <c r="AR32" i="1"/>
  <c r="AS31" i="1"/>
  <c r="C3" i="1"/>
  <c r="C4" i="1"/>
  <c r="AC57" i="4"/>
  <c r="AB54" i="4"/>
  <c r="AA51" i="4"/>
  <c r="AC49" i="4"/>
  <c r="AB46" i="4"/>
  <c r="AA43" i="4"/>
  <c r="AC41" i="4"/>
  <c r="AB38" i="4"/>
  <c r="AA35" i="4"/>
  <c r="AC33" i="4"/>
  <c r="AC29" i="4"/>
  <c r="AB28" i="4"/>
  <c r="AA27" i="4"/>
  <c r="AB24" i="4"/>
  <c r="AC21" i="4"/>
  <c r="AC24" i="4"/>
  <c r="AB57" i="4"/>
  <c r="AA54" i="4"/>
  <c r="AC52" i="4"/>
  <c r="AB49" i="4"/>
  <c r="AA46" i="4"/>
  <c r="AC44" i="4"/>
  <c r="AB41" i="4"/>
  <c r="AA38" i="4"/>
  <c r="AC36" i="4"/>
  <c r="AB33" i="4"/>
  <c r="AB29" i="4"/>
  <c r="AA28" i="4"/>
  <c r="AC26" i="4"/>
  <c r="AA24" i="4"/>
  <c r="AB21" i="4"/>
  <c r="AC28" i="4"/>
  <c r="AA22" i="4"/>
  <c r="AA57" i="4"/>
  <c r="AC55" i="4"/>
  <c r="AB52" i="4"/>
  <c r="AA49" i="4"/>
  <c r="AC47" i="4"/>
  <c r="AB44" i="4"/>
  <c r="AA41" i="4"/>
  <c r="AC39" i="4"/>
  <c r="AB36" i="4"/>
  <c r="AA33" i="4"/>
  <c r="AC31" i="4"/>
  <c r="AA29" i="4"/>
  <c r="AB26" i="4"/>
  <c r="AC23" i="4"/>
  <c r="AA21" i="4"/>
  <c r="AC19" i="4"/>
  <c r="AC54" i="4"/>
  <c r="AB43" i="4"/>
  <c r="AA30" i="4"/>
  <c r="AB55" i="4"/>
  <c r="AA52" i="4"/>
  <c r="AC50" i="4"/>
  <c r="AB47" i="4"/>
  <c r="AA44" i="4"/>
  <c r="AC42" i="4"/>
  <c r="AB39" i="4"/>
  <c r="AA36" i="4"/>
  <c r="AC34" i="4"/>
  <c r="AB31" i="4"/>
  <c r="AA26" i="4"/>
  <c r="AB23" i="4"/>
  <c r="AC20" i="4"/>
  <c r="AC46" i="4"/>
  <c r="AA32" i="4"/>
  <c r="AB27" i="4"/>
  <c r="AA55" i="4"/>
  <c r="AC53" i="4"/>
  <c r="AB50" i="4"/>
  <c r="AA47" i="4"/>
  <c r="AC45" i="4"/>
  <c r="AB42" i="4"/>
  <c r="AA39" i="4"/>
  <c r="AC37" i="4"/>
  <c r="AB34" i="4"/>
  <c r="AA31" i="4"/>
  <c r="AC25" i="4"/>
  <c r="AA23" i="4"/>
  <c r="AB20" i="4"/>
  <c r="AA48" i="4"/>
  <c r="AC38" i="4"/>
  <c r="AC56" i="4"/>
  <c r="AB53" i="4"/>
  <c r="AA50" i="4"/>
  <c r="AC48" i="4"/>
  <c r="AB45" i="4"/>
  <c r="AA42" i="4"/>
  <c r="AC40" i="4"/>
  <c r="AB37" i="4"/>
  <c r="AA34" i="4"/>
  <c r="AC32" i="4"/>
  <c r="AC30" i="4"/>
  <c r="AB25" i="4"/>
  <c r="AC22" i="4"/>
  <c r="AA20" i="4"/>
  <c r="AB56" i="4"/>
  <c r="AA53" i="4"/>
  <c r="AC51" i="4"/>
  <c r="AB48" i="4"/>
  <c r="AA45" i="4"/>
  <c r="AC43" i="4"/>
  <c r="AB40" i="4"/>
  <c r="AA37" i="4"/>
  <c r="AC35" i="4"/>
  <c r="AB32" i="4"/>
  <c r="AB30" i="4"/>
  <c r="AC27" i="4"/>
  <c r="AA25" i="4"/>
  <c r="AB22" i="4"/>
  <c r="AA56" i="4"/>
  <c r="AB51" i="4"/>
  <c r="AA40" i="4"/>
  <c r="AB35" i="4"/>
  <c r="AL29" i="1"/>
  <c r="AM30" i="1"/>
  <c r="AP30" i="1"/>
  <c r="AM29" i="1"/>
  <c r="AN29" i="1"/>
  <c r="AO30" i="1"/>
  <c r="AP29" i="1"/>
  <c r="AN30" i="1"/>
  <c r="AL30" i="1"/>
  <c r="AO29" i="1"/>
  <c r="AK30" i="1"/>
  <c r="I20" i="4" a="1"/>
  <c r="I42" i="4" a="1"/>
  <c r="I28" i="4" a="1"/>
  <c r="I38" i="4" a="1"/>
  <c r="G19" i="4" a="1"/>
  <c r="I33" i="4" a="1"/>
  <c r="I42" i="4" l="1"/>
  <c r="I20" i="4"/>
  <c r="AE20" i="4" s="1"/>
  <c r="I38" i="4"/>
  <c r="I33" i="4"/>
  <c r="G19" i="4"/>
  <c r="I28" i="4"/>
  <c r="C8" i="1"/>
  <c r="AE26" i="4"/>
  <c r="AH25" i="4"/>
  <c r="AF23" i="4"/>
  <c r="AI22" i="4"/>
  <c r="AG20" i="4"/>
  <c r="AG25" i="4"/>
  <c r="AJ24" i="4"/>
  <c r="AE23" i="4"/>
  <c r="AH22" i="4"/>
  <c r="AF20" i="4"/>
  <c r="AF25" i="4"/>
  <c r="AI24" i="4"/>
  <c r="AG22" i="4"/>
  <c r="AJ21" i="4"/>
  <c r="AI25" i="4"/>
  <c r="AE21" i="4"/>
  <c r="AJ26" i="4"/>
  <c r="AE25" i="4"/>
  <c r="AH24" i="4"/>
  <c r="AF22" i="4"/>
  <c r="AI21" i="4"/>
  <c r="AG23" i="4"/>
  <c r="AI26" i="4"/>
  <c r="AG24" i="4"/>
  <c r="AJ23" i="4"/>
  <c r="AE22" i="4"/>
  <c r="AH21" i="4"/>
  <c r="AH20" i="4"/>
  <c r="AH26" i="4"/>
  <c r="AF24" i="4"/>
  <c r="AI23" i="4"/>
  <c r="AG21" i="4"/>
  <c r="AJ20" i="4"/>
  <c r="AG26" i="4"/>
  <c r="AJ25" i="4"/>
  <c r="AE24" i="4"/>
  <c r="AH23" i="4"/>
  <c r="AF21" i="4"/>
  <c r="AI20" i="4"/>
  <c r="AF26" i="4"/>
  <c r="AJ22" i="4"/>
  <c r="AB19" i="4"/>
  <c r="AA19" i="4"/>
  <c r="C6" i="1"/>
  <c r="I43" i="4" a="1"/>
  <c r="I34" i="4" a="1"/>
  <c r="I39" i="4" a="1"/>
  <c r="I29" i="4" a="1"/>
  <c r="I29" i="4" l="1"/>
  <c r="AE29" i="4" s="1"/>
  <c r="I39" i="4"/>
  <c r="AE39" i="4" s="1"/>
  <c r="I34" i="4"/>
  <c r="AE34" i="4" s="1"/>
  <c r="I43" i="4"/>
  <c r="AE43" i="4" s="1"/>
  <c r="C9" i="4" s="1"/>
  <c r="AI40" i="4"/>
  <c r="AG39" i="4"/>
  <c r="AF40" i="4"/>
  <c r="AI39" i="4"/>
  <c r="AJ40" i="4"/>
  <c r="AH39" i="4"/>
  <c r="AH40" i="4"/>
  <c r="AF39" i="4"/>
  <c r="AG40" i="4"/>
  <c r="AE40" i="4"/>
  <c r="AJ39" i="4"/>
  <c r="AE36" i="4"/>
  <c r="AI34" i="4"/>
  <c r="AJ36" i="4"/>
  <c r="AH35" i="4"/>
  <c r="AF34" i="4"/>
  <c r="AF36" i="4"/>
  <c r="AJ34" i="4"/>
  <c r="AJ35" i="4"/>
  <c r="AH34" i="4"/>
  <c r="AI35" i="4"/>
  <c r="AG34" i="4"/>
  <c r="AI36" i="4"/>
  <c r="AG35" i="4"/>
  <c r="AH36" i="4"/>
  <c r="AF35" i="4"/>
  <c r="AG36" i="4"/>
  <c r="AE35" i="4"/>
  <c r="C3" i="4"/>
  <c r="AI30" i="4"/>
  <c r="AH30" i="4"/>
  <c r="AG30" i="4"/>
  <c r="AJ29" i="4"/>
  <c r="AF30" i="4"/>
  <c r="AI29" i="4"/>
  <c r="AE30" i="4"/>
  <c r="AH29" i="4"/>
  <c r="AG29" i="4"/>
  <c r="AF29" i="4"/>
  <c r="AJ30" i="4"/>
  <c r="C4" i="4"/>
  <c r="C8" i="4" l="1"/>
  <c r="C7" i="4"/>
  <c r="C6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<sst xmlns="http://schemas.openxmlformats.org/spreadsheetml/2006/main" count="713" uniqueCount="187">
  <si>
    <t>payment _date</t>
  </si>
  <si>
    <t>payment _date</t>
    <phoneticPr fontId="1"/>
  </si>
  <si>
    <t>start_date</t>
  </si>
  <si>
    <t>start_date</t>
    <phoneticPr fontId="1"/>
  </si>
  <si>
    <t>end_date</t>
  </si>
  <si>
    <t>end_date</t>
    <phoneticPr fontId="1"/>
  </si>
  <si>
    <t>day_count_type</t>
  </si>
  <si>
    <t>day_count_type</t>
    <phoneticPr fontId="1"/>
  </si>
  <si>
    <t>ACT/360</t>
  </si>
  <si>
    <t>ACT/360</t>
    <phoneticPr fontId="1"/>
  </si>
  <si>
    <t>fixed_rate</t>
  </si>
  <si>
    <t>fixed_rate</t>
    <phoneticPr fontId="1"/>
  </si>
  <si>
    <t>trade_code</t>
  </si>
  <si>
    <t>trade_code</t>
    <phoneticPr fontId="1"/>
  </si>
  <si>
    <t>money_00001</t>
  </si>
  <si>
    <t>money_00001</t>
    <phoneticPr fontId="1"/>
  </si>
  <si>
    <t>couter_party</t>
  </si>
  <si>
    <t>couter_party</t>
    <phoneticPr fontId="1"/>
  </si>
  <si>
    <t>CP00001</t>
  </si>
  <si>
    <t>CP00001</t>
    <phoneticPr fontId="1"/>
  </si>
  <si>
    <t>fixed_leg.pay_or_recieve</t>
  </si>
  <si>
    <t>fixed_leg.pay_or_recieve</t>
    <phoneticPr fontId="1"/>
  </si>
  <si>
    <t>Receive</t>
  </si>
  <si>
    <t>Receive</t>
    <phoneticPr fontId="1"/>
  </si>
  <si>
    <t>fixed_leg.cashflows</t>
    <phoneticPr fontId="1"/>
  </si>
  <si>
    <t>trade_json</t>
    <phoneticPr fontId="1"/>
  </si>
  <si>
    <t>key_value</t>
  </si>
  <si>
    <t>key_value</t>
    <phoneticPr fontId="1"/>
  </si>
  <si>
    <t>cashflow_tables</t>
  </si>
  <si>
    <t>cashflow_tables</t>
    <phoneticPr fontId="1"/>
  </si>
  <si>
    <t>fixed_leg.cashflows.[0].payment _date</t>
  </si>
  <si>
    <t>fixed_leg.cashflows.[0].start_date</t>
  </si>
  <si>
    <t>fixed_leg.cashflows.[0].end_date</t>
  </si>
  <si>
    <t>fixed_leg.cashflows.[0].day_count_type</t>
  </si>
  <si>
    <t>fixed_leg.cashflows.[0].fixed_rate</t>
  </si>
  <si>
    <t>fixed_leg.cashflows.[1].payment _date</t>
  </si>
  <si>
    <t>fixed_leg.cashflows.[1].start_date</t>
  </si>
  <si>
    <t>fixed_leg.cashflows.[1].end_date</t>
  </si>
  <si>
    <t>fixed_leg.cashflows.[1].day_count_type</t>
  </si>
  <si>
    <t>fixed_leg.cashflows.[1].fixed_rate</t>
  </si>
  <si>
    <t>fixed_leg.cashflows.[2].payment _date</t>
  </si>
  <si>
    <t>fixed_leg.cashflows.[2].start_date</t>
  </si>
  <si>
    <t>fixed_leg.cashflows.[2].end_date</t>
  </si>
  <si>
    <t>fixed_leg.cashflows.[2].day_count_type</t>
  </si>
  <si>
    <t>fixed_leg.cashflows.[2].fixed_rate</t>
  </si>
  <si>
    <t>fixed_leg.cashflows.[3].payment _date</t>
  </si>
  <si>
    <t>fixed_leg.cashflows.[3].start_date</t>
  </si>
  <si>
    <t>fixed_leg.cashflows.[3].end_date</t>
  </si>
  <si>
    <t>fixed_leg.cashflows.[3].day_count_type</t>
  </si>
  <si>
    <t>fixed_leg.cashflows.[3].fixed_rate</t>
  </si>
  <si>
    <t>fixed_leg.cashflows.[4].payment _date</t>
  </si>
  <si>
    <t>fixed_leg.cashflows.[4].start_date</t>
  </si>
  <si>
    <t>fixed_leg.cashflows.[4].end_date</t>
  </si>
  <si>
    <t>fixed_leg.cashflows.[4].day_count_type</t>
  </si>
  <si>
    <t>fixed_leg.cashflows.[4].fixed_rate</t>
  </si>
  <si>
    <t>fixed_leg.cashflows.[5].payment _date</t>
  </si>
  <si>
    <t>fixed_leg.cashflows.[5].start_date</t>
  </si>
  <si>
    <t>fixed_leg.cashflows.[5].end_date</t>
  </si>
  <si>
    <t>fixed_leg.cashflows.[5].day_count_type</t>
  </si>
  <si>
    <t>fixed_leg.cashflows.[5].fixed_rate</t>
  </si>
  <si>
    <t>actual</t>
    <phoneticPr fontId="1"/>
  </si>
  <si>
    <t>expected</t>
    <phoneticPr fontId="1"/>
  </si>
  <si>
    <t>result</t>
    <phoneticPr fontId="1"/>
  </si>
  <si>
    <t>keyvalues</t>
    <phoneticPr fontId="1"/>
  </si>
  <si>
    <t>table</t>
    <phoneticPr fontId="1"/>
  </si>
  <si>
    <t>jsontext</t>
    <phoneticPr fontId="1"/>
  </si>
  <si>
    <t>expectd</t>
    <phoneticPr fontId="1"/>
  </si>
  <si>
    <t>table2</t>
    <phoneticPr fontId="1"/>
  </si>
  <si>
    <t>excel_value.excel_error_to</t>
  </si>
  <si>
    <t>Error</t>
  </si>
  <si>
    <t>excel_value.excel_missing_to</t>
  </si>
  <si>
    <t>Null</t>
  </si>
  <si>
    <t>excel_value.excel_empty_to</t>
  </si>
  <si>
    <t>excel_value.excel_string_empty_to</t>
  </si>
  <si>
    <t>excel_value.null_to_excel</t>
  </si>
  <si>
    <t>excel_value.string_empty_to_excel</t>
  </si>
  <si>
    <t>configuration</t>
    <phoneticPr fontId="1"/>
  </si>
  <si>
    <t>dump</t>
    <phoneticPr fontId="1"/>
  </si>
  <si>
    <t>source</t>
    <phoneticPr fontId="1"/>
  </si>
  <si>
    <t>StringEmpty</t>
  </si>
  <si>
    <t>json.double_to_date_text.[0].date_format</t>
  </si>
  <si>
    <t>yyyy-MM-dd</t>
  </si>
  <si>
    <t>json.double_to_date_text.[0].keys.[0]</t>
  </si>
  <si>
    <t>json.double_to_date_text.[0].keys.[1]</t>
    <phoneticPr fontId="1"/>
  </si>
  <si>
    <t>json.double_to_date_text.[0].keys.[2]</t>
    <phoneticPr fontId="1"/>
  </si>
  <si>
    <t>2022-03-12</t>
  </si>
  <si>
    <t>2021-09-13</t>
  </si>
  <si>
    <t>2022-09-08</t>
  </si>
  <si>
    <t>2023-03-07</t>
  </si>
  <si>
    <t>2023-09-03</t>
  </si>
  <si>
    <t>2024-03-01</t>
  </si>
  <si>
    <t>2024-08-28</t>
  </si>
  <si>
    <t>client</t>
    <phoneticPr fontId="1"/>
  </si>
  <si>
    <t>status</t>
    <phoneticPr fontId="1"/>
  </si>
  <si>
    <t>client0</t>
    <phoneticPr fontId="1"/>
  </si>
  <si>
    <t>keyvalues1</t>
    <phoneticPr fontId="1"/>
  </si>
  <si>
    <t>table3</t>
    <phoneticPr fontId="1"/>
  </si>
  <si>
    <t/>
  </si>
  <si>
    <t>search</t>
    <phoneticPr fontId="1"/>
  </si>
  <si>
    <t>search1</t>
    <phoneticPr fontId="1"/>
  </si>
  <si>
    <t>search2</t>
    <phoneticPr fontId="1"/>
  </si>
  <si>
    <t>base uri</t>
    <phoneticPr fontId="1"/>
  </si>
  <si>
    <t>response</t>
    <phoneticPr fontId="1"/>
  </si>
  <si>
    <t>content</t>
    <phoneticPr fontId="1"/>
  </si>
  <si>
    <t>uri</t>
    <phoneticPr fontId="1"/>
  </si>
  <si>
    <t>GET</t>
    <phoneticPr fontId="1"/>
  </si>
  <si>
    <t>https://httpbin.org/</t>
  </si>
  <si>
    <t>http://localhost:80/</t>
    <phoneticPr fontId="1"/>
  </si>
  <si>
    <t>POST</t>
    <phoneticPr fontId="1"/>
  </si>
  <si>
    <t>docker run -p 80:80 kennethreitz/httpbin</t>
    <phoneticPr fontId="1"/>
  </si>
  <si>
    <t>user_agent</t>
  </si>
  <si>
    <t>user</t>
  </si>
  <si>
    <t>authorization.scheme</t>
  </si>
  <si>
    <t>authorization.parameter</t>
  </si>
  <si>
    <t>custom_headers.[0].name</t>
  </si>
  <si>
    <t>cname0</t>
  </si>
  <si>
    <t>custom_headers.[0].value</t>
  </si>
  <si>
    <t>value0</t>
  </si>
  <si>
    <t>Bearer</t>
    <phoneticPr fontId="1"/>
  </si>
  <si>
    <t>XXX11111222223333444444</t>
    <phoneticPr fontId="1"/>
  </si>
  <si>
    <t>authorization</t>
    <phoneticPr fontId="1"/>
  </si>
  <si>
    <t>strike</t>
    <phoneticPr fontId="1"/>
  </si>
  <si>
    <t>call_or_put</t>
    <phoneticPr fontId="1"/>
  </si>
  <si>
    <t>CALL</t>
    <phoneticPr fontId="1"/>
  </si>
  <si>
    <t>buy_or_sell</t>
    <phoneticPr fontId="1"/>
  </si>
  <si>
    <t>SELL</t>
    <phoneticPr fontId="1"/>
  </si>
  <si>
    <t>date</t>
    <phoneticPr fontId="1"/>
  </si>
  <si>
    <t>POST with JSON Text</t>
    <phoneticPr fontId="1"/>
  </si>
  <si>
    <t>POST with form value</t>
    <phoneticPr fontId="1"/>
  </si>
  <si>
    <t>POST with form value matrix</t>
    <phoneticPr fontId="1"/>
  </si>
  <si>
    <t>currency_pair.left</t>
    <phoneticPr fontId="1"/>
  </si>
  <si>
    <t>currency_pair.right</t>
    <phoneticPr fontId="1"/>
  </si>
  <si>
    <t>USD</t>
    <phoneticPr fontId="1"/>
  </si>
  <si>
    <t>JPY</t>
    <phoneticPr fontId="1"/>
  </si>
  <si>
    <t>GET with paramters</t>
    <phoneticPr fontId="1"/>
  </si>
  <si>
    <t>defunkt</t>
  </si>
  <si>
    <t>DELAY 10</t>
    <phoneticPr fontId="1"/>
  </si>
  <si>
    <t>id</t>
    <phoneticPr fontId="1"/>
  </si>
  <si>
    <t>socket</t>
    <phoneticPr fontId="1"/>
  </si>
  <si>
    <t>receive</t>
    <phoneticPr fontId="1"/>
  </si>
  <si>
    <t>send 0</t>
    <phoneticPr fontId="1"/>
  </si>
  <si>
    <t>send 1</t>
    <phoneticPr fontId="1"/>
  </si>
  <si>
    <t>client1</t>
  </si>
  <si>
    <t>client2</t>
  </si>
  <si>
    <t>client3</t>
  </si>
  <si>
    <t>client4</t>
  </si>
  <si>
    <t>message</t>
    <phoneticPr fontId="1"/>
  </si>
  <si>
    <t>docker run -p 80:80 kennethreitz/httpbin</t>
  </si>
  <si>
    <t>http://localhost:80/get</t>
  </si>
  <si>
    <t>ExLibris.Core.WebAPIs.Response:0F1A2DAA-0698-4A05-83B0-2DBCCA39985A</t>
  </si>
  <si>
    <t>http://localhost:80/post</t>
  </si>
  <si>
    <t>ExLibris.Core.WebAPIs.Response:5407E2E5-A3DE-4431-8264-B500336C6C03</t>
  </si>
  <si>
    <t>http://localhost:80/bearer</t>
  </si>
  <si>
    <t>ExLibris.Core.WebAPIs.Response:EF165471-5C1F-4F20-BD88-F0C49317B72E</t>
  </si>
  <si>
    <t xml:space="preserve">{
  "authenticated": true, 
  "token": "XXX11111222223333444444"
}
</t>
  </si>
  <si>
    <t>ExLibris.Core.WebAPIs.Response:9EF9FE5D-DFD7-4434-B0E6-25A1993F2B9A</t>
  </si>
  <si>
    <t xml:space="preserve">{
  "args": {}, 
  "data": "{\"currency_pair\":{\"left\":\"USD\",\"right\":\"JPY\"},\"strike\":108.5,\"call_or_put\":\"CALL\",\"buy_or_sell\":\"SELL\",\"date\":44463}", 
  "files": {}, 
  "form": {}, 
  "headers": {
    "Authorization": "Bearer XXX11111222223333444444", 
    "Cname0": "value0", 
    "Content-Length": "116", 
    "Content-Type": "text/plain; charset=utf-8", 
    "Expect": "100-continue", 
    "Host": "localhost", 
    "User-Agent": "user"
  }, 
  "json": {
    "buy_or_sell": "SELL", 
    "call_or_put": "CALL", 
    "currency_pair": {
      "left": "USD", 
      "right": "JPY"
    }, 
    "date": 44463, 
    "strike": 108.5
  }, 
  "origin": "172.17.0.1", 
  "url": "http://localhost/post"
}
</t>
  </si>
  <si>
    <t>ExLibris.Core.WebAPIs.Response:6699A287-7A23-43FB-823A-8AA3BC6F0EC5</t>
  </si>
  <si>
    <t xml:space="preserve">{
  "args": {}, 
  "data": "", 
  "files": {}, 
  "form": {
    "buy_or_sell": "SELL", 
    "call_or_put": "CALL", 
    "currency_pair.left": "USD", 
    "currency_pair.right": "JPY", 
    "date": "44463", 
    "strike": "108.5"
  }, 
  "headers": {
    "Authorization": "Bearer XXX11111222223333444444", 
    "Cname0": "value0", 
    "Content-Length": "104", 
    "Content-Type": "application/x-www-form-urlencoded", 
    "Expect": "100-continue", 
    "Host": "localhost", 
    "User-Agent": "user"
  }, 
  "json": null, 
  "origin": "172.17.0.1", 
  "url": "http://localhost/post"
}
</t>
  </si>
  <si>
    <t>http://localhost:80/post?currency_pair.left=USD&amp;currency_pair.right=JPY&amp;strike=108.5&amp;call_or_put=CALL&amp;buy_or_sell=SELL&amp;date=44463</t>
  </si>
  <si>
    <t>ExLibris.Core.WebAPIs.Response:115347C9-8C29-4BDA-90DC-C02A450124DE</t>
  </si>
  <si>
    <t xml:space="preserve">{
  "args": {
    "buy_or_sell": "SELL", 
    "call_or_put": "CALL", 
    "currency_pair.left": "USD", 
    "currency_pair.right": "JPY", 
    "date": "44463", 
    "strike": "108.5"
  }, 
  "data": "", 
  "files": {}, 
  "form": {
    "buy_or_sell": "SELL", 
    "call_or_put": "CALL", 
    "currency_pair.left": "USD", 
    "currency_pair.right": "JPY", 
    "date": "44463", 
    "strike": "108.5"
  }, 
  "headers": {
    "Authorization": "Bearer XXX11111222223333444444", 
    "Cname0": "value0", 
    "Content-Length": "104", 
    "Content-Type": "application/x-www-form-urlencoded", 
    "Expect": "100-continue", 
    "Host": "localhost", 
    "User-Agent": "user"
  }, 
  "json": null, 
  "origin": "172.17.0.1", 
  "url": "http://localhost/post?currency_pair.left=USD&amp;currency_pair.right=JPY&amp;strike=108.5&amp;call_or_put=CALL&amp;buy_or_sell=SELL&amp;date=44463"
}
</t>
  </si>
  <si>
    <t>http://localhost:80/get?currency_pair.left=USD&amp;currency_pair.right=JPY&amp;strike=108.5&amp;call_or_put=CALL&amp;buy_or_sell=SELL&amp;date=44463</t>
  </si>
  <si>
    <t>ExLibris.Core.WebAPIs.Response:92C25233-3764-4E1B-8C73-9DF86C200743</t>
  </si>
  <si>
    <t xml:space="preserve">{
  "args": {
    "buy_or_sell": "SELL", 
    "call_or_put": "CALL", 
    "currency_pair.left": "USD", 
    "currency_pair.right": "JPY", 
    "date": "44463", 
    "strike": "108.5"
  }, 
  "headers": {
    "Host": "localhost"
  }, 
  "origin": "172.17.0.1", 
  "url": "http://localhost/get?currency_pair.left=USD&amp;currency_pair.right=JPY&amp;strike=108.5&amp;call_or_put=CALL&amp;buy_or_sell=SELL&amp;date=44463"
}
</t>
  </si>
  <si>
    <t>http://localhost:80/delay/10</t>
  </si>
  <si>
    <t>ExLibris.Core.WebAPIs.Response:188035AE-50E0-4C2F-964B-39CD30B3F673</t>
  </si>
  <si>
    <t>ok/ng</t>
    <phoneticPr fontId="1"/>
  </si>
  <si>
    <t xml:space="preserve">{
  "args": {}, 
  "headers": {
    "Host": "localhost"
  }, 
  "origin": "172.17.0.1", 
  "url": "http://localhost/get"
}
</t>
  </si>
  <si>
    <t xml:space="preserve">{
  "args": {}, 
  "data": "", 
  "files": {}, 
  "form": {}, 
  "headers": {
    "Host": "localhost"
  }, 
  "origin": "172.17.0.1", 
  "url": "http://localhost/delay/10"
}
</t>
  </si>
  <si>
    <t xml:space="preserve">{
  "args": {}, 
  "data": "", 
  "files": {}, 
  "form": {}, 
  "headers": {
    "Content-Length": "0", 
    "Host": "localhost"
  }, 
  "json": null, 
  "origin": "172.17.0.1", 
  "url": "http://localhost/post"
}
</t>
  </si>
  <si>
    <t>keyvalues2</t>
    <phoneticPr fontId="1"/>
  </si>
  <si>
    <t>keyvalues3</t>
    <phoneticPr fontId="1"/>
  </si>
  <si>
    <t>table4</t>
    <phoneticPr fontId="1"/>
  </si>
  <si>
    <t>amount</t>
  </si>
  <si>
    <t>amount</t>
    <phoneticPr fontId="1"/>
  </si>
  <si>
    <t>fixed_leg.cashflows.[0].amount</t>
  </si>
  <si>
    <t>fixed_leg.cashflows.[1].amount</t>
  </si>
  <si>
    <t>fixed_leg.cashflows.[2].amount</t>
  </si>
  <si>
    <t>fixed_leg.cashflows.[3].amount</t>
  </si>
  <si>
    <t>fixed_leg.cashflows.[4].amount</t>
  </si>
  <si>
    <t>fixed_leg.cashflows.[5].amount</t>
  </si>
  <si>
    <t>{"trade_code":"money_00001","couter_party":"CP00001","fixed_leg":{"pay_or_recieve":"Receive","cashflows":[{"payment _date":44632,"start_date":44452,"end_date":44632,"day_count_type":"ACT/360","amount":10000000,"fixed_rate":0.001},{"payment _date":44812,"start_date":44632,"end_date":44812,"day_count_type":"ACT/360","amount":11000000,"fixed_rate":0.001},{"payment _date":44992,"start_date":44812,"end_date":44992,"day_count_type":"ACT/360","amount":12000000,"fixed_rate":0.001},{"payment _date":45172,"start_date":44992,"end_date":45172,"day_count_type":"ACT/360","amount":13000000,"fixed_rate":0.001},{"payment _date":45352,"start_date":45172,"end_date":45352,"day_count_type":"ACT/360","amount":14000000,"fixed_rate":0.001},{"payment _date":45532,"start_date":45352,"end_date":45532,"day_count_type":"ACT/360","amount":15000000,"fixed_rate":0.001}]}}</t>
  </si>
  <si>
    <t>fixed_leg.cashflows.[3].amount</t>
    <phoneticPr fontId="1"/>
  </si>
  <si>
    <t>expected</t>
  </si>
  <si>
    <t>result</t>
  </si>
  <si>
    <t>{"trade_code":"money_00001","couter_party":"CP00001","fixed_leg":{"pay_or_recieve":"Receive","cashflows":[{"payment _date":"2022-03-12","start_date":"2021-09-13","end_date":"2022-03-12","day_count_type":"ACT/360","amount":10000000,"fixed_rate":0.001},{"payment _date":"2022-09-08","start_date":"2022-03-12","end_date":"2022-09-08","day_count_type":"ACT/360","amount":10000000,"fixed_rate":0.0011},{"payment _date":"2023-03-07","start_date":"2022-09-08","end_date":"2023-03-07","day_count_type":"ACT/360","amount":11000000,"fixed_rate":0.0012000000000000001},{"payment _date":"2023-09-03","start_date":"2023-03-07","end_date":"2023-09-03","day_count_type":"ACT/360","amount":11000000,"fixed_rate":0.0013000000000000002},{"payment _date":"2024-03-01","start_date":"2023-09-03","end_date":"2024-03-01","day_count_type":"ACT/360","amount":12000000,"fixed_rate":0.0014000000000000002},{"payment _date":"2024-08-28","start_date":"2024-03-01","end_date":"2024-08-28","day_count_type":"ACT/360","amount":12000000,"fixed_rate":0.0015000000000000002}]}}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</si>
</sst>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4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u/>
      <sz val="11"/>
      <color theme="10"/>
      <name val="游ゴシック"/>
      <family val="2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9">
    <xf numFmtId="0" fontId="0" fillId="0" borderId="0" xfId="0">
      <alignment vertical="center"/>
    </xf>
    <xf numFmtId="14" fontId="0" fillId="0" borderId="0" xfId="0" applyNumberFormat="1">
      <alignment vertical="center"/>
    </xf>
    <xf numFmtId="176" fontId="0" fillId="0" borderId="0" xfId="0" applyNumberFormat="1">
      <alignment vertical="center"/>
    </xf>
    <xf numFmtId="10" fontId="0" fillId="0" borderId="0" xfId="0" applyNumberFormat="1">
      <alignment vertical="center"/>
    </xf>
    <xf numFmtId="0" fontId="2" fillId="0" borderId="0" xfId="0" applyFont="1">
      <alignment vertical="center"/>
    </xf>
    <xf numFmtId="0" fontId="2" fillId="2" borderId="0" xfId="0" applyFont="1" applyFill="1">
      <alignment vertical="center"/>
    </xf>
    <xf numFmtId="0" fontId="0" fillId="2" borderId="0" xfId="0" applyFill="1">
      <alignment vertical="center"/>
    </xf>
    <xf numFmtId="0" fontId="3" fillId="0" borderId="0" xfId="1">
      <alignment vertical="center"/>
    </xf>
    <xf numFmtId="0" fontId="0" fillId="3" borderId="0" xfId="0" applyFill="1">
      <alignment vertical="center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.e9e679e6621d402baf5d71ad7ce809cc">
      <tp>
        <v>1</v>
        <stp/>
        <stp>0221e945-fff4-483c-aa18-9fae6c5b00a8</stp>
        <tr r="G57" s="7"/>
      </tp>
    </main>
    <main first="rtdsrv.e9e679e6621d402baf5d71ad7ce809cc">
      <tp>
        <v>2</v>
        <stp/>
        <stp>be0e7fcd-083a-4798-9443-f785c5049700</stp>
        <tr r="D50" s="5"/>
      </tp>
      <tp>
        <v>2</v>
        <stp/>
        <stp>30f98b7c-a201-4dff-ae8e-afb94b9e6cc0</stp>
        <tr r="F6" s="4"/>
      </tp>
      <tp>
        <v>2</v>
        <stp/>
        <stp>b1fb4f5d-4216-4966-800c-b95425bcdcc5</stp>
        <tr r="G24" s="4"/>
      </tp>
    </main>
    <main first="rtdsrv.e9e679e6621d402baf5d71ad7ce809cc">
      <tp>
        <v>1</v>
        <stp/>
        <stp>e75657d8-9205-4917-8910-fdaa52143c2d</stp>
        <tr r="G7" s="3"/>
      </tp>
      <tp>
        <v>2</v>
        <stp/>
        <stp>d74aef44-17c6-4a26-9f62-e91a33dfba84</stp>
        <tr r="G54" s="1"/>
      </tp>
      <tp>
        <v>2</v>
        <stp/>
        <stp>327762f6-f2cc-4efa-9078-050548aa76c1</stp>
        <tr r="G45" s="4"/>
      </tp>
    </main>
    <main first="rtdsrv.e9e679e6621d402baf5d71ad7ce809cc">
      <tp>
        <v>2</v>
        <stp/>
        <stp>c4aa2dda-12e8-45a4-b913-bb81a589f889</stp>
        <tr r="G23" s="1"/>
      </tp>
      <tp>
        <v>2</v>
        <stp/>
        <stp>b24210b4-a755-45fc-9ca3-ba79738c18b8</stp>
        <tr r="G23" s="4"/>
      </tp>
      <tp>
        <v>2</v>
        <stp/>
        <stp>d85171bc-beeb-41da-85c4-fca9f4eae596</stp>
        <tr r="F4" s="3"/>
      </tp>
      <tp>
        <v>1</v>
        <stp/>
        <stp>33fdf581-872b-4aa1-b27c-e3588968a925</stp>
        <tr r="F1" s="7"/>
      </tp>
    </main>
    <main first="rtdsrv.e9e679e6621d402baf5d71ad7ce809cc">
      <tp>
        <v>2</v>
        <stp/>
        <stp>3e0d2caa-1dc3-4f22-a17f-66acf73eb871</stp>
        <tr r="G52" s="1"/>
      </tp>
      <tp>
        <v>2</v>
        <stp/>
        <stp>022d2070-d5c9-41fc-a782-e93ac9ae36ae</stp>
        <tr r="G49" s="1"/>
      </tp>
    </main>
    <main first="rtdsrv.e9e679e6621d402baf5d71ad7ce809cc">
      <tp>
        <v>2</v>
        <stp/>
        <stp>233ea251-9794-4ede-b7ac-c41c676d876e</stp>
        <tr r="G56" s="4"/>
      </tp>
    </main>
    <main first="rtdsrv.e9e679e6621d402baf5d71ad7ce809cc">
      <tp>
        <v>2</v>
        <stp/>
        <stp>cd1417b6-d08f-45ae-928e-654eade3e3b7</stp>
        <tr r="G21" s="4"/>
      </tp>
    </main>
    <main first="rtdsrv.e9e679e6621d402baf5d71ad7ce809cc">
      <tp>
        <v>1</v>
        <stp/>
        <stp>1cb7fbb4-e043-4e89-aff3-f4f004787285</stp>
        <tr r="G40" s="7"/>
      </tp>
    </main>
    <main first="rtdsrv.e9e679e6621d402baf5d71ad7ce809cc">
      <tp>
        <v>1</v>
        <stp/>
        <stp>9e78f2bb-4ac3-489b-a141-5f6fc9dfac19</stp>
        <tr r="G53" s="7"/>
      </tp>
      <tp>
        <v>1</v>
        <stp/>
        <stp>29173679-d34d-410d-9e5f-4171348756bb</stp>
        <tr r="G43" s="7"/>
      </tp>
      <tp>
        <v>2</v>
        <stp/>
        <stp>60e4a127-ec42-45c4-9fbb-6d3d49d53f76</stp>
        <tr r="G46" s="4"/>
      </tp>
    </main>
    <main first="rtdsrv.e9e679e6621d402baf5d71ad7ce809cc">
      <tp>
        <v>2</v>
        <stp/>
        <stp>1941794a-23a4-4fa9-884d-a40b3cd6aa10</stp>
        <tr r="P74" s="1"/>
      </tp>
      <tp>
        <v>1</v>
        <stp/>
        <stp>5a3506db-b0f0-4d26-ace8-e9a034467eba</stp>
        <tr r="G37" s="7"/>
      </tp>
    </main>
    <main first="rtdsrv.e9e679e6621d402baf5d71ad7ce809cc">
      <tp>
        <v>2</v>
        <stp/>
        <stp>6d4c8086-aec7-4ca4-ae7d-c6c036d7b807</stp>
        <tr r="G20" s="4"/>
      </tp>
      <tp>
        <v>2</v>
        <stp/>
        <stp>e988b699-486d-4dfb-93c3-95e49dc65e6d</stp>
        <tr r="P19" s="1"/>
      </tp>
      <tp>
        <v>2</v>
        <stp/>
        <stp>2a3fb5d6-ba2e-40dc-a5a5-2671a853c470</stp>
        <tr r="G33" s="1"/>
      </tp>
    </main>
    <main first="rtdsrv.e9e679e6621d402baf5d71ad7ce809cc">
      <tp>
        <v>2</v>
        <stp/>
        <stp>3c43a87a-121b-4fdb-8234-c335c554b316</stp>
        <tr r="G39" s="1"/>
      </tp>
      <tp>
        <v>2</v>
        <stp/>
        <stp>20ca0e0a-4e1f-46e8-9e67-7c56c5acd60c</stp>
        <tr r="G29" s="4"/>
      </tp>
    </main>
    <main first="rtdsrv.e9e679e6621d402baf5d71ad7ce809cc">
      <tp>
        <v>2</v>
        <stp/>
        <stp>eef9688d-68f9-4e26-98e8-a9d0d6fc78ae</stp>
        <tr r="G41" s="4"/>
      </tp>
    </main>
    <main first="rtdsrv.e9e679e6621d402baf5d71ad7ce809cc">
      <tp>
        <v>2</v>
        <stp/>
        <stp>2473af4c-a7a5-44f1-bdc5-b870dd8651bf</stp>
        <tr r="I33" s="4"/>
      </tp>
    </main>
    <main first="rtdsrv.e9e679e6621d402baf5d71ad7ce809cc">
      <tp>
        <v>2</v>
        <stp/>
        <stp>a4329483-82d3-40ef-9897-3b1211b2d8a5</stp>
        <tr r="G27" s="1"/>
      </tp>
      <tp>
        <v>1</v>
        <stp/>
        <stp>8b47aec0-7947-453a-8798-b1146015eebe</stp>
        <tr r="H7" s="3"/>
      </tp>
    </main>
    <main first="rtdsrv.e9e679e6621d402baf5d71ad7ce809cc">
      <tp>
        <v>2</v>
        <stp/>
        <stp>836248d6-1a6e-4680-bb77-305a4d695da1</stp>
        <tr r="G41" s="1"/>
      </tp>
      <tp>
        <v>2</v>
        <stp/>
        <stp>b4491249-f6c2-4c2b-a082-895239a7b77c</stp>
        <tr r="G57" s="4"/>
      </tp>
    </main>
    <main first="rtdsrv.e9e679e6621d402baf5d71ad7ce809cc">
      <tp>
        <v>2</v>
        <stp/>
        <stp>9e163131-4a4a-4abb-9c4f-5e9a75f23d49</stp>
        <tr r="G19" s="1"/>
      </tp>
      <tp>
        <v>2</v>
        <stp/>
        <stp>ae319cc9-cc66-429f-bf00-d032e50414ea</stp>
        <tr r="D35" s="5"/>
      </tp>
      <tp>
        <v>2</v>
        <stp/>
        <stp>747cd138-c3ce-426a-8d25-a92678ca7668</stp>
        <tr r="G28" s="1"/>
      </tp>
    </main>
    <main first="rtdsrv.e9e679e6621d402baf5d71ad7ce809cc">
      <tp>
        <v>2</v>
        <stp/>
        <stp>1d5e7c68-a152-4e3f-8622-2793537ad438</stp>
        <tr r="F1" s="1"/>
      </tp>
    </main>
    <main first="rtdsrv.e9e679e6621d402baf5d71ad7ce809cc">
      <tp>
        <v>2</v>
        <stp/>
        <stp>eb4709ce-be48-4352-aa80-fff935152bde</stp>
        <tr r="G38" s="1"/>
      </tp>
      <tp>
        <v>2</v>
        <stp/>
        <stp>152b946a-9d6e-42e6-a0ea-781c4453fe66</stp>
        <tr r="F6" s="3"/>
      </tp>
    </main>
    <main first="rtdsrv.e9e679e6621d402baf5d71ad7ce809cc">
      <tp>
        <v>1</v>
        <stp/>
        <stp>65d6935e-d99e-4406-bace-1caf4c53b41b</stp>
        <tr r="G33" s="7"/>
      </tp>
    </main>
    <main first="rtdsrv.e9e679e6621d402baf5d71ad7ce809cc">
      <tp>
        <v>1</v>
        <stp/>
        <stp>d732be89-1a80-47cf-b3fd-13567628fe2c</stp>
        <tr r="G8" s="3"/>
      </tp>
    </main>
    <main first="rtdsrv.e9e679e6621d402baf5d71ad7ce809cc">
      <tp>
        <v>1</v>
        <stp/>
        <stp>b5590201-ab7f-4a9f-9f0a-5e7d83c5eeeb</stp>
        <tr r="G27" s="7"/>
      </tp>
      <tp>
        <v>2</v>
        <stp/>
        <stp>288eab39-57cd-4a32-a0aa-debc38819b68</stp>
        <tr r="G22" s="1"/>
      </tp>
      <tp>
        <v>1</v>
        <stp/>
        <stp>1b4a9e0d-65cc-4c16-a5b5-03de9e6fc0d7</stp>
        <tr r="G31" s="7"/>
      </tp>
      <tp>
        <v>2</v>
        <stp/>
        <stp>30901615-b53c-4a81-b3d3-55c22ffbebe7</stp>
        <tr r="B5" s="5"/>
      </tp>
    </main>
    <main first="rtdsrv.e9e679e6621d402baf5d71ad7ce809cc">
      <tp>
        <v>2</v>
        <stp/>
        <stp>fa89e121-159a-4d70-bfb5-197528c1d25f</stp>
        <tr r="G46" s="1"/>
      </tp>
      <tp>
        <v>2</v>
        <stp/>
        <stp>b55a17fe-5bdd-475c-8864-8dfcdc097e70</stp>
        <tr r="G55" s="1"/>
      </tp>
    </main>
    <main first="rtdsrv.e9e679e6621d402baf5d71ad7ce809cc">
      <tp>
        <v>2</v>
        <stp/>
        <stp>eb5810e2-608b-409f-a35d-01997b4b0d62</stp>
        <tr r="G55" s="4"/>
      </tp>
    </main>
    <main first="rtdsrv.e9e679e6621d402baf5d71ad7ce809cc">
      <tp>
        <v>2</v>
        <stp/>
        <stp>8e2b0e54-d204-4256-8ba0-8ce31e88847e</stp>
        <tr r="G34" s="1"/>
      </tp>
    </main>
    <main first="rtdsrv.e9e679e6621d402baf5d71ad7ce809cc">
      <tp>
        <v>2</v>
        <stp/>
        <stp>0fdcaa91-4b73-4512-a134-445c9400f3df</stp>
        <tr r="P29" s="1"/>
      </tp>
    </main>
    <main first="rtdsrv.e9e679e6621d402baf5d71ad7ce809cc">
      <tp>
        <v>1</v>
        <stp/>
        <stp>2285d762-d409-4296-8759-1c814f167f47</stp>
        <tr r="G26" s="7"/>
      </tp>
      <tp>
        <v>1</v>
        <stp/>
        <stp>b0cafb50-c1a7-4917-9fdd-9092de5b565c</stp>
        <tr r="P29" s="7"/>
      </tp>
    </main>
    <main first="rtdsrv.e9e679e6621d402baf5d71ad7ce809cc">
      <tp>
        <v>2</v>
        <stp/>
        <stp>4bab67fe-7dca-494e-951e-425b25c05788</stp>
        <tr r="G47" s="4"/>
      </tp>
      <tp>
        <v>1</v>
        <stp/>
        <stp>5ad2087a-8a76-4717-9b1d-9ed64a8d6ec6</stp>
        <tr r="P74" s="7"/>
      </tp>
      <tp>
        <v>1</v>
        <stp/>
        <stp>3b699b30-6ace-48ca-88ec-036a068481c6</stp>
        <tr r="G54" s="7"/>
      </tp>
      <tp>
        <v>2</v>
        <stp/>
        <stp>4089ce51-6e96-480d-aef7-33e740788df7</stp>
        <tr r="G20" s="1"/>
      </tp>
      <tp>
        <v>2</v>
        <stp/>
        <stp>ef61032a-2b7e-479d-8a1b-bad7035e2f21</stp>
        <tr r="G36" s="4"/>
      </tp>
      <tp>
        <v>2</v>
        <stp/>
        <stp>d2d231d0-47c8-4ffb-8cc5-7d1aebbb566f</stp>
        <tr r="I38" s="4"/>
      </tp>
    </main>
    <main first="rtdsrv.e9e679e6621d402baf5d71ad7ce809cc">
      <tp>
        <v>2</v>
        <stp/>
        <stp>4a6af1a3-06ea-44f2-af3d-6ce4d253566d</stp>
        <tr r="G52" s="4"/>
      </tp>
      <tp>
        <v>1</v>
        <stp/>
        <stp>cd8abe01-440c-47fd-b3a4-9742153dd447</stp>
        <tr r="G34" s="7"/>
      </tp>
    </main>
    <main first="rtdsrv.e9e679e6621d402baf5d71ad7ce809cc">
      <tp>
        <v>1</v>
        <stp/>
        <stp>07471017-6355-48e1-8a34-4362e68e2088</stp>
        <tr r="G32" s="7"/>
      </tp>
    </main>
    <main first="rtdsrv.e9e679e6621d402baf5d71ad7ce809cc">
      <tp>
        <v>1</v>
        <stp/>
        <stp>aa083d57-5cc6-47eb-90eb-865013d344cf</stp>
        <tr r="G45" s="7"/>
      </tp>
    </main>
    <main first="rtdsrv.e9e679e6621d402baf5d71ad7ce809cc">
      <tp>
        <v>1</v>
        <stp/>
        <stp>0f1d9e25-8562-4a69-b063-420a7bc41bf5</stp>
        <tr r="G41" s="7"/>
      </tp>
      <tp>
        <v>2</v>
        <stp/>
        <stp>1cd1eb24-b5a9-4962-ad0a-045580bb0ced</stp>
        <tr r="D8" s="3"/>
      </tp>
    </main>
    <main first="rtdsrv.e9e679e6621d402baf5d71ad7ce809cc">
      <tp>
        <v>1</v>
        <stp/>
        <stp>f5c74ec1-3539-4676-9bc9-46c8aeeedbbc</stp>
        <tr r="G36" s="7"/>
      </tp>
      <tp>
        <v>1</v>
        <stp/>
        <stp>462fd044-438f-42c2-bca7-ef859537b5af</stp>
        <tr r="G49" s="7"/>
      </tp>
    </main>
    <main first="rtdsrv.e9e679e6621d402baf5d71ad7ce809cc">
      <tp>
        <v>2</v>
        <stp/>
        <stp>d1dc9079-2d50-4ae5-b81e-74500561116f</stp>
        <tr r="F7" s="3"/>
      </tp>
      <tp>
        <v>1</v>
        <stp/>
        <stp>bc352835-f26b-47ca-93fe-c28b67966840</stp>
        <tr r="G6" s="3"/>
      </tp>
      <tp>
        <v>2</v>
        <stp/>
        <stp>0fe8c6b2-c96c-4cfb-8953-c31fe1b18ab1</stp>
        <tr r="G31" s="4"/>
      </tp>
      <tp>
        <v>2</v>
        <stp/>
        <stp>f858fbf7-6964-477b-ad65-09dc0020d65f</stp>
        <tr r="G44" s="1"/>
      </tp>
      <tp>
        <v>2</v>
        <stp/>
        <stp>805c5868-e855-41df-a739-58aff0caa798</stp>
        <tr r="G40" s="4"/>
      </tp>
      <tp>
        <v>2</v>
        <stp/>
        <stp>53cff610-e785-4cc1-b1ba-eecbfae27055</stp>
        <tr r="G53" s="4"/>
      </tp>
    </main>
    <main first="rtdsrv.e9e679e6621d402baf5d71ad7ce809cc">
      <tp>
        <v>2</v>
        <stp/>
        <stp>5edf0faa-64b6-462d-877f-a75a15269ccc</stp>
        <tr r="G44" s="4"/>
      </tp>
    </main>
    <main first="rtdsrv.e9e679e6621d402baf5d71ad7ce809cc">
      <tp>
        <v>2</v>
        <stp/>
        <stp>8274d1a8-f46e-49cc-8ff9-4d50484c2813</stp>
        <tr r="G48" s="4"/>
      </tp>
    </main>
    <main first="rtdsrv.e9e679e6621d402baf5d71ad7ce809cc">
      <tp>
        <v>2</v>
        <stp/>
        <stp>0a2ce789-6658-4919-8d8b-1ec974472478</stp>
        <tr r="D25" s="5"/>
      </tp>
    </main>
    <main first="rtdsrv.e9e679e6621d402baf5d71ad7ce809cc">
      <tp>
        <v>2</v>
        <stp/>
        <stp>41adec2e-7be3-4bbe-b609-a3305016b71e</stp>
        <tr r="G25" s="1"/>
      </tp>
      <tp>
        <v>1</v>
        <stp/>
        <stp>b3e99a89-0f07-4674-9c1c-e3f333c1acfd</stp>
        <tr r="G47" s="7"/>
      </tp>
      <tp>
        <v>1</v>
        <stp/>
        <stp>4058f969-9784-4281-8fe5-8f54d610603b</stp>
        <tr r="I28" s="7"/>
      </tp>
      <tp>
        <v>1</v>
        <stp/>
        <stp>54c3c8e2-8a46-4c9d-81ba-4de903d3ea14</stp>
        <tr r="G5" s="3"/>
      </tp>
    </main>
    <main first="rtdsrv.e9e679e6621d402baf5d71ad7ce809cc">
      <tp>
        <v>1</v>
        <stp/>
        <stp>f60de59a-475d-49cb-b5d4-6935181bf5fb</stp>
        <tr r="F6" s="7"/>
      </tp>
    </main>
    <main first="rtdsrv.e9e679e6621d402baf5d71ad7ce809cc">
      <tp>
        <v>2</v>
        <stp/>
        <stp>5ba40365-34ce-4f75-82e3-cfa53ffa170f</stp>
        <tr r="G28" s="4"/>
      </tp>
    </main>
    <main first="rtdsrv.e9e679e6621d402baf5d71ad7ce809cc">
      <tp>
        <v>2</v>
        <stp/>
        <stp>95b6fe7e-770c-4b79-bb23-c6fdd937dfe3</stp>
        <tr r="G53" s="1"/>
      </tp>
      <tp>
        <v>1</v>
        <stp/>
        <stp>3956bbbc-ef63-4456-a9f8-7cf6c1e92963</stp>
        <tr r="G48" s="7"/>
      </tp>
      <tp>
        <v>1</v>
        <stp/>
        <stp>f6681d96-7041-4e24-8200-4635410edc15</stp>
        <tr r="G24" s="7"/>
      </tp>
    </main>
    <main first="rtdsrv.e9e679e6621d402baf5d71ad7ce809cc">
      <tp>
        <v>2</v>
        <stp/>
        <stp>6ad6e353-2e97-4964-87b4-a937d0d24e9a</stp>
        <tr r="G35" s="1"/>
      </tp>
    </main>
    <main first="rtdsrv.e9e679e6621d402baf5d71ad7ce809cc">
      <tp>
        <v>2</v>
        <stp/>
        <stp>9a9d0bda-5643-442d-b140-1a5d989eeeda</stp>
        <tr r="D30" s="5"/>
      </tp>
    </main>
    <main first="rtdsrv.e9e679e6621d402baf5d71ad7ce809cc">
      <tp>
        <v>1</v>
        <stp/>
        <stp>ea46f39e-678d-4859-9705-5c83c33f1e00</stp>
        <tr r="G19" s="7"/>
      </tp>
    </main>
    <main first="rtdsrv.e9e679e6621d402baf5d71ad7ce809cc">
      <tp>
        <v>2</v>
        <stp/>
        <stp>e37e5de4-f4d1-4c12-9ee8-89d1a5bd9347</stp>
        <tr r="G39" s="4"/>
      </tp>
    </main>
    <main first="rtdsrv.e9e679e6621d402baf5d71ad7ce809cc">
      <tp>
        <v>1</v>
        <stp/>
        <stp>6fdb948b-bb8d-4f92-a37d-4979915d3d3f</stp>
        <tr r="G50" s="7"/>
      </tp>
    </main>
    <main first="rtdsrv.e9e679e6621d402baf5d71ad7ce809cc">
      <tp>
        <v>2</v>
        <stp/>
        <stp>337bf53c-4446-4d77-9593-e0ca9e1b6015</stp>
        <tr r="D45" s="5"/>
      </tp>
    </main>
    <main first="rtdsrv.e9e679e6621d402baf5d71ad7ce809cc">
      <tp>
        <v>1</v>
        <stp/>
        <stp>f2331c9d-365f-4f36-9be1-599a5bbdb34b</stp>
        <tr r="G25" s="7"/>
      </tp>
    </main>
    <main first="rtdsrv.e9e679e6621d402baf5d71ad7ce809cc">
      <tp>
        <v>2</v>
        <stp/>
        <stp>459123d1-5766-453e-be94-d2782a3a4eb0</stp>
        <tr r="G26" s="4"/>
      </tp>
      <tp>
        <v>1</v>
        <stp/>
        <stp>cc824bea-871a-4c9b-810b-b4159d3cdb12</stp>
        <tr r="G21" s="7"/>
      </tp>
      <tp>
        <v>1</v>
        <stp/>
        <stp>fcdbbfda-4f86-4243-8690-76bf02bfcfc7</stp>
        <tr r="H6" s="3"/>
      </tp>
    </main>
    <main first="rtdsrv.e9e679e6621d402baf5d71ad7ce809cc">
      <tp>
        <v>2</v>
        <stp/>
        <stp>2d980c35-94f2-445b-91a1-85415fb73010</stp>
        <tr r="B2" s="6"/>
      </tp>
      <tp>
        <v>2</v>
        <stp/>
        <stp>4022795b-cd70-49e1-8745-abd997425dbd</stp>
        <tr r="G42" s="1"/>
      </tp>
      <tp>
        <v>1</v>
        <stp/>
        <stp>1a3012b1-8ec2-4985-8ac8-140d231d9d30</stp>
        <tr r="G46" s="7"/>
      </tp>
    </main>
    <main first="rtdsrv.e9e679e6621d402baf5d71ad7ce809cc">
      <tp>
        <v>2</v>
        <stp/>
        <stp>c8776104-deb1-4245-8448-9dcac5cfbcb3</stp>
        <tr r="G34" s="4"/>
      </tp>
      <tp>
        <v>2</v>
        <stp/>
        <stp>beb498b7-246c-42b6-b9a5-cb719f4d0b9f</stp>
        <tr r="G21" s="1"/>
      </tp>
      <tp>
        <v>1</v>
        <stp/>
        <stp>c1665e7f-a000-486c-b8b9-c1cabcf0388d</stp>
        <tr r="G55" s="7"/>
      </tp>
      <tp>
        <v>1</v>
        <stp/>
        <stp>66955e8b-30ca-4287-9eab-ec08b275d9a9</stp>
        <tr r="G20" s="7"/>
      </tp>
      <tp>
        <v>2</v>
        <stp/>
        <stp>5777fa6e-23b8-4eb5-9320-16d988f0a361</stp>
        <tr r="G37" s="1"/>
      </tp>
      <tp>
        <v>2</v>
        <stp/>
        <stp>f5031817-6119-47f6-8016-55194d282325</stp>
        <tr r="G30" s="1"/>
      </tp>
    </main>
    <main first="rtdsrv.e9e679e6621d402baf5d71ad7ce809cc">
      <tp>
        <v>2</v>
        <stp/>
        <stp>34bd90e4-969b-4c78-891d-0bd7b9b0c1a3</stp>
        <tr r="D6" s="3"/>
      </tp>
      <tp>
        <v>1</v>
        <stp/>
        <stp>84cb5393-609d-4211-a6c7-13e0a86037d3</stp>
        <tr r="G56" s="7"/>
      </tp>
    </main>
    <main first="rtdsrv.e9e679e6621d402baf5d71ad7ce809cc">
      <tp>
        <v>2</v>
        <stp/>
        <stp>75c36322-ae20-4ad0-a01d-ee512d34c803</stp>
        <tr r="G48" s="1"/>
      </tp>
      <tp>
        <v>1</v>
        <stp/>
        <stp>96823ba7-90fc-45df-af68-b9bee8d6ec1d</stp>
        <tr r="H8" s="3"/>
      </tp>
      <tp>
        <v>2</v>
        <stp/>
        <stp>8ea51daa-1700-47a1-91cb-784faac6cdba</stp>
        <tr r="G57" s="1"/>
      </tp>
    </main>
    <main first="rtdsrv.e9e679e6621d402baf5d71ad7ce809cc">
      <tp>
        <v>1</v>
        <stp/>
        <stp>667e036d-b52b-49ab-b1f7-c49f50a0a8fb</stp>
        <tr r="G42" s="7"/>
      </tp>
      <tp>
        <v>1</v>
        <stp/>
        <stp>377a31d5-e859-4827-8ce3-f5069b3399ae</stp>
        <tr r="G4" s="3"/>
      </tp>
      <tp>
        <v>2</v>
        <stp/>
        <stp>5c58f884-5780-4af2-9fb1-70a7fff7177f</stp>
        <tr r="D15" s="5"/>
      </tp>
      <tp>
        <v>2</v>
        <stp/>
        <stp>77e135aa-3e1f-4728-8fd1-9306e587b4c3</stp>
        <tr r="G47" s="1"/>
      </tp>
      <tp>
        <v>2</v>
        <stp/>
        <stp>1f4798d1-a3f6-4ba3-8955-ac28135c26e0</stp>
        <tr r="G38" s="4"/>
      </tp>
    </main>
    <main first="rtdsrv.e9e679e6621d402baf5d71ad7ce809cc">
      <tp>
        <v>2</v>
        <stp/>
        <stp>d17c93f5-cd9d-41f2-906b-0f3f0ed96901</stp>
        <tr r="I28" s="4"/>
      </tp>
    </main>
    <main first="rtdsrv.e9e679e6621d402baf5d71ad7ce809cc">
      <tp>
        <v>2</v>
        <stp/>
        <stp>267a712d-7b04-4fb8-8daa-26e2d24f019b</stp>
        <tr r="I28" s="1"/>
      </tp>
    </main>
    <main first="rtdsrv.e9e679e6621d402baf5d71ad7ce809cc">
      <tp>
        <v>1</v>
        <stp/>
        <stp>037ba740-4bae-46eb-80b7-f7d6a8e0ec05</stp>
        <tr r="G28" s="7"/>
      </tp>
      <tp>
        <v>2</v>
        <stp/>
        <stp>982f664e-13dd-4d92-af52-6fc7837bf14b</stp>
        <tr r="C6" s="6"/>
      </tp>
    </main>
    <main first="rtdsrv.e9e679e6621d402baf5d71ad7ce809cc">
      <tp>
        <v>2</v>
        <stp/>
        <stp>158a94dc-ab63-418f-b207-11d5194ccbed</stp>
        <tr r="C10" s="6"/>
      </tp>
    </main>
    <main first="rtdsrv.e9e679e6621d402baf5d71ad7ce809cc">
      <tp>
        <v>2</v>
        <stp/>
        <stp>266bb827-38d7-4427-9d52-76ee9f6623e2</stp>
        <tr r="I19" s="4"/>
        <tr r="I32" s="4"/>
      </tp>
    </main>
    <main first="rtdsrv.e9e679e6621d402baf5d71ad7ce809cc">
      <tp>
        <v>2</v>
        <stp/>
        <stp>5d38ba0d-20da-46cc-a41a-6b2839e02b37</stp>
        <tr r="G56" s="1"/>
      </tp>
    </main>
    <main first="rtdsrv.e9e679e6621d402baf5d71ad7ce809cc">
      <tp>
        <v>2</v>
        <stp/>
        <stp>17121786-17bd-4da8-b260-a99049c64cf5</stp>
        <tr r="D20" s="5"/>
      </tp>
      <tp>
        <v>1</v>
        <stp/>
        <stp>57f98e78-c621-481a-a408-88b546dca35b</stp>
        <tr r="H5" s="3"/>
      </tp>
    </main>
    <main first="rtdsrv.e9e679e6621d402baf5d71ad7ce809cc">
      <tp>
        <v>2</v>
        <stp/>
        <stp>3e631e16-a389-4c9b-8bb5-97e75952625d</stp>
        <tr r="G50" s="4"/>
      </tp>
    </main>
    <main first="rtdsrv.e9e679e6621d402baf5d71ad7ce809cc">
      <tp>
        <v>1</v>
        <stp/>
        <stp>de081842-4996-4452-baad-5f7f0def2e7c</stp>
        <tr r="G35" s="7"/>
      </tp>
      <tp>
        <v>2</v>
        <stp/>
        <stp>648227c9-1f26-4932-aaa3-a66268caa2e7</stp>
        <tr r="G27" s="4"/>
      </tp>
      <tp>
        <v>2</v>
        <stp/>
        <stp>146f722d-1932-4321-b5be-ada5ee9a788f</stp>
        <tr r="I42" s="4"/>
      </tp>
      <tp>
        <v>2</v>
        <stp/>
        <stp>322d1fb3-417b-4e59-9afc-bc81c644777a</stp>
        <tr r="F8" s="3"/>
      </tp>
      <tp>
        <v>2</v>
        <stp/>
        <stp>7ee7726f-9ca0-4f5b-8cbb-97305bc6ef7b</stp>
        <tr r="G49" s="4"/>
      </tp>
    </main>
    <main first="rtdsrv.e9e679e6621d402baf5d71ad7ce809cc">
      <tp>
        <v>2</v>
        <stp/>
        <stp>b066d117-02c7-459b-be70-cd240d329949</stp>
        <tr r="P67" s="1"/>
      </tp>
    </main>
    <main first="rtdsrv.e9e679e6621d402baf5d71ad7ce809cc">
      <tp>
        <v>2</v>
        <stp/>
        <stp>eb91b8ac-42ed-422a-b7cb-86a599cb21d4</stp>
        <tr r="G24" s="1"/>
      </tp>
    </main>
    <main first="rtdsrv.e9e679e6621d402baf5d71ad7ce809cc">
      <tp>
        <v>2</v>
        <stp/>
        <stp>3738f755-58ce-42c0-96cd-1d54dd6bb46e</stp>
        <tr r="G32" s="4"/>
      </tp>
      <tp>
        <v>2</v>
        <stp/>
        <stp>f5f18a63-b630-4455-9c1a-8a78d65e47a6</stp>
        <tr r="D40" s="5"/>
      </tp>
    </main>
    <main first="rtdsrv.e9e679e6621d402baf5d71ad7ce809cc">
      <tp>
        <v>2</v>
        <stp/>
        <stp>706d2bbd-0d20-439f-b660-44a2d15d0e75</stp>
        <tr r="G35" s="4"/>
      </tp>
      <tp>
        <v>1</v>
        <stp/>
        <stp>509173b7-ae7c-46fe-a7de-a76e2c07ceb0</stp>
        <tr r="I19" s="7"/>
      </tp>
      <tp>
        <v>1</v>
        <stp/>
        <stp>cfded6dd-4203-4c87-bef4-33366b821679</stp>
        <tr r="G39" s="7"/>
      </tp>
      <tp>
        <v>2</v>
        <stp/>
        <stp>75ca7530-6a25-4048-99b2-f578d26dc97d</stp>
        <tr r="F1" s="4"/>
      </tp>
    </main>
    <main first="rtdsrv.e9e679e6621d402baf5d71ad7ce809cc">
      <tp>
        <v>2</v>
        <stp/>
        <stp>3ff96d44-4451-4615-b6dc-bf2171015b0b</stp>
        <tr r="D7" s="3"/>
      </tp>
      <tp>
        <v>1</v>
        <stp/>
        <stp>2f542e0d-6dfd-4f94-bbdb-a5155f95bd92</stp>
        <tr r="P19" s="7"/>
      </tp>
      <tp>
        <v>2</v>
        <stp/>
        <stp>b82dff94-2718-494e-a028-6e973497a871</stp>
        <tr r="G51" s="4"/>
      </tp>
      <tp>
        <v>2</v>
        <stp/>
        <stp>9766cb65-5e60-4b71-8644-26865b27ab36</stp>
        <tr r="G43" s="4"/>
      </tp>
      <tp>
        <v>1</v>
        <stp/>
        <stp>1853b35b-b66b-48f2-b10c-49f8c0ab1193</stp>
        <tr r="G29" s="7"/>
      </tp>
    </main>
    <main first="rtdsrv.e9e679e6621d402baf5d71ad7ce809cc">
      <tp>
        <v>2</v>
        <stp/>
        <stp>353bbe5f-8bec-4a35-b4b6-6e7ff86f312c</stp>
        <tr r="D4" s="3"/>
      </tp>
    </main>
    <main first="rtdsrv.e9e679e6621d402baf5d71ad7ce809cc">
      <tp>
        <v>2</v>
        <stp/>
        <stp>403e9d2c-1986-40e5-97cc-9d0c6bfacf90</stp>
        <tr r="C2" s="2"/>
      </tp>
      <tp>
        <v>2</v>
        <stp/>
        <stp>6e380c36-3132-4c7b-bdac-4e90628542ff</stp>
        <tr r="G45" s="1"/>
      </tp>
    </main>
    <main first="rtdsrv.e9e679e6621d402baf5d71ad7ce809cc">
      <tp>
        <v>2</v>
        <stp/>
        <stp>0455aa01-e585-4bdb-9653-8033b0fa7728</stp>
        <tr r="G50" s="1"/>
      </tp>
      <tp>
        <v>1</v>
        <stp/>
        <stp>f87d72d6-76f5-4cb8-95a8-fc98da1b761a</stp>
        <tr r="P67" s="7"/>
      </tp>
      <tp>
        <v>1</v>
        <stp/>
        <stp>1c3b5a52-4e0d-405c-9dfc-c255005c3aa1</stp>
        <tr r="G38" s="7"/>
      </tp>
    </main>
    <main first="rtdsrv.e9e679e6621d402baf5d71ad7ce809cc">
      <tp>
        <v>1</v>
        <stp/>
        <stp>29c7a23c-2f95-49f1-b4f0-37a549331072</stp>
        <tr r="G30" s="7"/>
      </tp>
    </main>
    <main first="rtdsrv.e9e679e6621d402baf5d71ad7ce809cc">
      <tp>
        <v>2</v>
        <stp/>
        <stp>08e386b6-fe3e-497c-b2e1-79ce92fd65e7</stp>
        <tr r="G51" s="1"/>
      </tp>
    </main>
    <main first="rtdsrv.e9e679e6621d402baf5d71ad7ce809cc">
      <tp>
        <v>2</v>
        <stp/>
        <stp>6620f1f5-7daf-459d-92cc-273f1f533711</stp>
        <tr r="F6" s="1"/>
      </tp>
    </main>
    <main first="rtdsrv.e9e679e6621d402baf5d71ad7ce809cc">
      <tp>
        <v>1</v>
        <stp/>
        <stp>7c8591ad-6274-4b12-861e-bcc13c1996cc</stp>
        <tr r="G23" s="7"/>
      </tp>
    </main>
    <main first="rtdsrv.e9e679e6621d402baf5d71ad7ce809cc">
      <tp>
        <v>2</v>
        <stp/>
        <stp>39ae3fbe-e8ca-4341-96d1-a2b1255289e8</stp>
        <tr r="G37" s="4"/>
      </tp>
      <tp>
        <v>2</v>
        <stp/>
        <stp>3edb09fb-5c68-43d0-8e4f-3dbcb9076ab6</stp>
        <tr r="D5" s="3"/>
      </tp>
      <tp>
        <v>2</v>
        <stp/>
        <stp>51111f44-ced3-4ae2-98c1-19b7a9700452</stp>
        <tr r="G33" s="4"/>
      </tp>
      <tp>
        <v>2</v>
        <stp/>
        <stp>5e0ae8ac-d864-4092-ac21-e6cff80def9f</stp>
        <tr r="G22" s="4"/>
      </tp>
    </main>
    <main first="rtdsrv.e9e679e6621d402baf5d71ad7ce809cc">
      <tp>
        <v>2</v>
        <stp/>
        <stp>2a471559-6746-4ff2-bb35-a07bf60573cf</stp>
        <tr r="I19" s="1"/>
      </tp>
    </main>
    <main first="rtdsrv.e9e679e6621d402baf5d71ad7ce809cc">
      <tp>
        <v>1</v>
        <stp/>
        <stp>3c97835c-036c-4987-995e-c1d3d6f573ed</stp>
        <tr r="G51" s="7"/>
      </tp>
      <tp>
        <v>2</v>
        <stp/>
        <stp>e9f7e83b-e363-4fdb-8d1b-93849af023e9</stp>
        <tr r="G32" s="1"/>
      </tp>
      <tp>
        <v>2</v>
        <stp/>
        <stp>448d4632-211b-4f04-b0ce-ae1f46cd7b49</stp>
        <tr r="F5" s="3"/>
      </tp>
    </main>
    <main first="rtdsrv.e9e679e6621d402baf5d71ad7ce809cc">
      <tp>
        <v>2</v>
        <stp/>
        <stp>3bdfea5d-20b5-4187-8c5e-db81dc352d49</stp>
        <tr r="G36" s="1"/>
      </tp>
      <tp>
        <v>1</v>
        <stp/>
        <stp>ff3a81ad-4fc4-44bc-8278-57d5cc8175ce</stp>
        <tr r="G22" s="7"/>
      </tp>
    </main>
    <main first="rtdsrv.e9e679e6621d402baf5d71ad7ce809cc">
      <tp>
        <v>2</v>
        <stp/>
        <stp>118de0bb-50a9-44ac-8af8-289dddad19e4</stp>
        <tr r="G54" s="4"/>
      </tp>
    </main>
    <main first="rtdsrv.e9e679e6621d402baf5d71ad7ce809cc">
      <tp>
        <v>2</v>
        <stp/>
        <stp>bac08e65-0e7c-48d0-8010-9f1f14d0a310</stp>
        <tr r="G43" s="1"/>
      </tp>
    </main>
    <main first="rtdsrv.e9e679e6621d402baf5d71ad7ce809cc">
      <tp>
        <v>2</v>
        <stp/>
        <stp>24ef5a13-6afd-408e-a82f-b73bf2120e60</stp>
        <tr r="G40" s="1"/>
      </tp>
      <tp>
        <v>2</v>
        <stp/>
        <stp>074c543b-5e20-47d2-ac0b-d0f10a42e153</stp>
        <tr r="G42" s="4"/>
      </tp>
      <tp>
        <v>2</v>
        <stp/>
        <stp>ed80b138-a494-4a27-810d-e0299bd9c521</stp>
        <tr r="G31" s="1"/>
      </tp>
    </main>
    <main first="rtdsrv.e9e679e6621d402baf5d71ad7ce809cc">
      <tp>
        <v>1</v>
        <stp/>
        <stp>1db48b33-3357-4a98-82d0-69f8e77e636d</stp>
        <tr r="G52" s="7"/>
      </tp>
      <tp>
        <v>2</v>
        <stp/>
        <stp>af42a24d-5b59-4621-813a-d70aff53cf09</stp>
        <tr r="G29" s="1"/>
      </tp>
    </main>
    <main first="rtdsrv.e9e679e6621d402baf5d71ad7ce809cc">
      <tp>
        <v>2</v>
        <stp/>
        <stp>98458365-2c0e-4f98-99c1-8659f963a9bf</stp>
        <tr r="G26" s="1"/>
      </tp>
    </main>
    <main first="rtdsrv.e9e679e6621d402baf5d71ad7ce809cc">
      <tp>
        <v>2</v>
        <stp/>
        <stp>3c670a5f-f407-4de0-967b-ac39f7212b32</stp>
        <tr r="G19" s="4"/>
      </tp>
    </main>
    <main first="rtdsrv.e9e679e6621d402baf5d71ad7ce809cc">
      <tp>
        <v>2</v>
        <stp/>
        <stp>b1263af4-8565-4555-acc8-5bcd915e3822</stp>
        <tr r="H5" s="5"/>
      </tp>
    </main>
    <main first="rtdsrv.e9e679e6621d402baf5d71ad7ce809cc">
      <tp>
        <v>2</v>
        <stp/>
        <stp>65938c34-9ba1-4f89-8f8d-c9432208e004</stp>
        <tr r="G30" s="4"/>
      </tp>
      <tp>
        <v>1</v>
        <stp/>
        <stp>35875b55-4a77-44c6-b561-b71575b0e461</stp>
        <tr r="H4" s="3"/>
      </tp>
    </main>
    <main first="rtdsrv.e9e679e6621d402baf5d71ad7ce809cc">
      <tp>
        <v>1</v>
        <stp/>
        <stp>be8bc3dd-35bf-4372-b16e-26a6934531bf</stp>
        <tr r="G44" s="7"/>
      </tp>
    </main>
    <main first="rtdsrv.e9e679e6621d402baf5d71ad7ce809cc">
      <tp>
        <v>2</v>
        <stp/>
        <stp>5074bc93-05dd-49a4-9ba1-9ada3fc91d8f</stp>
        <tr r="G25" s="4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localhost/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B3D96-2BED-447F-BDEB-F8DD83959477}">
  <dimension ref="B1:AS79"/>
  <sheetViews>
    <sheetView tabSelected="1" zoomScaleNormal="100" workbookViewId="0"/>
  </sheetViews>
  <sheetFormatPr defaultRowHeight="18.75" x14ac:dyDescent="0.4"/>
  <cols>
    <col min="1" max="1" width="2.25" customWidth="1"/>
    <col min="2" max="2" width="11" bestFit="1" customWidth="1"/>
    <col min="4" max="4" width="2.125" customWidth="1"/>
    <col min="5" max="5" width="38.125" bestFit="1" customWidth="1"/>
    <col min="6" max="7" width="13.25" customWidth="1"/>
    <col min="8" max="8" width="15.5" bestFit="1" customWidth="1"/>
    <col min="9" max="11" width="13.25" customWidth="1"/>
    <col min="15" max="15" width="7.375" customWidth="1"/>
    <col min="16" max="16" width="25.375" customWidth="1"/>
    <col min="17" max="17" width="54.625" bestFit="1" customWidth="1"/>
    <col min="18" max="18" width="7.375" customWidth="1"/>
    <col min="19" max="19" width="13.5" bestFit="1" customWidth="1"/>
    <col min="21" max="21" width="17" customWidth="1"/>
    <col min="22" max="22" width="10.125" bestFit="1" customWidth="1"/>
    <col min="23" max="23" width="9.5" bestFit="1" customWidth="1"/>
    <col min="24" max="24" width="15.5" bestFit="1" customWidth="1"/>
    <col min="25" max="25" width="9.5" bestFit="1" customWidth="1"/>
    <col min="26" max="26" width="9.875" bestFit="1" customWidth="1"/>
    <col min="30" max="30" width="40.75" customWidth="1"/>
    <col min="31" max="32" width="7.375" customWidth="1"/>
  </cols>
  <sheetData>
    <row r="1" spans="2:28" x14ac:dyDescent="0.4">
      <c r="E1" t="s">
        <v>25</v>
      </c>
      <c r="F1" t="str" cm="1">
        <f t="array" ref="F1">_xll.ExLibris.Json.CreateJsonObject(E3:F6)</f>
        <v>JsonObject:8487D676-0480-430D-9695-C9445095E295</v>
      </c>
      <c r="K1" t="str">
        <f>EXLIBRIS_CONFIGURATION</f>
        <v>ExLibris.Core.ExLibrisConfiguration:309B6F05-E9D9-4A90-B78A-A8124E730131</v>
      </c>
    </row>
    <row r="2" spans="2:28" x14ac:dyDescent="0.4">
      <c r="B2" s="5" t="s">
        <v>62</v>
      </c>
      <c r="C2" s="5"/>
    </row>
    <row r="3" spans="2:28" x14ac:dyDescent="0.4">
      <c r="B3" s="6" t="s">
        <v>63</v>
      </c>
      <c r="C3" s="6">
        <f>COUNTIF(AG19:AI57,FALSE)</f>
        <v>0</v>
      </c>
      <c r="E3" t="s">
        <v>13</v>
      </c>
      <c r="F3" t="s">
        <v>15</v>
      </c>
    </row>
    <row r="4" spans="2:28" x14ac:dyDescent="0.4">
      <c r="B4" s="6" t="s">
        <v>64</v>
      </c>
      <c r="C4" s="6">
        <f>COUNTIF(AK20:AP26,FALSE)</f>
        <v>0</v>
      </c>
      <c r="E4" t="s">
        <v>17</v>
      </c>
      <c r="F4" t="s">
        <v>19</v>
      </c>
    </row>
    <row r="5" spans="2:28" x14ac:dyDescent="0.4">
      <c r="B5" s="6" t="s">
        <v>65</v>
      </c>
      <c r="C5" s="6" t="str">
        <f>IF(M6=M7,"ok","ng")</f>
        <v>ok</v>
      </c>
      <c r="E5" t="s">
        <v>21</v>
      </c>
      <c r="F5" t="s">
        <v>23</v>
      </c>
      <c r="L5" t="s">
        <v>65</v>
      </c>
    </row>
    <row r="6" spans="2:28" x14ac:dyDescent="0.4">
      <c r="B6" s="6" t="s">
        <v>67</v>
      </c>
      <c r="C6" s="6">
        <f>COUNTIF(AK29:AP30,FALSE)</f>
        <v>0</v>
      </c>
      <c r="E6" t="s">
        <v>24</v>
      </c>
      <c r="F6" t="str" cm="1">
        <f t="array" ref="F6">_xll.ExLibris.Json.CreateJsonArray(E8:J14)</f>
        <v>JsonObject:A97E40D2-EF9D-4A05-9FA5-20553B6C306E</v>
      </c>
      <c r="L6" t="s">
        <v>60</v>
      </c>
      <c r="M6" t="str" cm="1">
        <f t="array" ref="M6">_xll.ExLibris.Json.ShowJsonText(F1)</f>
        <v>{"trade_code":"money_00001","couter_party":"CP00001","fixed_leg":{"pay_or_recieve":"Receive","cashflows":[{"payment _date":44632,"start_date":44452,"end_date":44632,"day_count_type":"ACT/360","amount":10000000,"fixed_rate":0.001},{"payment _date":44812,"start_date":44632,"end_date":44812,"day_count_type":"ACT/360","amount":11000000,"fixed_rate":0.001},{"payment _date":44992,"start_date":44812,"end_date":44992,"day_count_type":"ACT/360","amount":12000000,"fixed_rate":0.001},{"payment _date":45172,"start_date":44992,"end_date":45172,"day_count_type":"ACT/360","amount":13000000,"fixed_rate":0.001},{"payment _date":45352,"start_date":45172,"end_date":45352,"day_count_type":"ACT/360","amount":14000000,"fixed_rate":0.001},{"payment _date":45532,"start_date":45352,"end_date":45532,"day_count_type":"ACT/360","amount":15000000,"fixed_rate":0.001}]}}</v>
      </c>
    </row>
    <row r="7" spans="2:28" x14ac:dyDescent="0.4">
      <c r="B7" s="6" t="s">
        <v>95</v>
      </c>
      <c r="C7" s="6">
        <f>COUNTIF(AR19:AS21,FALSE)</f>
        <v>0</v>
      </c>
      <c r="L7" t="s">
        <v>66</v>
      </c>
      <c r="M7" t="s">
        <v>182</v>
      </c>
    </row>
    <row r="8" spans="2:28" x14ac:dyDescent="0.4">
      <c r="B8" s="6" t="s">
        <v>96</v>
      </c>
      <c r="C8" s="6">
        <f>COUNTIF(AR30:AS65,FALSE)</f>
        <v>0</v>
      </c>
      <c r="E8" t="s">
        <v>1</v>
      </c>
      <c r="F8" t="s">
        <v>3</v>
      </c>
      <c r="G8" t="s">
        <v>5</v>
      </c>
      <c r="H8" t="s">
        <v>7</v>
      </c>
      <c r="I8" t="s">
        <v>175</v>
      </c>
      <c r="J8" t="s">
        <v>11</v>
      </c>
    </row>
    <row r="9" spans="2:28" x14ac:dyDescent="0.4">
      <c r="B9" s="6" t="s">
        <v>171</v>
      </c>
      <c r="C9" s="6">
        <f>COUNTIF(AR67:AS72,FALSE)</f>
        <v>0</v>
      </c>
      <c r="E9" s="1">
        <f>G9</f>
        <v>44632</v>
      </c>
      <c r="F9" s="1">
        <v>44452</v>
      </c>
      <c r="G9" s="1">
        <f>F9+180</f>
        <v>44632</v>
      </c>
      <c r="H9" t="s">
        <v>9</v>
      </c>
      <c r="I9" s="2">
        <v>10000000</v>
      </c>
      <c r="J9" s="3">
        <v>1E-3</v>
      </c>
    </row>
    <row r="10" spans="2:28" x14ac:dyDescent="0.4">
      <c r="B10" s="6" t="s">
        <v>172</v>
      </c>
      <c r="C10" s="6">
        <f>COUNTIF(AR74:AS79,FALSE)</f>
        <v>0</v>
      </c>
      <c r="E10" s="1">
        <f>G10</f>
        <v>44812</v>
      </c>
      <c r="F10" s="1">
        <f>G9</f>
        <v>44632</v>
      </c>
      <c r="G10" s="1">
        <f>F10+180</f>
        <v>44812</v>
      </c>
      <c r="H10" t="s">
        <v>9</v>
      </c>
      <c r="I10" s="2">
        <f>I9+1000000</f>
        <v>11000000</v>
      </c>
      <c r="J10" s="3">
        <v>1E-3</v>
      </c>
    </row>
    <row r="11" spans="2:28" x14ac:dyDescent="0.4">
      <c r="B11" s="6" t="s">
        <v>173</v>
      </c>
      <c r="C11" s="6">
        <f>COUNTIF(AK32:AN38,FALSE)</f>
        <v>0</v>
      </c>
      <c r="E11" s="1">
        <f t="shared" ref="E11:E14" si="0">G11</f>
        <v>44992</v>
      </c>
      <c r="F11" s="1">
        <f t="shared" ref="F11:F14" si="1">G10</f>
        <v>44812</v>
      </c>
      <c r="G11" s="1">
        <f t="shared" ref="G11:G14" si="2">F11+180</f>
        <v>44992</v>
      </c>
      <c r="H11" t="s">
        <v>9</v>
      </c>
      <c r="I11" s="2">
        <f t="shared" ref="I11:I14" si="3">I10+1000000</f>
        <v>12000000</v>
      </c>
      <c r="J11" s="3">
        <v>1E-3</v>
      </c>
    </row>
    <row r="12" spans="2:28" x14ac:dyDescent="0.4">
      <c r="E12" s="1">
        <f t="shared" si="0"/>
        <v>45172</v>
      </c>
      <c r="F12" s="1">
        <f t="shared" si="1"/>
        <v>44992</v>
      </c>
      <c r="G12" s="1">
        <f t="shared" si="2"/>
        <v>45172</v>
      </c>
      <c r="H12" t="s">
        <v>9</v>
      </c>
      <c r="I12" s="2">
        <f t="shared" si="3"/>
        <v>13000000</v>
      </c>
      <c r="J12" s="3">
        <v>1E-3</v>
      </c>
    </row>
    <row r="13" spans="2:28" x14ac:dyDescent="0.4">
      <c r="E13" s="1">
        <f t="shared" si="0"/>
        <v>45352</v>
      </c>
      <c r="F13" s="1">
        <f t="shared" si="1"/>
        <v>45172</v>
      </c>
      <c r="G13" s="1">
        <f t="shared" si="2"/>
        <v>45352</v>
      </c>
      <c r="H13" t="s">
        <v>9</v>
      </c>
      <c r="I13" s="2">
        <f t="shared" si="3"/>
        <v>14000000</v>
      </c>
      <c r="J13" s="3">
        <v>1E-3</v>
      </c>
    </row>
    <row r="14" spans="2:28" x14ac:dyDescent="0.4">
      <c r="E14" s="1">
        <f t="shared" si="0"/>
        <v>45532</v>
      </c>
      <c r="F14" s="1">
        <f t="shared" si="1"/>
        <v>45352</v>
      </c>
      <c r="G14" s="1">
        <f t="shared" si="2"/>
        <v>45532</v>
      </c>
      <c r="H14" t="s">
        <v>9</v>
      </c>
      <c r="I14" s="2">
        <f t="shared" si="3"/>
        <v>15000000</v>
      </c>
      <c r="J14" s="3">
        <v>1E-3</v>
      </c>
    </row>
    <row r="16" spans="2:28" s="4" customFormat="1" ht="18" x14ac:dyDescent="0.4">
      <c r="E16" s="4" t="s">
        <v>60</v>
      </c>
      <c r="S16" s="4" t="s">
        <v>61</v>
      </c>
      <c r="AB16" s="4" t="s">
        <v>62</v>
      </c>
    </row>
    <row r="18" spans="5:45" x14ac:dyDescent="0.4">
      <c r="E18" t="s">
        <v>27</v>
      </c>
      <c r="I18" t="s">
        <v>29</v>
      </c>
      <c r="S18" t="s">
        <v>26</v>
      </c>
      <c r="W18" t="s">
        <v>28</v>
      </c>
      <c r="AG18" t="s">
        <v>26</v>
      </c>
      <c r="AK18" t="s">
        <v>28</v>
      </c>
    </row>
    <row r="19" spans="5:45" x14ac:dyDescent="0.4">
      <c r="E19" t="str" cm="1">
        <f t="array" ref="E19:F57">_xll.ExLibris.Json.GetJsonKeyValues(F1)</f>
        <v>trade_code</v>
      </c>
      <c r="F19" t="str">
        <v>money_00001</v>
      </c>
      <c r="G19" t="str" cm="1">
        <f t="array" ref="G19">_xll.ExLibris.Json.GetJsonValue($F$1,E19)</f>
        <v>money_00001</v>
      </c>
      <c r="I19" t="str" cm="1">
        <f t="array" ref="I19">_xll.ExLibris.Json.GetJsonValue(F1,E6)</f>
        <v>JsonObject:2AA6FE8C-50EA-4B3A-A191-40ADDBD87401</v>
      </c>
      <c r="P19" t="str" cm="1">
        <f t="array" ref="P19:Q27">_xll.ExLibris.Json.GetJsonKeyValues(F1,3)</f>
        <v>trade_code</v>
      </c>
      <c r="Q19" t="str">
        <v>money_00001</v>
      </c>
      <c r="S19" t="s">
        <v>12</v>
      </c>
      <c r="T19" t="s">
        <v>14</v>
      </c>
      <c r="U19" t="s">
        <v>14</v>
      </c>
      <c r="AD19" t="s">
        <v>12</v>
      </c>
      <c r="AE19" t="s">
        <v>14</v>
      </c>
      <c r="AG19" t="b">
        <f t="shared" ref="AG19:AG57" si="4">E19=S19</f>
        <v>1</v>
      </c>
      <c r="AH19" t="b">
        <f t="shared" ref="AH19:AI57" si="5">E19=S19</f>
        <v>1</v>
      </c>
      <c r="AI19" t="b">
        <f t="shared" si="5"/>
        <v>1</v>
      </c>
      <c r="AR19" t="b">
        <f t="shared" ref="AR19:AS21" si="6">P19=AD19</f>
        <v>1</v>
      </c>
      <c r="AS19" t="b">
        <f t="shared" si="6"/>
        <v>1</v>
      </c>
    </row>
    <row r="20" spans="5:45" x14ac:dyDescent="0.4">
      <c r="E20" t="str">
        <v>couter_party</v>
      </c>
      <c r="F20" t="str">
        <v>CP00001</v>
      </c>
      <c r="G20" t="str" cm="1">
        <f t="array" ref="G20">_xll.ExLibris.Json.GetJsonValue($F$1,E20)</f>
        <v>CP00001</v>
      </c>
      <c r="I20" t="str" cm="1">
        <f t="array" ref="I20:N26">_xll.ExLibris.Json.GetJsonTable(I19)</f>
        <v>payment _date</v>
      </c>
      <c r="J20" t="str">
        <v>start_date</v>
      </c>
      <c r="K20" t="str">
        <v>end_date</v>
      </c>
      <c r="L20" t="str">
        <v>day_count_type</v>
      </c>
      <c r="M20" t="str">
        <v>amount</v>
      </c>
      <c r="N20" t="str">
        <v>fixed_rate</v>
      </c>
      <c r="P20" t="str">
        <v>couter_party</v>
      </c>
      <c r="Q20" t="str">
        <v>CP00001</v>
      </c>
      <c r="S20" t="s">
        <v>16</v>
      </c>
      <c r="T20" t="s">
        <v>18</v>
      </c>
      <c r="U20" t="s">
        <v>18</v>
      </c>
      <c r="W20" t="s">
        <v>0</v>
      </c>
      <c r="X20" t="s">
        <v>2</v>
      </c>
      <c r="Y20" t="s">
        <v>4</v>
      </c>
      <c r="Z20" t="s">
        <v>6</v>
      </c>
      <c r="AA20" t="s">
        <v>175</v>
      </c>
      <c r="AB20" t="s">
        <v>10</v>
      </c>
      <c r="AD20" t="s">
        <v>16</v>
      </c>
      <c r="AE20" t="s">
        <v>18</v>
      </c>
      <c r="AG20" t="b">
        <f t="shared" si="4"/>
        <v>1</v>
      </c>
      <c r="AH20" t="b">
        <f t="shared" si="5"/>
        <v>1</v>
      </c>
      <c r="AI20" t="b">
        <f t="shared" si="5"/>
        <v>1</v>
      </c>
      <c r="AK20" t="b">
        <f t="shared" ref="AK20:AP26" si="7">I20=W20</f>
        <v>1</v>
      </c>
      <c r="AL20" t="b">
        <f t="shared" si="7"/>
        <v>1</v>
      </c>
      <c r="AM20" t="b">
        <f t="shared" si="7"/>
        <v>1</v>
      </c>
      <c r="AN20" t="b">
        <f t="shared" si="7"/>
        <v>1</v>
      </c>
      <c r="AO20" t="b">
        <f t="shared" si="7"/>
        <v>1</v>
      </c>
      <c r="AP20" t="b">
        <f t="shared" si="7"/>
        <v>1</v>
      </c>
      <c r="AR20" t="b">
        <f t="shared" si="6"/>
        <v>1</v>
      </c>
      <c r="AS20" t="b">
        <f t="shared" si="6"/>
        <v>1</v>
      </c>
    </row>
    <row r="21" spans="5:45" x14ac:dyDescent="0.4">
      <c r="E21" t="str">
        <v>fixed_leg.pay_or_recieve</v>
      </c>
      <c r="F21" t="str">
        <v>Receive</v>
      </c>
      <c r="G21" t="str" cm="1">
        <f t="array" ref="G21">_xll.ExLibris.Json.GetJsonValue($F$1,E21)</f>
        <v>Receive</v>
      </c>
      <c r="I21">
        <v>44632</v>
      </c>
      <c r="J21">
        <v>44452</v>
      </c>
      <c r="K21">
        <v>44632</v>
      </c>
      <c r="L21" t="str">
        <v>ACT/360</v>
      </c>
      <c r="M21">
        <v>10000000</v>
      </c>
      <c r="N21">
        <v>1E-3</v>
      </c>
      <c r="P21" t="str">
        <v>fixed_leg.pay_or_recieve</v>
      </c>
      <c r="Q21" t="str">
        <v>Receive</v>
      </c>
      <c r="S21" t="s">
        <v>20</v>
      </c>
      <c r="T21" t="s">
        <v>22</v>
      </c>
      <c r="U21" t="s">
        <v>22</v>
      </c>
      <c r="W21">
        <v>44632</v>
      </c>
      <c r="X21">
        <v>44452</v>
      </c>
      <c r="Y21">
        <v>44632</v>
      </c>
      <c r="Z21" t="s">
        <v>8</v>
      </c>
      <c r="AA21">
        <v>10000000</v>
      </c>
      <c r="AB21">
        <v>1E-3</v>
      </c>
      <c r="AD21" t="s">
        <v>20</v>
      </c>
      <c r="AE21" t="s">
        <v>22</v>
      </c>
      <c r="AG21" t="b">
        <f t="shared" si="4"/>
        <v>1</v>
      </c>
      <c r="AH21" t="b">
        <f t="shared" si="5"/>
        <v>1</v>
      </c>
      <c r="AI21" t="b">
        <f t="shared" si="5"/>
        <v>1</v>
      </c>
      <c r="AK21" t="b">
        <f t="shared" si="7"/>
        <v>1</v>
      </c>
      <c r="AL21" t="b">
        <f t="shared" si="7"/>
        <v>1</v>
      </c>
      <c r="AM21" t="b">
        <f t="shared" si="7"/>
        <v>1</v>
      </c>
      <c r="AN21" t="b">
        <f t="shared" si="7"/>
        <v>1</v>
      </c>
      <c r="AO21" t="b">
        <f t="shared" si="7"/>
        <v>1</v>
      </c>
      <c r="AP21" t="b">
        <f t="shared" si="7"/>
        <v>1</v>
      </c>
      <c r="AR21" t="b">
        <f t="shared" si="6"/>
        <v>1</v>
      </c>
      <c r="AS21" t="b">
        <f t="shared" si="6"/>
        <v>1</v>
      </c>
    </row>
    <row r="22" spans="5:45" x14ac:dyDescent="0.4">
      <c r="E22" t="str">
        <v>fixed_leg.cashflows.[0].payment _date</v>
      </c>
      <c r="F22">
        <v>44632</v>
      </c>
      <c r="G22" cm="1">
        <f t="array" ref="G22">_xll.ExLibris.Json.GetJsonValue($F$1,E22)</f>
        <v>44632</v>
      </c>
      <c r="I22">
        <v>44812</v>
      </c>
      <c r="J22">
        <v>44632</v>
      </c>
      <c r="K22">
        <v>44812</v>
      </c>
      <c r="L22" t="str">
        <v>ACT/360</v>
      </c>
      <c r="M22">
        <v>11000000</v>
      </c>
      <c r="N22">
        <v>1E-3</v>
      </c>
      <c r="P22" t="str">
        <v>fixed_leg.cashflows.[0]</v>
      </c>
      <c r="Q22" t="str">
        <v>JsonObject:88929540-3ABE-4FC8-BB47-8213930E1A1D</v>
      </c>
      <c r="S22" t="s">
        <v>30</v>
      </c>
      <c r="T22">
        <v>44632</v>
      </c>
      <c r="U22">
        <v>44632</v>
      </c>
      <c r="W22">
        <v>44812</v>
      </c>
      <c r="X22">
        <v>44632</v>
      </c>
      <c r="Y22">
        <v>44812</v>
      </c>
      <c r="Z22" t="s">
        <v>8</v>
      </c>
      <c r="AA22">
        <v>11000000</v>
      </c>
      <c r="AB22">
        <v>1E-3</v>
      </c>
      <c r="AG22" t="b">
        <f t="shared" si="4"/>
        <v>1</v>
      </c>
      <c r="AH22" t="b">
        <f t="shared" si="5"/>
        <v>1</v>
      </c>
      <c r="AI22" t="b">
        <f t="shared" si="5"/>
        <v>1</v>
      </c>
      <c r="AK22" t="b">
        <f t="shared" si="7"/>
        <v>1</v>
      </c>
      <c r="AL22" t="b">
        <f t="shared" si="7"/>
        <v>1</v>
      </c>
      <c r="AM22" t="b">
        <f t="shared" si="7"/>
        <v>1</v>
      </c>
      <c r="AN22" t="b">
        <f t="shared" si="7"/>
        <v>1</v>
      </c>
      <c r="AO22" t="b">
        <f t="shared" si="7"/>
        <v>1</v>
      </c>
      <c r="AP22" t="b">
        <f t="shared" si="7"/>
        <v>1</v>
      </c>
    </row>
    <row r="23" spans="5:45" x14ac:dyDescent="0.4">
      <c r="E23" t="str">
        <v>fixed_leg.cashflows.[0].start_date</v>
      </c>
      <c r="F23">
        <v>44452</v>
      </c>
      <c r="G23" cm="1">
        <f t="array" ref="G23">_xll.ExLibris.Json.GetJsonValue($F$1,E23)</f>
        <v>44452</v>
      </c>
      <c r="I23">
        <v>44992</v>
      </c>
      <c r="J23">
        <v>44812</v>
      </c>
      <c r="K23">
        <v>44992</v>
      </c>
      <c r="L23" t="str">
        <v>ACT/360</v>
      </c>
      <c r="M23">
        <v>12000000</v>
      </c>
      <c r="N23">
        <v>1E-3</v>
      </c>
      <c r="P23" t="str">
        <v>fixed_leg.cashflows.[1]</v>
      </c>
      <c r="Q23" t="str">
        <v>JsonObject:61A5A220-C39E-4D8C-BDB3-38F9E94F6039</v>
      </c>
      <c r="S23" t="s">
        <v>31</v>
      </c>
      <c r="T23">
        <v>44452</v>
      </c>
      <c r="U23">
        <v>44452</v>
      </c>
      <c r="W23">
        <v>44992</v>
      </c>
      <c r="X23">
        <v>44812</v>
      </c>
      <c r="Y23">
        <v>44992</v>
      </c>
      <c r="Z23" t="s">
        <v>8</v>
      </c>
      <c r="AA23">
        <v>12000000</v>
      </c>
      <c r="AB23">
        <v>1E-3</v>
      </c>
      <c r="AG23" t="b">
        <f t="shared" si="4"/>
        <v>1</v>
      </c>
      <c r="AH23" t="b">
        <f t="shared" si="5"/>
        <v>1</v>
      </c>
      <c r="AI23" t="b">
        <f t="shared" si="5"/>
        <v>1</v>
      </c>
      <c r="AK23" t="b">
        <f t="shared" si="7"/>
        <v>1</v>
      </c>
      <c r="AL23" t="b">
        <f t="shared" si="7"/>
        <v>1</v>
      </c>
      <c r="AM23" t="b">
        <f t="shared" si="7"/>
        <v>1</v>
      </c>
      <c r="AN23" t="b">
        <f t="shared" si="7"/>
        <v>1</v>
      </c>
      <c r="AO23" t="b">
        <f t="shared" si="7"/>
        <v>1</v>
      </c>
      <c r="AP23" t="b">
        <f t="shared" si="7"/>
        <v>1</v>
      </c>
    </row>
    <row r="24" spans="5:45" x14ac:dyDescent="0.4">
      <c r="E24" t="str">
        <v>fixed_leg.cashflows.[0].end_date</v>
      </c>
      <c r="F24">
        <v>44632</v>
      </c>
      <c r="G24" cm="1">
        <f t="array" ref="G24">_xll.ExLibris.Json.GetJsonValue($F$1,E24)</f>
        <v>44632</v>
      </c>
      <c r="I24">
        <v>45172</v>
      </c>
      <c r="J24">
        <v>44992</v>
      </c>
      <c r="K24">
        <v>45172</v>
      </c>
      <c r="L24" t="str">
        <v>ACT/360</v>
      </c>
      <c r="M24">
        <v>13000000</v>
      </c>
      <c r="N24">
        <v>1E-3</v>
      </c>
      <c r="P24" t="str">
        <v>fixed_leg.cashflows.[2]</v>
      </c>
      <c r="Q24" t="str">
        <v>JsonObject:C0186349-E1EA-4627-A718-712F9DBC997D</v>
      </c>
      <c r="S24" t="s">
        <v>32</v>
      </c>
      <c r="T24">
        <v>44632</v>
      </c>
      <c r="U24">
        <v>44632</v>
      </c>
      <c r="W24">
        <v>45172</v>
      </c>
      <c r="X24">
        <v>44992</v>
      </c>
      <c r="Y24">
        <v>45172</v>
      </c>
      <c r="Z24" t="s">
        <v>8</v>
      </c>
      <c r="AA24">
        <v>13000000</v>
      </c>
      <c r="AB24">
        <v>1E-3</v>
      </c>
      <c r="AG24" t="b">
        <f t="shared" si="4"/>
        <v>1</v>
      </c>
      <c r="AH24" t="b">
        <f t="shared" si="5"/>
        <v>1</v>
      </c>
      <c r="AI24" t="b">
        <f t="shared" si="5"/>
        <v>1</v>
      </c>
      <c r="AK24" t="b">
        <f t="shared" si="7"/>
        <v>1</v>
      </c>
      <c r="AL24" t="b">
        <f t="shared" si="7"/>
        <v>1</v>
      </c>
      <c r="AM24" t="b">
        <f t="shared" si="7"/>
        <v>1</v>
      </c>
      <c r="AN24" t="b">
        <f t="shared" si="7"/>
        <v>1</v>
      </c>
      <c r="AO24" t="b">
        <f t="shared" si="7"/>
        <v>1</v>
      </c>
      <c r="AP24" t="b">
        <f t="shared" si="7"/>
        <v>1</v>
      </c>
    </row>
    <row r="25" spans="5:45" x14ac:dyDescent="0.4">
      <c r="E25" t="str">
        <v>fixed_leg.cashflows.[0].day_count_type</v>
      </c>
      <c r="F25" t="str">
        <v>ACT/360</v>
      </c>
      <c r="G25" t="str" cm="1">
        <f t="array" ref="G25">_xll.ExLibris.Json.GetJsonValue($F$1,E25)</f>
        <v>ACT/360</v>
      </c>
      <c r="I25">
        <v>45352</v>
      </c>
      <c r="J25">
        <v>45172</v>
      </c>
      <c r="K25">
        <v>45352</v>
      </c>
      <c r="L25" t="str">
        <v>ACT/360</v>
      </c>
      <c r="M25">
        <v>14000000</v>
      </c>
      <c r="N25">
        <v>1E-3</v>
      </c>
      <c r="P25" t="str">
        <v>fixed_leg.cashflows.[3]</v>
      </c>
      <c r="Q25" t="str">
        <v>JsonObject:F95194C4-473C-47DB-8CFD-0FA4BFBC4ACA</v>
      </c>
      <c r="S25" t="s">
        <v>33</v>
      </c>
      <c r="T25" t="s">
        <v>8</v>
      </c>
      <c r="U25" t="s">
        <v>8</v>
      </c>
      <c r="W25">
        <v>45352</v>
      </c>
      <c r="X25">
        <v>45172</v>
      </c>
      <c r="Y25">
        <v>45352</v>
      </c>
      <c r="Z25" t="s">
        <v>8</v>
      </c>
      <c r="AA25">
        <v>14000000</v>
      </c>
      <c r="AB25">
        <v>1E-3</v>
      </c>
      <c r="AG25" t="b">
        <f t="shared" si="4"/>
        <v>1</v>
      </c>
      <c r="AH25" t="b">
        <f t="shared" si="5"/>
        <v>1</v>
      </c>
      <c r="AI25" t="b">
        <f t="shared" si="5"/>
        <v>1</v>
      </c>
      <c r="AK25" t="b">
        <f t="shared" si="7"/>
        <v>1</v>
      </c>
      <c r="AL25" t="b">
        <f t="shared" si="7"/>
        <v>1</v>
      </c>
      <c r="AM25" t="b">
        <f t="shared" si="7"/>
        <v>1</v>
      </c>
      <c r="AN25" t="b">
        <f t="shared" si="7"/>
        <v>1</v>
      </c>
      <c r="AO25" t="b">
        <f t="shared" si="7"/>
        <v>1</v>
      </c>
      <c r="AP25" t="b">
        <f t="shared" si="7"/>
        <v>1</v>
      </c>
    </row>
    <row r="26" spans="5:45" x14ac:dyDescent="0.4">
      <c r="E26" t="str">
        <v>fixed_leg.cashflows.[0].amount</v>
      </c>
      <c r="F26">
        <v>10000000</v>
      </c>
      <c r="G26" cm="1">
        <f t="array" ref="G26">_xll.ExLibris.Json.GetJsonValue($F$1,E26)</f>
        <v>10000000</v>
      </c>
      <c r="I26">
        <v>45532</v>
      </c>
      <c r="J26">
        <v>45352</v>
      </c>
      <c r="K26">
        <v>45532</v>
      </c>
      <c r="L26" t="str">
        <v>ACT/360</v>
      </c>
      <c r="M26">
        <v>15000000</v>
      </c>
      <c r="N26">
        <v>1E-3</v>
      </c>
      <c r="P26" t="str">
        <v>fixed_leg.cashflows.[4]</v>
      </c>
      <c r="Q26" t="str">
        <v>JsonObject:2DAEA00F-9E01-43E8-B06F-4B2AA2C7E61A</v>
      </c>
      <c r="S26" t="s">
        <v>176</v>
      </c>
      <c r="T26">
        <v>10000000</v>
      </c>
      <c r="U26">
        <v>10000000</v>
      </c>
      <c r="W26">
        <v>45532</v>
      </c>
      <c r="X26">
        <v>45352</v>
      </c>
      <c r="Y26">
        <v>45532</v>
      </c>
      <c r="Z26" t="s">
        <v>8</v>
      </c>
      <c r="AA26">
        <v>15000000</v>
      </c>
      <c r="AB26">
        <v>1E-3</v>
      </c>
      <c r="AG26" t="b">
        <f t="shared" si="4"/>
        <v>1</v>
      </c>
      <c r="AH26" t="b">
        <f t="shared" si="5"/>
        <v>1</v>
      </c>
      <c r="AI26" t="b">
        <f t="shared" si="5"/>
        <v>1</v>
      </c>
      <c r="AK26" t="b">
        <f t="shared" si="7"/>
        <v>1</v>
      </c>
      <c r="AL26" t="b">
        <f t="shared" si="7"/>
        <v>1</v>
      </c>
      <c r="AM26" t="b">
        <f t="shared" si="7"/>
        <v>1</v>
      </c>
      <c r="AN26" t="b">
        <f t="shared" si="7"/>
        <v>1</v>
      </c>
      <c r="AO26" t="b">
        <f t="shared" si="7"/>
        <v>1</v>
      </c>
      <c r="AP26" t="b">
        <f t="shared" si="7"/>
        <v>1</v>
      </c>
    </row>
    <row r="27" spans="5:45" x14ac:dyDescent="0.4">
      <c r="E27" t="str">
        <v>fixed_leg.cashflows.[0].fixed_rate</v>
      </c>
      <c r="F27">
        <v>1E-3</v>
      </c>
      <c r="G27" cm="1">
        <f t="array" ref="G27">_xll.ExLibris.Json.GetJsonValue($F$1,E27)</f>
        <v>1E-3</v>
      </c>
      <c r="P27" t="str">
        <v>fixed_leg.cashflows.[5]</v>
      </c>
      <c r="Q27" t="str">
        <v>JsonObject:079E92FD-235C-4C34-960F-49227FDE0B77</v>
      </c>
      <c r="S27" t="s">
        <v>34</v>
      </c>
      <c r="T27">
        <v>1E-3</v>
      </c>
      <c r="U27">
        <v>1E-3</v>
      </c>
      <c r="AG27" t="b">
        <f t="shared" si="4"/>
        <v>1</v>
      </c>
      <c r="AH27" t="b">
        <f t="shared" si="5"/>
        <v>1</v>
      </c>
      <c r="AI27" t="b">
        <f t="shared" si="5"/>
        <v>1</v>
      </c>
    </row>
    <row r="28" spans="5:45" x14ac:dyDescent="0.4">
      <c r="E28" t="str">
        <v>fixed_leg.cashflows.[1].payment _date</v>
      </c>
      <c r="F28">
        <v>44812</v>
      </c>
      <c r="G28" cm="1">
        <f t="array" ref="G28">_xll.ExLibris.Json.GetJsonValue($F$1,E28)</f>
        <v>44812</v>
      </c>
      <c r="I28" t="str" cm="1">
        <f t="array" ref="I28">_xll.ExLibris.Json.GetJsonValue(I19,"[2]")</f>
        <v>JsonObject:2CE140CF-C851-4D16-ABAC-B61A659D0BC2</v>
      </c>
      <c r="S28" t="s">
        <v>35</v>
      </c>
      <c r="T28">
        <v>44812</v>
      </c>
      <c r="U28">
        <v>44812</v>
      </c>
      <c r="AG28" t="b">
        <f t="shared" si="4"/>
        <v>1</v>
      </c>
      <c r="AH28" t="b">
        <f t="shared" si="5"/>
        <v>1</v>
      </c>
      <c r="AI28" t="b">
        <f t="shared" si="5"/>
        <v>1</v>
      </c>
    </row>
    <row r="29" spans="5:45" x14ac:dyDescent="0.4">
      <c r="E29" t="str">
        <v>fixed_leg.cashflows.[1].start_date</v>
      </c>
      <c r="F29">
        <v>44632</v>
      </c>
      <c r="G29" cm="1">
        <f t="array" ref="G29">_xll.ExLibris.Json.GetJsonValue($F$1,E29)</f>
        <v>44632</v>
      </c>
      <c r="I29" t="str" cm="1">
        <f t="array" ref="I29:N30">_xll.ExLibris.Json.GetJsonTable(I28)</f>
        <v>payment _date</v>
      </c>
      <c r="J29" t="str">
        <v>start_date</v>
      </c>
      <c r="K29" t="str">
        <v>end_date</v>
      </c>
      <c r="L29" t="str">
        <v>day_count_type</v>
      </c>
      <c r="M29" t="str">
        <v>amount</v>
      </c>
      <c r="N29" t="str">
        <v>fixed_rate</v>
      </c>
      <c r="P29" t="str" cm="1">
        <f t="array" ref="P29">_xll.ExLibris.Json.CreateJsonObject(P22:Q27)</f>
        <v>JsonObject:2E8670F7-6BCC-44BD-A438-5C7B844EDD13</v>
      </c>
      <c r="S29" t="s">
        <v>36</v>
      </c>
      <c r="T29">
        <v>44632</v>
      </c>
      <c r="U29">
        <v>44632</v>
      </c>
      <c r="W29" t="s">
        <v>0</v>
      </c>
      <c r="X29" t="s">
        <v>2</v>
      </c>
      <c r="Y29" t="s">
        <v>4</v>
      </c>
      <c r="Z29" t="s">
        <v>6</v>
      </c>
      <c r="AA29" t="s">
        <v>175</v>
      </c>
      <c r="AB29" t="s">
        <v>10</v>
      </c>
      <c r="AG29" t="b">
        <f t="shared" si="4"/>
        <v>1</v>
      </c>
      <c r="AH29" t="b">
        <f t="shared" si="5"/>
        <v>1</v>
      </c>
      <c r="AI29" t="b">
        <f t="shared" si="5"/>
        <v>1</v>
      </c>
      <c r="AK29" t="b">
        <f t="shared" ref="AK29:AP30" si="8">I29=W29</f>
        <v>1</v>
      </c>
      <c r="AL29" t="b">
        <f t="shared" si="8"/>
        <v>1</v>
      </c>
      <c r="AM29" t="b">
        <f t="shared" si="8"/>
        <v>1</v>
      </c>
      <c r="AN29" t="b">
        <f t="shared" si="8"/>
        <v>1</v>
      </c>
      <c r="AO29" t="b">
        <f t="shared" si="8"/>
        <v>1</v>
      </c>
      <c r="AP29" t="b">
        <f t="shared" si="8"/>
        <v>1</v>
      </c>
    </row>
    <row r="30" spans="5:45" x14ac:dyDescent="0.4">
      <c r="E30" t="str">
        <v>fixed_leg.cashflows.[1].end_date</v>
      </c>
      <c r="F30">
        <v>44812</v>
      </c>
      <c r="G30" cm="1">
        <f t="array" ref="G30">_xll.ExLibris.Json.GetJsonValue($F$1,E30)</f>
        <v>44812</v>
      </c>
      <c r="I30">
        <v>44992</v>
      </c>
      <c r="J30">
        <v>44812</v>
      </c>
      <c r="K30">
        <v>44992</v>
      </c>
      <c r="L30" t="str">
        <v>ACT/360</v>
      </c>
      <c r="M30">
        <v>12000000</v>
      </c>
      <c r="N30">
        <v>1E-3</v>
      </c>
      <c r="P30" t="str" cm="1">
        <f t="array" ref="P30:Q65">_xll.ExLibris.Json.GetJsonKeyValuesAsync(P29)</f>
        <v>fixed_leg.cashflows.[0].payment _date</v>
      </c>
      <c r="Q30">
        <v>44632</v>
      </c>
      <c r="S30" t="s">
        <v>37</v>
      </c>
      <c r="T30">
        <v>44812</v>
      </c>
      <c r="U30">
        <v>44812</v>
      </c>
      <c r="W30">
        <v>44992</v>
      </c>
      <c r="X30">
        <v>44812</v>
      </c>
      <c r="Y30">
        <v>44992</v>
      </c>
      <c r="Z30" t="s">
        <v>8</v>
      </c>
      <c r="AA30">
        <v>12000000</v>
      </c>
      <c r="AB30">
        <v>1E-3</v>
      </c>
      <c r="AD30" t="s">
        <v>30</v>
      </c>
      <c r="AE30">
        <v>44632</v>
      </c>
      <c r="AG30" t="b">
        <f t="shared" si="4"/>
        <v>1</v>
      </c>
      <c r="AH30" t="b">
        <f t="shared" si="5"/>
        <v>1</v>
      </c>
      <c r="AI30" t="b">
        <f t="shared" si="5"/>
        <v>1</v>
      </c>
      <c r="AK30" t="b">
        <f t="shared" si="8"/>
        <v>1</v>
      </c>
      <c r="AL30" t="b">
        <f t="shared" si="8"/>
        <v>1</v>
      </c>
      <c r="AM30" t="b">
        <f t="shared" si="8"/>
        <v>1</v>
      </c>
      <c r="AN30" t="b">
        <f t="shared" si="8"/>
        <v>1</v>
      </c>
      <c r="AO30" t="b">
        <f t="shared" si="8"/>
        <v>1</v>
      </c>
      <c r="AP30" t="b">
        <f t="shared" si="8"/>
        <v>1</v>
      </c>
      <c r="AR30" t="b">
        <f t="shared" ref="AR30:AS64" si="9">P30=AD30</f>
        <v>1</v>
      </c>
      <c r="AS30" t="b">
        <f t="shared" si="9"/>
        <v>1</v>
      </c>
    </row>
    <row r="31" spans="5:45" x14ac:dyDescent="0.4">
      <c r="E31" t="str">
        <v>fixed_leg.cashflows.[1].day_count_type</v>
      </c>
      <c r="F31" t="str">
        <v>ACT/360</v>
      </c>
      <c r="G31" t="str" cm="1">
        <f t="array" ref="G31">_xll.ExLibris.Json.GetJsonValue($F$1,E31)</f>
        <v>ACT/360</v>
      </c>
      <c r="P31" t="str">
        <v>fixed_leg.cashflows.[0].start_date</v>
      </c>
      <c r="Q31">
        <v>44452</v>
      </c>
      <c r="S31" t="s">
        <v>38</v>
      </c>
      <c r="T31" t="s">
        <v>8</v>
      </c>
      <c r="U31" t="s">
        <v>8</v>
      </c>
      <c r="AD31" t="s">
        <v>31</v>
      </c>
      <c r="AE31">
        <v>44452</v>
      </c>
      <c r="AG31" t="b">
        <f t="shared" si="4"/>
        <v>1</v>
      </c>
      <c r="AH31" t="b">
        <f t="shared" si="5"/>
        <v>1</v>
      </c>
      <c r="AI31" t="b">
        <f t="shared" si="5"/>
        <v>1</v>
      </c>
      <c r="AR31" t="b">
        <f t="shared" si="9"/>
        <v>1</v>
      </c>
      <c r="AS31" t="b">
        <f t="shared" si="9"/>
        <v>1</v>
      </c>
    </row>
    <row r="32" spans="5:45" x14ac:dyDescent="0.4">
      <c r="E32" t="str">
        <v>fixed_leg.cashflows.[1].amount</v>
      </c>
      <c r="F32">
        <v>11000000</v>
      </c>
      <c r="G32" cm="1">
        <f t="array" ref="G32">_xll.ExLibris.Json.GetJsonValue($F$1,E32)</f>
        <v>11000000</v>
      </c>
      <c r="I32" t="str" cm="1">
        <f t="array" ref="I32:L38">_xll.ExLibris.Json.GetJsonTable(I19,E8:H8)</f>
        <v>payment _date</v>
      </c>
      <c r="J32" t="str">
        <v>start_date</v>
      </c>
      <c r="K32" t="str">
        <v>end_date</v>
      </c>
      <c r="L32" t="str">
        <v>day_count_type</v>
      </c>
      <c r="P32" t="str">
        <v>fixed_leg.cashflows.[0].end_date</v>
      </c>
      <c r="Q32">
        <v>44632</v>
      </c>
      <c r="S32" t="s">
        <v>177</v>
      </c>
      <c r="T32">
        <v>11000000</v>
      </c>
      <c r="U32">
        <v>11000000</v>
      </c>
      <c r="W32" t="s">
        <v>0</v>
      </c>
      <c r="X32" t="s">
        <v>2</v>
      </c>
      <c r="Y32" t="s">
        <v>4</v>
      </c>
      <c r="Z32" t="s">
        <v>6</v>
      </c>
      <c r="AD32" t="s">
        <v>32</v>
      </c>
      <c r="AE32">
        <v>44632</v>
      </c>
      <c r="AG32" t="b">
        <f t="shared" si="4"/>
        <v>1</v>
      </c>
      <c r="AH32" t="b">
        <f t="shared" si="5"/>
        <v>1</v>
      </c>
      <c r="AI32" t="b">
        <f t="shared" si="5"/>
        <v>1</v>
      </c>
      <c r="AK32" t="b">
        <f t="shared" ref="AK32:AK38" si="10">I32=W32</f>
        <v>1</v>
      </c>
      <c r="AL32" t="b">
        <f t="shared" ref="AL32:AL38" si="11">J32=X32</f>
        <v>1</v>
      </c>
      <c r="AM32" t="b">
        <f t="shared" ref="AM32:AM38" si="12">K32=Y32</f>
        <v>1</v>
      </c>
      <c r="AN32" t="b">
        <f t="shared" ref="AN32:AN38" si="13">L32=Z32</f>
        <v>1</v>
      </c>
      <c r="AR32" t="b">
        <f t="shared" si="9"/>
        <v>1</v>
      </c>
      <c r="AS32" t="b">
        <f t="shared" si="9"/>
        <v>1</v>
      </c>
    </row>
    <row r="33" spans="5:45" x14ac:dyDescent="0.4">
      <c r="E33" t="str">
        <v>fixed_leg.cashflows.[1].fixed_rate</v>
      </c>
      <c r="F33">
        <v>1E-3</v>
      </c>
      <c r="G33" cm="1">
        <f t="array" ref="G33">_xll.ExLibris.Json.GetJsonValue($F$1,E33)</f>
        <v>1E-3</v>
      </c>
      <c r="I33">
        <v>44632</v>
      </c>
      <c r="J33">
        <v>44452</v>
      </c>
      <c r="K33">
        <v>44632</v>
      </c>
      <c r="L33" t="str">
        <v>ACT/360</v>
      </c>
      <c r="P33" t="str">
        <v>fixed_leg.cashflows.[0].day_count_type</v>
      </c>
      <c r="Q33" t="str">
        <v>ACT/360</v>
      </c>
      <c r="S33" t="s">
        <v>39</v>
      </c>
      <c r="T33">
        <v>1E-3</v>
      </c>
      <c r="U33">
        <v>1E-3</v>
      </c>
      <c r="W33">
        <v>44632</v>
      </c>
      <c r="X33">
        <v>44452</v>
      </c>
      <c r="Y33">
        <v>44632</v>
      </c>
      <c r="Z33" t="s">
        <v>8</v>
      </c>
      <c r="AD33" t="s">
        <v>33</v>
      </c>
      <c r="AE33" t="s">
        <v>8</v>
      </c>
      <c r="AG33" t="b">
        <f t="shared" si="4"/>
        <v>1</v>
      </c>
      <c r="AH33" t="b">
        <f t="shared" si="5"/>
        <v>1</v>
      </c>
      <c r="AI33" t="b">
        <f t="shared" si="5"/>
        <v>1</v>
      </c>
      <c r="AK33" t="b">
        <f t="shared" si="10"/>
        <v>1</v>
      </c>
      <c r="AL33" t="b">
        <f t="shared" si="11"/>
        <v>1</v>
      </c>
      <c r="AM33" t="b">
        <f t="shared" si="12"/>
        <v>1</v>
      </c>
      <c r="AN33" t="b">
        <f t="shared" si="13"/>
        <v>1</v>
      </c>
      <c r="AR33" t="b">
        <f t="shared" si="9"/>
        <v>1</v>
      </c>
      <c r="AS33" t="b">
        <f t="shared" si="9"/>
        <v>1</v>
      </c>
    </row>
    <row r="34" spans="5:45" x14ac:dyDescent="0.4">
      <c r="E34" t="str">
        <v>fixed_leg.cashflows.[2].payment _date</v>
      </c>
      <c r="F34">
        <v>44992</v>
      </c>
      <c r="G34" cm="1">
        <f t="array" ref="G34">_xll.ExLibris.Json.GetJsonValue($F$1,E34)</f>
        <v>44992</v>
      </c>
      <c r="I34">
        <v>44812</v>
      </c>
      <c r="J34">
        <v>44632</v>
      </c>
      <c r="K34">
        <v>44812</v>
      </c>
      <c r="L34" t="str">
        <v>ACT/360</v>
      </c>
      <c r="P34" t="str">
        <v>fixed_leg.cashflows.[0].amount</v>
      </c>
      <c r="Q34">
        <v>10000000</v>
      </c>
      <c r="S34" t="s">
        <v>40</v>
      </c>
      <c r="T34">
        <v>44992</v>
      </c>
      <c r="U34">
        <v>44992</v>
      </c>
      <c r="W34">
        <v>44812</v>
      </c>
      <c r="X34">
        <v>44632</v>
      </c>
      <c r="Y34">
        <v>44812</v>
      </c>
      <c r="Z34" t="s">
        <v>8</v>
      </c>
      <c r="AD34" t="s">
        <v>176</v>
      </c>
      <c r="AE34">
        <v>10000000</v>
      </c>
      <c r="AG34" t="b">
        <f t="shared" si="4"/>
        <v>1</v>
      </c>
      <c r="AH34" t="b">
        <f t="shared" si="5"/>
        <v>1</v>
      </c>
      <c r="AI34" t="b">
        <f t="shared" si="5"/>
        <v>1</v>
      </c>
      <c r="AK34" t="b">
        <f t="shared" si="10"/>
        <v>1</v>
      </c>
      <c r="AL34" t="b">
        <f t="shared" si="11"/>
        <v>1</v>
      </c>
      <c r="AM34" t="b">
        <f t="shared" si="12"/>
        <v>1</v>
      </c>
      <c r="AN34" t="b">
        <f t="shared" si="13"/>
        <v>1</v>
      </c>
      <c r="AR34" t="b">
        <f t="shared" si="9"/>
        <v>1</v>
      </c>
      <c r="AS34" t="b">
        <f t="shared" si="9"/>
        <v>1</v>
      </c>
    </row>
    <row r="35" spans="5:45" x14ac:dyDescent="0.4">
      <c r="E35" t="str">
        <v>fixed_leg.cashflows.[2].start_date</v>
      </c>
      <c r="F35">
        <v>44812</v>
      </c>
      <c r="G35" cm="1">
        <f t="array" ref="G35">_xll.ExLibris.Json.GetJsonValue($F$1,E35)</f>
        <v>44812</v>
      </c>
      <c r="I35">
        <v>44992</v>
      </c>
      <c r="J35">
        <v>44812</v>
      </c>
      <c r="K35">
        <v>44992</v>
      </c>
      <c r="L35" t="str">
        <v>ACT/360</v>
      </c>
      <c r="P35" t="str">
        <v>fixed_leg.cashflows.[0].fixed_rate</v>
      </c>
      <c r="Q35">
        <v>1E-3</v>
      </c>
      <c r="S35" t="s">
        <v>41</v>
      </c>
      <c r="T35">
        <v>44812</v>
      </c>
      <c r="U35">
        <v>44812</v>
      </c>
      <c r="W35">
        <v>44992</v>
      </c>
      <c r="X35">
        <v>44812</v>
      </c>
      <c r="Y35">
        <v>44992</v>
      </c>
      <c r="Z35" t="s">
        <v>8</v>
      </c>
      <c r="AD35" t="s">
        <v>34</v>
      </c>
      <c r="AE35">
        <v>1E-3</v>
      </c>
      <c r="AG35" t="b">
        <f t="shared" si="4"/>
        <v>1</v>
      </c>
      <c r="AH35" t="b">
        <f t="shared" si="5"/>
        <v>1</v>
      </c>
      <c r="AI35" t="b">
        <f t="shared" si="5"/>
        <v>1</v>
      </c>
      <c r="AK35" t="b">
        <f t="shared" si="10"/>
        <v>1</v>
      </c>
      <c r="AL35" t="b">
        <f t="shared" si="11"/>
        <v>1</v>
      </c>
      <c r="AM35" t="b">
        <f t="shared" si="12"/>
        <v>1</v>
      </c>
      <c r="AN35" t="b">
        <f t="shared" si="13"/>
        <v>1</v>
      </c>
      <c r="AR35" t="b">
        <f t="shared" si="9"/>
        <v>1</v>
      </c>
      <c r="AS35" t="b">
        <f t="shared" si="9"/>
        <v>1</v>
      </c>
    </row>
    <row r="36" spans="5:45" x14ac:dyDescent="0.4">
      <c r="E36" t="str">
        <v>fixed_leg.cashflows.[2].end_date</v>
      </c>
      <c r="F36">
        <v>44992</v>
      </c>
      <c r="G36" cm="1">
        <f t="array" ref="G36">_xll.ExLibris.Json.GetJsonValue($F$1,E36)</f>
        <v>44992</v>
      </c>
      <c r="I36">
        <v>45172</v>
      </c>
      <c r="J36">
        <v>44992</v>
      </c>
      <c r="K36">
        <v>45172</v>
      </c>
      <c r="L36" t="str">
        <v>ACT/360</v>
      </c>
      <c r="P36" t="str">
        <v>fixed_leg.cashflows.[1].payment _date</v>
      </c>
      <c r="Q36">
        <v>44812</v>
      </c>
      <c r="S36" t="s">
        <v>42</v>
      </c>
      <c r="T36">
        <v>44992</v>
      </c>
      <c r="U36">
        <v>44992</v>
      </c>
      <c r="W36">
        <v>45172</v>
      </c>
      <c r="X36">
        <v>44992</v>
      </c>
      <c r="Y36">
        <v>45172</v>
      </c>
      <c r="Z36" t="s">
        <v>8</v>
      </c>
      <c r="AD36" t="s">
        <v>35</v>
      </c>
      <c r="AE36">
        <v>44812</v>
      </c>
      <c r="AG36" t="b">
        <f t="shared" si="4"/>
        <v>1</v>
      </c>
      <c r="AH36" t="b">
        <f t="shared" si="5"/>
        <v>1</v>
      </c>
      <c r="AI36" t="b">
        <f t="shared" si="5"/>
        <v>1</v>
      </c>
      <c r="AK36" t="b">
        <f t="shared" si="10"/>
        <v>1</v>
      </c>
      <c r="AL36" t="b">
        <f t="shared" si="11"/>
        <v>1</v>
      </c>
      <c r="AM36" t="b">
        <f t="shared" si="12"/>
        <v>1</v>
      </c>
      <c r="AN36" t="b">
        <f t="shared" si="13"/>
        <v>1</v>
      </c>
      <c r="AR36" t="b">
        <f t="shared" si="9"/>
        <v>1</v>
      </c>
      <c r="AS36" t="b">
        <f t="shared" si="9"/>
        <v>1</v>
      </c>
    </row>
    <row r="37" spans="5:45" x14ac:dyDescent="0.4">
      <c r="E37" t="str">
        <v>fixed_leg.cashflows.[2].day_count_type</v>
      </c>
      <c r="F37" t="str">
        <v>ACT/360</v>
      </c>
      <c r="G37" t="str" cm="1">
        <f t="array" ref="G37">_xll.ExLibris.Json.GetJsonValue($F$1,E37)</f>
        <v>ACT/360</v>
      </c>
      <c r="I37">
        <v>45352</v>
      </c>
      <c r="J37">
        <v>45172</v>
      </c>
      <c r="K37">
        <v>45352</v>
      </c>
      <c r="L37" t="str">
        <v>ACT/360</v>
      </c>
      <c r="P37" t="str">
        <v>fixed_leg.cashflows.[1].start_date</v>
      </c>
      <c r="Q37">
        <v>44632</v>
      </c>
      <c r="S37" t="s">
        <v>43</v>
      </c>
      <c r="T37" t="s">
        <v>8</v>
      </c>
      <c r="U37" t="s">
        <v>8</v>
      </c>
      <c r="W37">
        <v>45352</v>
      </c>
      <c r="X37">
        <v>45172</v>
      </c>
      <c r="Y37">
        <v>45352</v>
      </c>
      <c r="Z37" t="s">
        <v>8</v>
      </c>
      <c r="AD37" t="s">
        <v>36</v>
      </c>
      <c r="AE37">
        <v>44632</v>
      </c>
      <c r="AG37" t="b">
        <f t="shared" si="4"/>
        <v>1</v>
      </c>
      <c r="AH37" t="b">
        <f t="shared" si="5"/>
        <v>1</v>
      </c>
      <c r="AI37" t="b">
        <f t="shared" si="5"/>
        <v>1</v>
      </c>
      <c r="AK37" t="b">
        <f t="shared" si="10"/>
        <v>1</v>
      </c>
      <c r="AL37" t="b">
        <f t="shared" si="11"/>
        <v>1</v>
      </c>
      <c r="AM37" t="b">
        <f t="shared" si="12"/>
        <v>1</v>
      </c>
      <c r="AN37" t="b">
        <f t="shared" si="13"/>
        <v>1</v>
      </c>
      <c r="AR37" t="b">
        <f t="shared" si="9"/>
        <v>1</v>
      </c>
      <c r="AS37" t="b">
        <f t="shared" si="9"/>
        <v>1</v>
      </c>
    </row>
    <row r="38" spans="5:45" x14ac:dyDescent="0.4">
      <c r="E38" t="str">
        <v>fixed_leg.cashflows.[2].amount</v>
      </c>
      <c r="F38">
        <v>12000000</v>
      </c>
      <c r="G38" cm="1">
        <f t="array" ref="G38">_xll.ExLibris.Json.GetJsonValue($F$1,E38)</f>
        <v>12000000</v>
      </c>
      <c r="I38">
        <v>45532</v>
      </c>
      <c r="J38">
        <v>45352</v>
      </c>
      <c r="K38">
        <v>45532</v>
      </c>
      <c r="L38" t="str">
        <v>ACT/360</v>
      </c>
      <c r="P38" t="str">
        <v>fixed_leg.cashflows.[1].end_date</v>
      </c>
      <c r="Q38">
        <v>44812</v>
      </c>
      <c r="S38" t="s">
        <v>178</v>
      </c>
      <c r="T38">
        <v>12000000</v>
      </c>
      <c r="U38">
        <v>12000000</v>
      </c>
      <c r="W38">
        <v>45532</v>
      </c>
      <c r="X38">
        <v>45352</v>
      </c>
      <c r="Y38">
        <v>45532</v>
      </c>
      <c r="Z38" t="s">
        <v>8</v>
      </c>
      <c r="AD38" t="s">
        <v>37</v>
      </c>
      <c r="AE38">
        <v>44812</v>
      </c>
      <c r="AG38" t="b">
        <f t="shared" si="4"/>
        <v>1</v>
      </c>
      <c r="AH38" t="b">
        <f t="shared" si="5"/>
        <v>1</v>
      </c>
      <c r="AI38" t="b">
        <f t="shared" si="5"/>
        <v>1</v>
      </c>
      <c r="AK38" t="b">
        <f t="shared" si="10"/>
        <v>1</v>
      </c>
      <c r="AL38" t="b">
        <f t="shared" si="11"/>
        <v>1</v>
      </c>
      <c r="AM38" t="b">
        <f t="shared" si="12"/>
        <v>1</v>
      </c>
      <c r="AN38" t="b">
        <f t="shared" si="13"/>
        <v>1</v>
      </c>
      <c r="AR38" t="b">
        <f t="shared" si="9"/>
        <v>1</v>
      </c>
      <c r="AS38" t="b">
        <f t="shared" si="9"/>
        <v>1</v>
      </c>
    </row>
    <row r="39" spans="5:45" x14ac:dyDescent="0.4">
      <c r="E39" t="str">
        <v>fixed_leg.cashflows.[2].fixed_rate</v>
      </c>
      <c r="F39">
        <v>1E-3</v>
      </c>
      <c r="G39" cm="1">
        <f t="array" ref="G39">_xll.ExLibris.Json.GetJsonValue($F$1,E39)</f>
        <v>1E-3</v>
      </c>
      <c r="P39" t="str">
        <v>fixed_leg.cashflows.[1].day_count_type</v>
      </c>
      <c r="Q39" t="str">
        <v>ACT/360</v>
      </c>
      <c r="S39" t="s">
        <v>44</v>
      </c>
      <c r="T39">
        <v>1E-3</v>
      </c>
      <c r="U39">
        <v>1E-3</v>
      </c>
      <c r="AD39" t="s">
        <v>38</v>
      </c>
      <c r="AE39" t="s">
        <v>8</v>
      </c>
      <c r="AG39" t="b">
        <f t="shared" si="4"/>
        <v>1</v>
      </c>
      <c r="AH39" t="b">
        <f t="shared" si="5"/>
        <v>1</v>
      </c>
      <c r="AI39" t="b">
        <f t="shared" si="5"/>
        <v>1</v>
      </c>
      <c r="AR39" t="b">
        <f t="shared" si="9"/>
        <v>1</v>
      </c>
      <c r="AS39" t="b">
        <f t="shared" si="9"/>
        <v>1</v>
      </c>
    </row>
    <row r="40" spans="5:45" x14ac:dyDescent="0.4">
      <c r="E40" t="str">
        <v>fixed_leg.cashflows.[3].payment _date</v>
      </c>
      <c r="F40">
        <v>45172</v>
      </c>
      <c r="G40" cm="1">
        <f t="array" ref="G40">_xll.ExLibris.Json.GetJsonValue($F$1,E40)</f>
        <v>45172</v>
      </c>
      <c r="P40" t="str">
        <v>fixed_leg.cashflows.[1].amount</v>
      </c>
      <c r="Q40">
        <v>11000000</v>
      </c>
      <c r="S40" t="s">
        <v>45</v>
      </c>
      <c r="T40">
        <v>45172</v>
      </c>
      <c r="U40">
        <v>45172</v>
      </c>
      <c r="AD40" t="s">
        <v>177</v>
      </c>
      <c r="AE40">
        <v>11000000</v>
      </c>
      <c r="AG40" t="b">
        <f t="shared" si="4"/>
        <v>1</v>
      </c>
      <c r="AH40" t="b">
        <f t="shared" si="5"/>
        <v>1</v>
      </c>
      <c r="AI40" t="b">
        <f t="shared" si="5"/>
        <v>1</v>
      </c>
      <c r="AR40" t="b">
        <f t="shared" si="9"/>
        <v>1</v>
      </c>
      <c r="AS40" t="b">
        <f t="shared" si="9"/>
        <v>1</v>
      </c>
    </row>
    <row r="41" spans="5:45" x14ac:dyDescent="0.4">
      <c r="E41" t="str">
        <v>fixed_leg.cashflows.[3].start_date</v>
      </c>
      <c r="F41">
        <v>44992</v>
      </c>
      <c r="G41" cm="1">
        <f t="array" ref="G41">_xll.ExLibris.Json.GetJsonValue($F$1,E41)</f>
        <v>44992</v>
      </c>
      <c r="P41" t="str">
        <v>fixed_leg.cashflows.[1].fixed_rate</v>
      </c>
      <c r="Q41">
        <v>1E-3</v>
      </c>
      <c r="S41" t="s">
        <v>46</v>
      </c>
      <c r="T41">
        <v>44992</v>
      </c>
      <c r="U41">
        <v>44992</v>
      </c>
      <c r="AD41" t="s">
        <v>39</v>
      </c>
      <c r="AE41">
        <v>1E-3</v>
      </c>
      <c r="AG41" t="b">
        <f t="shared" si="4"/>
        <v>1</v>
      </c>
      <c r="AH41" t="b">
        <f t="shared" si="5"/>
        <v>1</v>
      </c>
      <c r="AI41" t="b">
        <f t="shared" si="5"/>
        <v>1</v>
      </c>
      <c r="AR41" t="b">
        <f t="shared" si="9"/>
        <v>1</v>
      </c>
      <c r="AS41" t="b">
        <f t="shared" si="9"/>
        <v>1</v>
      </c>
    </row>
    <row r="42" spans="5:45" x14ac:dyDescent="0.4">
      <c r="E42" t="str">
        <v>fixed_leg.cashflows.[3].end_date</v>
      </c>
      <c r="F42">
        <v>45172</v>
      </c>
      <c r="G42" cm="1">
        <f t="array" ref="G42">_xll.ExLibris.Json.GetJsonValue($F$1,E42)</f>
        <v>45172</v>
      </c>
      <c r="P42" t="str">
        <v>fixed_leg.cashflows.[2].payment _date</v>
      </c>
      <c r="Q42">
        <v>44992</v>
      </c>
      <c r="S42" t="s">
        <v>47</v>
      </c>
      <c r="T42">
        <v>45172</v>
      </c>
      <c r="U42">
        <v>45172</v>
      </c>
      <c r="AD42" t="s">
        <v>40</v>
      </c>
      <c r="AE42">
        <v>44992</v>
      </c>
      <c r="AG42" t="b">
        <f t="shared" si="4"/>
        <v>1</v>
      </c>
      <c r="AH42" t="b">
        <f t="shared" si="5"/>
        <v>1</v>
      </c>
      <c r="AI42" t="b">
        <f t="shared" si="5"/>
        <v>1</v>
      </c>
      <c r="AR42" t="b">
        <f t="shared" si="9"/>
        <v>1</v>
      </c>
      <c r="AS42" t="b">
        <f t="shared" si="9"/>
        <v>1</v>
      </c>
    </row>
    <row r="43" spans="5:45" x14ac:dyDescent="0.4">
      <c r="E43" t="str">
        <v>fixed_leg.cashflows.[3].day_count_type</v>
      </c>
      <c r="F43" t="str">
        <v>ACT/360</v>
      </c>
      <c r="G43" t="str" cm="1">
        <f t="array" ref="G43">_xll.ExLibris.Json.GetJsonValue($F$1,E43)</f>
        <v>ACT/360</v>
      </c>
      <c r="P43" t="str">
        <v>fixed_leg.cashflows.[2].start_date</v>
      </c>
      <c r="Q43">
        <v>44812</v>
      </c>
      <c r="S43" t="s">
        <v>48</v>
      </c>
      <c r="T43" t="s">
        <v>8</v>
      </c>
      <c r="U43" t="s">
        <v>8</v>
      </c>
      <c r="AD43" t="s">
        <v>41</v>
      </c>
      <c r="AE43">
        <v>44812</v>
      </c>
      <c r="AG43" t="b">
        <f t="shared" si="4"/>
        <v>1</v>
      </c>
      <c r="AH43" t="b">
        <f t="shared" si="5"/>
        <v>1</v>
      </c>
      <c r="AI43" t="b">
        <f t="shared" si="5"/>
        <v>1</v>
      </c>
      <c r="AR43" t="b">
        <f t="shared" si="9"/>
        <v>1</v>
      </c>
      <c r="AS43" t="b">
        <f t="shared" si="9"/>
        <v>1</v>
      </c>
    </row>
    <row r="44" spans="5:45" x14ac:dyDescent="0.4">
      <c r="E44" t="str">
        <v>fixed_leg.cashflows.[3].amount</v>
      </c>
      <c r="F44">
        <v>13000000</v>
      </c>
      <c r="G44" cm="1">
        <f t="array" ref="G44">_xll.ExLibris.Json.GetJsonValue($F$1,E44)</f>
        <v>13000000</v>
      </c>
      <c r="P44" t="str">
        <v>fixed_leg.cashflows.[2].end_date</v>
      </c>
      <c r="Q44">
        <v>44992</v>
      </c>
      <c r="S44" t="s">
        <v>179</v>
      </c>
      <c r="T44">
        <v>13000000</v>
      </c>
      <c r="U44">
        <v>13000000</v>
      </c>
      <c r="AD44" t="s">
        <v>42</v>
      </c>
      <c r="AE44">
        <v>44992</v>
      </c>
      <c r="AG44" t="b">
        <f t="shared" si="4"/>
        <v>1</v>
      </c>
      <c r="AH44" t="b">
        <f t="shared" si="5"/>
        <v>1</v>
      </c>
      <c r="AI44" t="b">
        <f t="shared" si="5"/>
        <v>1</v>
      </c>
      <c r="AR44" t="b">
        <f t="shared" si="9"/>
        <v>1</v>
      </c>
      <c r="AS44" t="b">
        <f t="shared" si="9"/>
        <v>1</v>
      </c>
    </row>
    <row r="45" spans="5:45" x14ac:dyDescent="0.4">
      <c r="E45" t="str">
        <v>fixed_leg.cashflows.[3].fixed_rate</v>
      </c>
      <c r="F45">
        <v>1E-3</v>
      </c>
      <c r="G45" cm="1">
        <f t="array" ref="G45">_xll.ExLibris.Json.GetJsonValue($F$1,E45)</f>
        <v>1E-3</v>
      </c>
      <c r="P45" t="str">
        <v>fixed_leg.cashflows.[2].day_count_type</v>
      </c>
      <c r="Q45" t="str">
        <v>ACT/360</v>
      </c>
      <c r="S45" t="s">
        <v>49</v>
      </c>
      <c r="T45">
        <v>1E-3</v>
      </c>
      <c r="U45">
        <v>1E-3</v>
      </c>
      <c r="AD45" t="s">
        <v>43</v>
      </c>
      <c r="AE45" t="s">
        <v>8</v>
      </c>
      <c r="AG45" t="b">
        <f t="shared" si="4"/>
        <v>1</v>
      </c>
      <c r="AH45" t="b">
        <f t="shared" si="5"/>
        <v>1</v>
      </c>
      <c r="AI45" t="b">
        <f t="shared" si="5"/>
        <v>1</v>
      </c>
      <c r="AR45" t="b">
        <f t="shared" si="9"/>
        <v>1</v>
      </c>
      <c r="AS45" t="b">
        <f t="shared" si="9"/>
        <v>1</v>
      </c>
    </row>
    <row r="46" spans="5:45" x14ac:dyDescent="0.4">
      <c r="E46" t="str">
        <v>fixed_leg.cashflows.[4].payment _date</v>
      </c>
      <c r="F46">
        <v>45352</v>
      </c>
      <c r="G46" cm="1">
        <f t="array" ref="G46">_xll.ExLibris.Json.GetJsonValue($F$1,E46)</f>
        <v>45352</v>
      </c>
      <c r="P46" t="str">
        <v>fixed_leg.cashflows.[2].amount</v>
      </c>
      <c r="Q46">
        <v>12000000</v>
      </c>
      <c r="S46" t="s">
        <v>50</v>
      </c>
      <c r="T46">
        <v>45352</v>
      </c>
      <c r="U46">
        <v>45352</v>
      </c>
      <c r="AD46" t="s">
        <v>178</v>
      </c>
      <c r="AE46">
        <v>12000000</v>
      </c>
      <c r="AG46" t="b">
        <f t="shared" si="4"/>
        <v>1</v>
      </c>
      <c r="AH46" t="b">
        <f t="shared" si="5"/>
        <v>1</v>
      </c>
      <c r="AI46" t="b">
        <f t="shared" si="5"/>
        <v>1</v>
      </c>
      <c r="AR46" t="b">
        <f t="shared" si="9"/>
        <v>1</v>
      </c>
      <c r="AS46" t="b">
        <f t="shared" si="9"/>
        <v>1</v>
      </c>
    </row>
    <row r="47" spans="5:45" x14ac:dyDescent="0.4">
      <c r="E47" t="str">
        <v>fixed_leg.cashflows.[4].start_date</v>
      </c>
      <c r="F47">
        <v>45172</v>
      </c>
      <c r="G47" cm="1">
        <f t="array" ref="G47">_xll.ExLibris.Json.GetJsonValue($F$1,E47)</f>
        <v>45172</v>
      </c>
      <c r="P47" t="str">
        <v>fixed_leg.cashflows.[2].fixed_rate</v>
      </c>
      <c r="Q47">
        <v>1E-3</v>
      </c>
      <c r="S47" t="s">
        <v>51</v>
      </c>
      <c r="T47">
        <v>45172</v>
      </c>
      <c r="U47">
        <v>45172</v>
      </c>
      <c r="AD47" t="s">
        <v>44</v>
      </c>
      <c r="AE47">
        <v>1E-3</v>
      </c>
      <c r="AG47" t="b">
        <f t="shared" si="4"/>
        <v>1</v>
      </c>
      <c r="AH47" t="b">
        <f t="shared" si="5"/>
        <v>1</v>
      </c>
      <c r="AI47" t="b">
        <f t="shared" si="5"/>
        <v>1</v>
      </c>
      <c r="AR47" t="b">
        <f t="shared" si="9"/>
        <v>1</v>
      </c>
      <c r="AS47" t="b">
        <f t="shared" si="9"/>
        <v>1</v>
      </c>
    </row>
    <row r="48" spans="5:45" x14ac:dyDescent="0.4">
      <c r="E48" t="str">
        <v>fixed_leg.cashflows.[4].end_date</v>
      </c>
      <c r="F48">
        <v>45352</v>
      </c>
      <c r="G48" cm="1">
        <f t="array" ref="G48">_xll.ExLibris.Json.GetJsonValue($F$1,E48)</f>
        <v>45352</v>
      </c>
      <c r="P48" t="str">
        <v>fixed_leg.cashflows.[3].payment _date</v>
      </c>
      <c r="Q48">
        <v>45172</v>
      </c>
      <c r="S48" t="s">
        <v>52</v>
      </c>
      <c r="T48">
        <v>45352</v>
      </c>
      <c r="U48">
        <v>45352</v>
      </c>
      <c r="AD48" t="s">
        <v>45</v>
      </c>
      <c r="AE48">
        <v>45172</v>
      </c>
      <c r="AG48" t="b">
        <f t="shared" si="4"/>
        <v>1</v>
      </c>
      <c r="AH48" t="b">
        <f t="shared" si="5"/>
        <v>1</v>
      </c>
      <c r="AI48" t="b">
        <f t="shared" si="5"/>
        <v>1</v>
      </c>
      <c r="AR48" t="b">
        <f t="shared" si="9"/>
        <v>1</v>
      </c>
      <c r="AS48" t="b">
        <f t="shared" si="9"/>
        <v>1</v>
      </c>
    </row>
    <row r="49" spans="5:45" x14ac:dyDescent="0.4">
      <c r="E49" t="str">
        <v>fixed_leg.cashflows.[4].day_count_type</v>
      </c>
      <c r="F49" t="str">
        <v>ACT/360</v>
      </c>
      <c r="G49" t="str" cm="1">
        <f t="array" ref="G49">_xll.ExLibris.Json.GetJsonValue($F$1,E49)</f>
        <v>ACT/360</v>
      </c>
      <c r="P49" t="str">
        <v>fixed_leg.cashflows.[3].start_date</v>
      </c>
      <c r="Q49">
        <v>44992</v>
      </c>
      <c r="S49" t="s">
        <v>53</v>
      </c>
      <c r="T49" t="s">
        <v>8</v>
      </c>
      <c r="U49" t="s">
        <v>8</v>
      </c>
      <c r="AD49" t="s">
        <v>46</v>
      </c>
      <c r="AE49">
        <v>44992</v>
      </c>
      <c r="AG49" t="b">
        <f t="shared" si="4"/>
        <v>1</v>
      </c>
      <c r="AH49" t="b">
        <f t="shared" si="5"/>
        <v>1</v>
      </c>
      <c r="AI49" t="b">
        <f t="shared" si="5"/>
        <v>1</v>
      </c>
      <c r="AR49" t="b">
        <f t="shared" si="9"/>
        <v>1</v>
      </c>
      <c r="AS49" t="b">
        <f t="shared" si="9"/>
        <v>1</v>
      </c>
    </row>
    <row r="50" spans="5:45" x14ac:dyDescent="0.4">
      <c r="E50" t="str">
        <v>fixed_leg.cashflows.[4].amount</v>
      </c>
      <c r="F50">
        <v>14000000</v>
      </c>
      <c r="G50" cm="1">
        <f t="array" ref="G50">_xll.ExLibris.Json.GetJsonValue($F$1,E50)</f>
        <v>14000000</v>
      </c>
      <c r="P50" t="str">
        <v>fixed_leg.cashflows.[3].end_date</v>
      </c>
      <c r="Q50">
        <v>45172</v>
      </c>
      <c r="S50" t="s">
        <v>180</v>
      </c>
      <c r="T50">
        <v>14000000</v>
      </c>
      <c r="U50">
        <v>14000000</v>
      </c>
      <c r="AD50" t="s">
        <v>47</v>
      </c>
      <c r="AE50">
        <v>45172</v>
      </c>
      <c r="AG50" t="b">
        <f t="shared" si="4"/>
        <v>1</v>
      </c>
      <c r="AH50" t="b">
        <f t="shared" si="5"/>
        <v>1</v>
      </c>
      <c r="AI50" t="b">
        <f t="shared" si="5"/>
        <v>1</v>
      </c>
      <c r="AR50" t="b">
        <f t="shared" si="9"/>
        <v>1</v>
      </c>
      <c r="AS50" t="b">
        <f t="shared" si="9"/>
        <v>1</v>
      </c>
    </row>
    <row r="51" spans="5:45" x14ac:dyDescent="0.4">
      <c r="E51" t="str">
        <v>fixed_leg.cashflows.[4].fixed_rate</v>
      </c>
      <c r="F51">
        <v>1E-3</v>
      </c>
      <c r="G51" cm="1">
        <f t="array" ref="G51">_xll.ExLibris.Json.GetJsonValue($F$1,E51)</f>
        <v>1E-3</v>
      </c>
      <c r="P51" t="str">
        <v>fixed_leg.cashflows.[3].day_count_type</v>
      </c>
      <c r="Q51" t="str">
        <v>ACT/360</v>
      </c>
      <c r="S51" t="s">
        <v>54</v>
      </c>
      <c r="T51">
        <v>1E-3</v>
      </c>
      <c r="U51">
        <v>1E-3</v>
      </c>
      <c r="AD51" t="s">
        <v>48</v>
      </c>
      <c r="AE51" t="s">
        <v>8</v>
      </c>
      <c r="AG51" t="b">
        <f t="shared" si="4"/>
        <v>1</v>
      </c>
      <c r="AH51" t="b">
        <f t="shared" si="5"/>
        <v>1</v>
      </c>
      <c r="AI51" t="b">
        <f t="shared" si="5"/>
        <v>1</v>
      </c>
      <c r="AR51" t="b">
        <f t="shared" si="9"/>
        <v>1</v>
      </c>
      <c r="AS51" t="b">
        <f t="shared" si="9"/>
        <v>1</v>
      </c>
    </row>
    <row r="52" spans="5:45" x14ac:dyDescent="0.4">
      <c r="E52" t="str">
        <v>fixed_leg.cashflows.[5].payment _date</v>
      </c>
      <c r="F52">
        <v>45532</v>
      </c>
      <c r="G52" cm="1">
        <f t="array" ref="G52">_xll.ExLibris.Json.GetJsonValue($F$1,E52)</f>
        <v>45532</v>
      </c>
      <c r="P52" t="str">
        <v>fixed_leg.cashflows.[3].amount</v>
      </c>
      <c r="Q52">
        <v>13000000</v>
      </c>
      <c r="S52" t="s">
        <v>55</v>
      </c>
      <c r="T52">
        <v>45532</v>
      </c>
      <c r="U52">
        <v>45532</v>
      </c>
      <c r="AD52" t="s">
        <v>179</v>
      </c>
      <c r="AE52">
        <v>13000000</v>
      </c>
      <c r="AG52" t="b">
        <f t="shared" si="4"/>
        <v>1</v>
      </c>
      <c r="AH52" t="b">
        <f t="shared" si="5"/>
        <v>1</v>
      </c>
      <c r="AI52" t="b">
        <f t="shared" si="5"/>
        <v>1</v>
      </c>
      <c r="AR52" t="b">
        <f t="shared" si="9"/>
        <v>1</v>
      </c>
      <c r="AS52" t="b">
        <f t="shared" si="9"/>
        <v>1</v>
      </c>
    </row>
    <row r="53" spans="5:45" x14ac:dyDescent="0.4">
      <c r="E53" t="str">
        <v>fixed_leg.cashflows.[5].start_date</v>
      </c>
      <c r="F53">
        <v>45352</v>
      </c>
      <c r="G53" cm="1">
        <f t="array" ref="G53">_xll.ExLibris.Json.GetJsonValue($F$1,E53)</f>
        <v>45352</v>
      </c>
      <c r="P53" t="str">
        <v>fixed_leg.cashflows.[3].fixed_rate</v>
      </c>
      <c r="Q53">
        <v>1E-3</v>
      </c>
      <c r="S53" t="s">
        <v>56</v>
      </c>
      <c r="T53">
        <v>45352</v>
      </c>
      <c r="U53">
        <v>45352</v>
      </c>
      <c r="AD53" t="s">
        <v>49</v>
      </c>
      <c r="AE53">
        <v>1E-3</v>
      </c>
      <c r="AG53" t="b">
        <f t="shared" si="4"/>
        <v>1</v>
      </c>
      <c r="AH53" t="b">
        <f t="shared" si="5"/>
        <v>1</v>
      </c>
      <c r="AI53" t="b">
        <f t="shared" si="5"/>
        <v>1</v>
      </c>
      <c r="AR53" t="b">
        <f t="shared" si="9"/>
        <v>1</v>
      </c>
      <c r="AS53" t="b">
        <f t="shared" si="9"/>
        <v>1</v>
      </c>
    </row>
    <row r="54" spans="5:45" x14ac:dyDescent="0.4">
      <c r="E54" t="str">
        <v>fixed_leg.cashflows.[5].end_date</v>
      </c>
      <c r="F54">
        <v>45532</v>
      </c>
      <c r="G54" cm="1">
        <f t="array" ref="G54">_xll.ExLibris.Json.GetJsonValue($F$1,E54)</f>
        <v>45532</v>
      </c>
      <c r="P54" t="str">
        <v>fixed_leg.cashflows.[4].payment _date</v>
      </c>
      <c r="Q54">
        <v>45352</v>
      </c>
      <c r="S54" t="s">
        <v>57</v>
      </c>
      <c r="T54">
        <v>45532</v>
      </c>
      <c r="U54">
        <v>45532</v>
      </c>
      <c r="AD54" t="s">
        <v>50</v>
      </c>
      <c r="AE54">
        <v>45352</v>
      </c>
      <c r="AG54" t="b">
        <f t="shared" si="4"/>
        <v>1</v>
      </c>
      <c r="AH54" t="b">
        <f t="shared" si="5"/>
        <v>1</v>
      </c>
      <c r="AI54" t="b">
        <f t="shared" si="5"/>
        <v>1</v>
      </c>
      <c r="AR54" t="b">
        <f t="shared" si="9"/>
        <v>1</v>
      </c>
      <c r="AS54" t="b">
        <f t="shared" si="9"/>
        <v>1</v>
      </c>
    </row>
    <row r="55" spans="5:45" x14ac:dyDescent="0.4">
      <c r="E55" t="str">
        <v>fixed_leg.cashflows.[5].day_count_type</v>
      </c>
      <c r="F55" t="str">
        <v>ACT/360</v>
      </c>
      <c r="G55" t="str" cm="1">
        <f t="array" ref="G55">_xll.ExLibris.Json.GetJsonValue($F$1,E55)</f>
        <v>ACT/360</v>
      </c>
      <c r="P55" t="str">
        <v>fixed_leg.cashflows.[4].start_date</v>
      </c>
      <c r="Q55">
        <v>45172</v>
      </c>
      <c r="S55" t="s">
        <v>58</v>
      </c>
      <c r="T55" t="s">
        <v>8</v>
      </c>
      <c r="U55" t="s">
        <v>8</v>
      </c>
      <c r="AD55" t="s">
        <v>51</v>
      </c>
      <c r="AE55">
        <v>45172</v>
      </c>
      <c r="AG55" t="b">
        <f t="shared" si="4"/>
        <v>1</v>
      </c>
      <c r="AH55" t="b">
        <f t="shared" si="5"/>
        <v>1</v>
      </c>
      <c r="AI55" t="b">
        <f t="shared" si="5"/>
        <v>1</v>
      </c>
      <c r="AR55" t="b">
        <f t="shared" si="9"/>
        <v>1</v>
      </c>
      <c r="AS55" t="b">
        <f t="shared" si="9"/>
        <v>1</v>
      </c>
    </row>
    <row r="56" spans="5:45" x14ac:dyDescent="0.4">
      <c r="E56" t="str">
        <v>fixed_leg.cashflows.[5].amount</v>
      </c>
      <c r="F56">
        <v>15000000</v>
      </c>
      <c r="G56" cm="1">
        <f t="array" ref="G56">_xll.ExLibris.Json.GetJsonValue($F$1,E56)</f>
        <v>15000000</v>
      </c>
      <c r="P56" t="str">
        <v>fixed_leg.cashflows.[4].end_date</v>
      </c>
      <c r="Q56">
        <v>45352</v>
      </c>
      <c r="S56" t="s">
        <v>181</v>
      </c>
      <c r="T56">
        <v>15000000</v>
      </c>
      <c r="U56">
        <v>15000000</v>
      </c>
      <c r="AD56" t="s">
        <v>52</v>
      </c>
      <c r="AE56">
        <v>45352</v>
      </c>
      <c r="AG56" t="b">
        <f t="shared" si="4"/>
        <v>1</v>
      </c>
      <c r="AH56" t="b">
        <f t="shared" si="5"/>
        <v>1</v>
      </c>
      <c r="AI56" t="b">
        <f t="shared" si="5"/>
        <v>1</v>
      </c>
      <c r="AR56" t="b">
        <f t="shared" si="9"/>
        <v>1</v>
      </c>
      <c r="AS56" t="b">
        <f t="shared" si="9"/>
        <v>1</v>
      </c>
    </row>
    <row r="57" spans="5:45" x14ac:dyDescent="0.4">
      <c r="E57" t="str">
        <v>fixed_leg.cashflows.[5].fixed_rate</v>
      </c>
      <c r="F57">
        <v>1E-3</v>
      </c>
      <c r="G57" cm="1">
        <f t="array" ref="G57">_xll.ExLibris.Json.GetJsonValue($F$1,E57)</f>
        <v>1E-3</v>
      </c>
      <c r="P57" t="str">
        <v>fixed_leg.cashflows.[4].day_count_type</v>
      </c>
      <c r="Q57" t="str">
        <v>ACT/360</v>
      </c>
      <c r="S57" t="s">
        <v>59</v>
      </c>
      <c r="T57">
        <v>1E-3</v>
      </c>
      <c r="U57">
        <v>1E-3</v>
      </c>
      <c r="AD57" t="s">
        <v>53</v>
      </c>
      <c r="AE57" t="s">
        <v>8</v>
      </c>
      <c r="AG57" t="b">
        <f t="shared" si="4"/>
        <v>1</v>
      </c>
      <c r="AH57" t="b">
        <f t="shared" si="5"/>
        <v>1</v>
      </c>
      <c r="AI57" t="b">
        <f t="shared" si="5"/>
        <v>1</v>
      </c>
      <c r="AR57" t="b">
        <f t="shared" si="9"/>
        <v>1</v>
      </c>
      <c r="AS57" t="b">
        <f t="shared" si="9"/>
        <v>1</v>
      </c>
    </row>
    <row r="58" spans="5:45" x14ac:dyDescent="0.4">
      <c r="P58" t="str">
        <v>fixed_leg.cashflows.[4].amount</v>
      </c>
      <c r="Q58">
        <v>14000000</v>
      </c>
      <c r="AD58" t="s">
        <v>180</v>
      </c>
      <c r="AE58">
        <v>14000000</v>
      </c>
      <c r="AR58" t="b">
        <f t="shared" si="9"/>
        <v>1</v>
      </c>
      <c r="AS58" t="b">
        <f t="shared" si="9"/>
        <v>1</v>
      </c>
    </row>
    <row r="59" spans="5:45" x14ac:dyDescent="0.4">
      <c r="P59" t="str">
        <v>fixed_leg.cashflows.[4].fixed_rate</v>
      </c>
      <c r="Q59">
        <v>1E-3</v>
      </c>
      <c r="AD59" t="s">
        <v>54</v>
      </c>
      <c r="AE59">
        <v>1E-3</v>
      </c>
      <c r="AR59" t="b">
        <f t="shared" si="9"/>
        <v>1</v>
      </c>
      <c r="AS59" t="b">
        <f t="shared" si="9"/>
        <v>1</v>
      </c>
    </row>
    <row r="60" spans="5:45" x14ac:dyDescent="0.4">
      <c r="P60" t="str">
        <v>fixed_leg.cashflows.[5].payment _date</v>
      </c>
      <c r="Q60">
        <v>45532</v>
      </c>
      <c r="AD60" t="s">
        <v>55</v>
      </c>
      <c r="AE60">
        <v>45532</v>
      </c>
      <c r="AR60" t="b">
        <f t="shared" si="9"/>
        <v>1</v>
      </c>
      <c r="AS60" t="b">
        <f t="shared" si="9"/>
        <v>1</v>
      </c>
    </row>
    <row r="61" spans="5:45" x14ac:dyDescent="0.4">
      <c r="P61" t="str">
        <v>fixed_leg.cashflows.[5].start_date</v>
      </c>
      <c r="Q61">
        <v>45352</v>
      </c>
      <c r="AD61" t="s">
        <v>56</v>
      </c>
      <c r="AE61">
        <v>45352</v>
      </c>
      <c r="AR61" t="b">
        <f t="shared" si="9"/>
        <v>1</v>
      </c>
      <c r="AS61" t="b">
        <f t="shared" si="9"/>
        <v>1</v>
      </c>
    </row>
    <row r="62" spans="5:45" x14ac:dyDescent="0.4">
      <c r="P62" t="str">
        <v>fixed_leg.cashflows.[5].end_date</v>
      </c>
      <c r="Q62">
        <v>45532</v>
      </c>
      <c r="AD62" t="s">
        <v>57</v>
      </c>
      <c r="AE62">
        <v>45532</v>
      </c>
      <c r="AR62" t="b">
        <f t="shared" si="9"/>
        <v>1</v>
      </c>
      <c r="AS62" t="b">
        <f t="shared" si="9"/>
        <v>1</v>
      </c>
    </row>
    <row r="63" spans="5:45" x14ac:dyDescent="0.4">
      <c r="P63" t="str">
        <v>fixed_leg.cashflows.[5].day_count_type</v>
      </c>
      <c r="Q63" t="str">
        <v>ACT/360</v>
      </c>
      <c r="AD63" t="s">
        <v>58</v>
      </c>
      <c r="AE63" t="s">
        <v>8</v>
      </c>
      <c r="AR63" t="b">
        <f t="shared" si="9"/>
        <v>1</v>
      </c>
      <c r="AS63" t="b">
        <f t="shared" si="9"/>
        <v>1</v>
      </c>
    </row>
    <row r="64" spans="5:45" x14ac:dyDescent="0.4">
      <c r="P64" t="str">
        <v>fixed_leg.cashflows.[5].amount</v>
      </c>
      <c r="Q64">
        <v>15000000</v>
      </c>
      <c r="AD64" t="s">
        <v>181</v>
      </c>
      <c r="AE64">
        <v>15000000</v>
      </c>
      <c r="AR64" t="b">
        <f t="shared" si="9"/>
        <v>1</v>
      </c>
      <c r="AS64" t="b">
        <f t="shared" si="9"/>
        <v>1</v>
      </c>
    </row>
    <row r="65" spans="16:45" x14ac:dyDescent="0.4">
      <c r="P65" t="str">
        <v>fixed_leg.cashflows.[5].fixed_rate</v>
      </c>
      <c r="Q65">
        <v>1E-3</v>
      </c>
      <c r="AD65" t="s">
        <v>59</v>
      </c>
      <c r="AE65">
        <v>1E-3</v>
      </c>
      <c r="AR65" t="b">
        <f>P65=AD65</f>
        <v>1</v>
      </c>
      <c r="AS65" t="b">
        <f>Q65=AE65</f>
        <v>1</v>
      </c>
    </row>
    <row r="67" spans="16:45" x14ac:dyDescent="0.4">
      <c r="P67" t="str" cm="1">
        <f t="array" ref="P67:Q72">_xll.ExLibris.Json.GetJsonKeyValues(F1,"fixed_leg.cashflows.*.payment _date")</f>
        <v>fixed_leg.cashflows.[0].payment _date</v>
      </c>
      <c r="Q67">
        <v>44632</v>
      </c>
      <c r="AD67" t="s">
        <v>30</v>
      </c>
      <c r="AE67">
        <v>44632</v>
      </c>
      <c r="AR67" t="b">
        <f t="shared" ref="AR67:AR79" si="14">P67=AD67</f>
        <v>1</v>
      </c>
      <c r="AS67" t="b">
        <f t="shared" ref="AS67:AS79" si="15">Q67=AE67</f>
        <v>1</v>
      </c>
    </row>
    <row r="68" spans="16:45" x14ac:dyDescent="0.4">
      <c r="P68" t="str">
        <v>fixed_leg.cashflows.[1].payment _date</v>
      </c>
      <c r="Q68">
        <v>44812</v>
      </c>
      <c r="AD68" t="s">
        <v>35</v>
      </c>
      <c r="AE68">
        <v>44812</v>
      </c>
      <c r="AR68" t="b">
        <f t="shared" si="14"/>
        <v>1</v>
      </c>
      <c r="AS68" t="b">
        <f t="shared" si="15"/>
        <v>1</v>
      </c>
    </row>
    <row r="69" spans="16:45" x14ac:dyDescent="0.4">
      <c r="P69" t="str">
        <v>fixed_leg.cashflows.[2].payment _date</v>
      </c>
      <c r="Q69">
        <v>44992</v>
      </c>
      <c r="AD69" t="s">
        <v>40</v>
      </c>
      <c r="AE69">
        <v>44992</v>
      </c>
      <c r="AR69" t="b">
        <f t="shared" si="14"/>
        <v>1</v>
      </c>
      <c r="AS69" t="b">
        <f t="shared" si="15"/>
        <v>1</v>
      </c>
    </row>
    <row r="70" spans="16:45" x14ac:dyDescent="0.4">
      <c r="P70" t="str">
        <v>fixed_leg.cashflows.[3].payment _date</v>
      </c>
      <c r="Q70">
        <v>45172</v>
      </c>
      <c r="AD70" t="s">
        <v>45</v>
      </c>
      <c r="AE70">
        <v>45172</v>
      </c>
      <c r="AR70" t="b">
        <f t="shared" si="14"/>
        <v>1</v>
      </c>
      <c r="AS70" t="b">
        <f t="shared" si="15"/>
        <v>1</v>
      </c>
    </row>
    <row r="71" spans="16:45" x14ac:dyDescent="0.4">
      <c r="P71" t="str">
        <v>fixed_leg.cashflows.[4].payment _date</v>
      </c>
      <c r="Q71">
        <v>45352</v>
      </c>
      <c r="AD71" t="s">
        <v>50</v>
      </c>
      <c r="AE71">
        <v>45352</v>
      </c>
      <c r="AR71" t="b">
        <f t="shared" si="14"/>
        <v>1</v>
      </c>
      <c r="AS71" t="b">
        <f t="shared" si="15"/>
        <v>1</v>
      </c>
    </row>
    <row r="72" spans="16:45" x14ac:dyDescent="0.4">
      <c r="P72" t="str">
        <v>fixed_leg.cashflows.[5].payment _date</v>
      </c>
      <c r="Q72">
        <v>45532</v>
      </c>
      <c r="AD72" t="s">
        <v>55</v>
      </c>
      <c r="AE72">
        <v>45532</v>
      </c>
      <c r="AR72" t="b">
        <f t="shared" si="14"/>
        <v>1</v>
      </c>
      <c r="AS72" t="b">
        <f t="shared" si="15"/>
        <v>1</v>
      </c>
    </row>
    <row r="74" spans="16:45" x14ac:dyDescent="0.4">
      <c r="P74" t="str" cm="1">
        <f t="array" ref="P74:Q79">_xll.ExLibris.Json.GetJsonKeyValues(F1,"fixed_leg.cashflows.[3].*")</f>
        <v>fixed_leg.cashflows.[3].payment _date</v>
      </c>
      <c r="Q74">
        <v>45172</v>
      </c>
      <c r="AD74" t="s">
        <v>45</v>
      </c>
      <c r="AE74">
        <v>45172</v>
      </c>
      <c r="AR74" t="b">
        <f t="shared" si="14"/>
        <v>1</v>
      </c>
      <c r="AS74" t="b">
        <f t="shared" si="15"/>
        <v>1</v>
      </c>
    </row>
    <row r="75" spans="16:45" x14ac:dyDescent="0.4">
      <c r="P75" t="str">
        <v>fixed_leg.cashflows.[3].start_date</v>
      </c>
      <c r="Q75">
        <v>44992</v>
      </c>
      <c r="AD75" t="s">
        <v>46</v>
      </c>
      <c r="AE75">
        <v>44992</v>
      </c>
      <c r="AR75" t="b">
        <f t="shared" si="14"/>
        <v>1</v>
      </c>
      <c r="AS75" t="b">
        <f t="shared" si="15"/>
        <v>1</v>
      </c>
    </row>
    <row r="76" spans="16:45" x14ac:dyDescent="0.4">
      <c r="P76" t="str">
        <v>fixed_leg.cashflows.[3].end_date</v>
      </c>
      <c r="Q76">
        <v>45172</v>
      </c>
      <c r="AD76" t="s">
        <v>47</v>
      </c>
      <c r="AE76">
        <v>45172</v>
      </c>
      <c r="AR76" t="b">
        <f t="shared" si="14"/>
        <v>1</v>
      </c>
      <c r="AS76" t="b">
        <f t="shared" si="15"/>
        <v>1</v>
      </c>
    </row>
    <row r="77" spans="16:45" x14ac:dyDescent="0.4">
      <c r="P77" t="str">
        <v>fixed_leg.cashflows.[3].day_count_type</v>
      </c>
      <c r="Q77" t="str">
        <v>ACT/360</v>
      </c>
      <c r="AD77" t="s">
        <v>48</v>
      </c>
      <c r="AE77" t="s">
        <v>8</v>
      </c>
      <c r="AR77" t="b">
        <f t="shared" si="14"/>
        <v>1</v>
      </c>
      <c r="AS77" t="b">
        <f t="shared" si="15"/>
        <v>1</v>
      </c>
    </row>
    <row r="78" spans="16:45" x14ac:dyDescent="0.4">
      <c r="P78" t="str">
        <v>fixed_leg.cashflows.[3].amount</v>
      </c>
      <c r="Q78">
        <v>13000000</v>
      </c>
      <c r="AD78" t="s">
        <v>183</v>
      </c>
      <c r="AE78">
        <v>13000000</v>
      </c>
      <c r="AR78" t="b">
        <f t="shared" si="14"/>
        <v>1</v>
      </c>
      <c r="AS78" t="b">
        <f t="shared" si="15"/>
        <v>1</v>
      </c>
    </row>
    <row r="79" spans="16:45" x14ac:dyDescent="0.4">
      <c r="P79" t="str">
        <v>fixed_leg.cashflows.[3].fixed_rate</v>
      </c>
      <c r="Q79">
        <v>1E-3</v>
      </c>
      <c r="AD79" t="s">
        <v>49</v>
      </c>
      <c r="AE79">
        <v>1E-3</v>
      </c>
      <c r="AR79" t="b">
        <f t="shared" si="14"/>
        <v>1</v>
      </c>
      <c r="AS79" t="b">
        <f t="shared" si="15"/>
        <v>1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5E5E-1419-4F0D-AFC7-AD1DEAC9CE64}">
  <dimension ref="B1:AS79"/>
  <sheetViews>
    <sheetView zoomScaleNormal="100" workbookViewId="0"/>
  </sheetViews>
  <sheetFormatPr defaultRowHeight="18.75" x14ac:dyDescent="0.4"/>
  <cols>
    <col min="1" max="1" width="2.25" customWidth="1"/>
    <col min="2" max="2" width="11" bestFit="1" customWidth="1"/>
    <col min="4" max="4" width="2.125" customWidth="1"/>
    <col min="5" max="5" width="38.125" bestFit="1" customWidth="1"/>
    <col min="6" max="7" width="13.25" customWidth="1"/>
    <col min="8" max="8" width="15.5" bestFit="1" customWidth="1"/>
    <col min="9" max="11" width="13.25" customWidth="1"/>
    <col min="15" max="15" width="7.375" customWidth="1"/>
    <col min="16" max="16" width="23.875" customWidth="1"/>
    <col min="17" max="17" width="54.5" bestFit="1" customWidth="1"/>
    <col min="18" max="18" width="7.375" customWidth="1"/>
    <col min="19" max="19" width="13.5" bestFit="1" customWidth="1"/>
    <col min="21" max="21" width="17" customWidth="1"/>
    <col min="22" max="22" width="10.125" bestFit="1" customWidth="1"/>
    <col min="23" max="23" width="9.5" bestFit="1" customWidth="1"/>
    <col min="24" max="24" width="15.5" bestFit="1" customWidth="1"/>
    <col min="25" max="25" width="9.5" bestFit="1" customWidth="1"/>
    <col min="26" max="26" width="9.875" bestFit="1" customWidth="1"/>
    <col min="30" max="30" width="40.75" customWidth="1"/>
    <col min="31" max="32" width="7.375" customWidth="1"/>
  </cols>
  <sheetData>
    <row r="1" spans="2:28" x14ac:dyDescent="0.4">
      <c r="E1" t="s">
        <v>25</v>
      </c>
      <c r="F1" t="str" cm="1">
        <f t="array" ref="F1">_xll.ExLibris.Json.CreateJsonObjectAsync(E3:F6)</f>
        <v>JsonObject:9779E518-6FDE-4D6F-A363-4EEC79F7EC4C</v>
      </c>
      <c r="K1" t="str">
        <f>EXLIBRIS_CONFIGURATION</f>
        <v>ExLibris.Core.ExLibrisConfiguration:309B6F05-E9D9-4A90-B78A-A8124E730131</v>
      </c>
    </row>
    <row r="2" spans="2:28" x14ac:dyDescent="0.4">
      <c r="B2" s="5" t="s">
        <v>62</v>
      </c>
      <c r="C2" s="5"/>
    </row>
    <row r="3" spans="2:28" x14ac:dyDescent="0.4">
      <c r="B3" s="6" t="s">
        <v>63</v>
      </c>
      <c r="C3" s="6">
        <f>COUNTIF(AG19:AI57,FALSE)</f>
        <v>0</v>
      </c>
      <c r="E3" t="s">
        <v>13</v>
      </c>
      <c r="F3" t="s">
        <v>15</v>
      </c>
    </row>
    <row r="4" spans="2:28" x14ac:dyDescent="0.4">
      <c r="B4" s="6" t="s">
        <v>64</v>
      </c>
      <c r="C4" s="6">
        <f>COUNTIF(AK20:AP26,FALSE)</f>
        <v>0</v>
      </c>
      <c r="E4" t="s">
        <v>17</v>
      </c>
      <c r="F4" t="s">
        <v>19</v>
      </c>
    </row>
    <row r="5" spans="2:28" x14ac:dyDescent="0.4">
      <c r="B5" s="6" t="s">
        <v>65</v>
      </c>
      <c r="C5" s="6" t="str">
        <f>IF(M6=M7,"ok","ng")</f>
        <v>ok</v>
      </c>
      <c r="E5" t="s">
        <v>21</v>
      </c>
      <c r="F5" t="s">
        <v>23</v>
      </c>
      <c r="L5" t="s">
        <v>65</v>
      </c>
    </row>
    <row r="6" spans="2:28" x14ac:dyDescent="0.4">
      <c r="B6" s="6" t="s">
        <v>67</v>
      </c>
      <c r="C6" s="6">
        <f>COUNTIF(AK29:AP30,FALSE)</f>
        <v>0</v>
      </c>
      <c r="E6" t="s">
        <v>24</v>
      </c>
      <c r="F6" t="str" cm="1">
        <f t="array" ref="F6">_xll.ExLibris.Json.CreateJsonArrayAsync(E8:J14)</f>
        <v>JsonObject:F530457B-7B3E-434F-BFAE-12901E9A2482</v>
      </c>
      <c r="L6" t="s">
        <v>60</v>
      </c>
      <c r="M6" t="str" cm="1">
        <f t="array" ref="M6">_xll.ExLibris.Json.ShowJsonTextAsync(F1)</f>
        <v>{"trade_code":"money_00001","couter_party":"CP00001","fixed_leg":{"pay_or_recieve":"Receive","cashflows":[{"payment _date":44632,"start_date":44452,"end_date":44632,"day_count_type":"ACT/360","amount":10000000,"fixed_rate":0.001},{"payment _date":44812,"start_date":44632,"end_date":44812,"day_count_type":"ACT/360","amount":11000000,"fixed_rate":0.001},{"payment _date":44992,"start_date":44812,"end_date":44992,"day_count_type":"ACT/360","amount":12000000,"fixed_rate":0.001},{"payment _date":45172,"start_date":44992,"end_date":45172,"day_count_type":"ACT/360","amount":13000000,"fixed_rate":0.001},{"payment _date":45352,"start_date":45172,"end_date":45352,"day_count_type":"ACT/360","amount":14000000,"fixed_rate":0.001},{"payment _date":45532,"start_date":45352,"end_date":45532,"day_count_type":"ACT/360","amount":15000000,"fixed_rate":0.001}]}}</v>
      </c>
    </row>
    <row r="7" spans="2:28" x14ac:dyDescent="0.4">
      <c r="B7" s="6" t="s">
        <v>95</v>
      </c>
      <c r="C7" s="6">
        <f>COUNTIF(AR19:AS21,FALSE)</f>
        <v>0</v>
      </c>
      <c r="L7" t="s">
        <v>66</v>
      </c>
      <c r="M7" t="s">
        <v>182</v>
      </c>
    </row>
    <row r="8" spans="2:28" x14ac:dyDescent="0.4">
      <c r="B8" s="6" t="s">
        <v>96</v>
      </c>
      <c r="C8" s="6">
        <f>COUNTIF(AR30:AS65,FALSE)</f>
        <v>0</v>
      </c>
      <c r="E8" t="s">
        <v>1</v>
      </c>
      <c r="F8" t="s">
        <v>3</v>
      </c>
      <c r="G8" t="s">
        <v>5</v>
      </c>
      <c r="H8" t="s">
        <v>7</v>
      </c>
      <c r="I8" t="s">
        <v>175</v>
      </c>
      <c r="J8" t="s">
        <v>11</v>
      </c>
    </row>
    <row r="9" spans="2:28" x14ac:dyDescent="0.4">
      <c r="B9" s="6" t="s">
        <v>171</v>
      </c>
      <c r="C9" s="6">
        <f>COUNTIF(AR67:AS72,FALSE)</f>
        <v>0</v>
      </c>
      <c r="E9" s="1">
        <f>G9</f>
        <v>44632</v>
      </c>
      <c r="F9" s="1">
        <v>44452</v>
      </c>
      <c r="G9" s="1">
        <f>F9+180</f>
        <v>44632</v>
      </c>
      <c r="H9" t="s">
        <v>9</v>
      </c>
      <c r="I9" s="2">
        <v>10000000</v>
      </c>
      <c r="J9" s="3">
        <v>1E-3</v>
      </c>
    </row>
    <row r="10" spans="2:28" x14ac:dyDescent="0.4">
      <c r="B10" s="6" t="s">
        <v>172</v>
      </c>
      <c r="C10" s="6">
        <f>COUNTIF(AR74:AS79,FALSE)</f>
        <v>0</v>
      </c>
      <c r="E10" s="1">
        <f>G10</f>
        <v>44812</v>
      </c>
      <c r="F10" s="1">
        <f>G9</f>
        <v>44632</v>
      </c>
      <c r="G10" s="1">
        <f>F10+180</f>
        <v>44812</v>
      </c>
      <c r="H10" t="s">
        <v>9</v>
      </c>
      <c r="I10" s="2">
        <f>I9+1000000</f>
        <v>11000000</v>
      </c>
      <c r="J10" s="3">
        <v>1E-3</v>
      </c>
    </row>
    <row r="11" spans="2:28" x14ac:dyDescent="0.4">
      <c r="B11" s="6" t="s">
        <v>173</v>
      </c>
      <c r="C11" s="6">
        <f>COUNTIF(AK32:AN38,FALSE)</f>
        <v>0</v>
      </c>
      <c r="E11" s="1">
        <f t="shared" ref="E11:E14" si="0">G11</f>
        <v>44992</v>
      </c>
      <c r="F11" s="1">
        <f t="shared" ref="F11:F14" si="1">G10</f>
        <v>44812</v>
      </c>
      <c r="G11" s="1">
        <f t="shared" ref="G11:G14" si="2">F11+180</f>
        <v>44992</v>
      </c>
      <c r="H11" t="s">
        <v>9</v>
      </c>
      <c r="I11" s="2">
        <f t="shared" ref="I11:I14" si="3">I10+1000000</f>
        <v>12000000</v>
      </c>
      <c r="J11" s="3">
        <v>1E-3</v>
      </c>
    </row>
    <row r="12" spans="2:28" x14ac:dyDescent="0.4">
      <c r="E12" s="1">
        <f t="shared" si="0"/>
        <v>45172</v>
      </c>
      <c r="F12" s="1">
        <f t="shared" si="1"/>
        <v>44992</v>
      </c>
      <c r="G12" s="1">
        <f t="shared" si="2"/>
        <v>45172</v>
      </c>
      <c r="H12" t="s">
        <v>9</v>
      </c>
      <c r="I12" s="2">
        <f t="shared" si="3"/>
        <v>13000000</v>
      </c>
      <c r="J12" s="3">
        <v>1E-3</v>
      </c>
    </row>
    <row r="13" spans="2:28" x14ac:dyDescent="0.4">
      <c r="E13" s="1">
        <f t="shared" si="0"/>
        <v>45352</v>
      </c>
      <c r="F13" s="1">
        <f t="shared" si="1"/>
        <v>45172</v>
      </c>
      <c r="G13" s="1">
        <f t="shared" si="2"/>
        <v>45352</v>
      </c>
      <c r="H13" t="s">
        <v>9</v>
      </c>
      <c r="I13" s="2">
        <f t="shared" si="3"/>
        <v>14000000</v>
      </c>
      <c r="J13" s="3">
        <v>1E-3</v>
      </c>
    </row>
    <row r="14" spans="2:28" x14ac:dyDescent="0.4">
      <c r="E14" s="1">
        <f t="shared" si="0"/>
        <v>45532</v>
      </c>
      <c r="F14" s="1">
        <f t="shared" si="1"/>
        <v>45352</v>
      </c>
      <c r="G14" s="1">
        <f t="shared" si="2"/>
        <v>45532</v>
      </c>
      <c r="H14" t="s">
        <v>9</v>
      </c>
      <c r="I14" s="2">
        <f t="shared" si="3"/>
        <v>15000000</v>
      </c>
      <c r="J14" s="3">
        <v>1E-3</v>
      </c>
    </row>
    <row r="16" spans="2:28" s="4" customFormat="1" ht="18" x14ac:dyDescent="0.4">
      <c r="E16" s="4" t="s">
        <v>60</v>
      </c>
      <c r="S16" s="4" t="s">
        <v>184</v>
      </c>
      <c r="AB16" s="4" t="s">
        <v>185</v>
      </c>
    </row>
    <row r="18" spans="5:45" x14ac:dyDescent="0.4">
      <c r="E18" t="s">
        <v>27</v>
      </c>
      <c r="I18" t="s">
        <v>29</v>
      </c>
      <c r="S18" t="s">
        <v>26</v>
      </c>
      <c r="W18" t="s">
        <v>28</v>
      </c>
      <c r="AG18" t="s">
        <v>26</v>
      </c>
      <c r="AK18" t="s">
        <v>28</v>
      </c>
    </row>
    <row r="19" spans="5:45" x14ac:dyDescent="0.4">
      <c r="E19" t="str" cm="1">
        <f t="array" ref="E19:F57">_xll.ExLibris.Json.GetJsonKeyValuesAsync(F1)</f>
        <v>trade_code</v>
      </c>
      <c r="F19" t="str">
        <v>money_00001</v>
      </c>
      <c r="G19" t="str" cm="1">
        <f t="array" ref="G19">_xll.ExLibris.Json.GetJsonValueAsync($F$1,E19)</f>
        <v>money_00001</v>
      </c>
      <c r="I19" t="str" cm="1">
        <f t="array" ref="I19">_xll.ExLibris.Json.GetJsonValueAsync(F1,E6)</f>
        <v>JsonObject:B6E4D12F-506F-4634-B9AB-00B8642409D6</v>
      </c>
      <c r="P19" t="str" cm="1">
        <f t="array" ref="P19:Q27">_xll.ExLibris.Json.GetJsonKeyValuesAsync(F1,3)</f>
        <v>trade_code</v>
      </c>
      <c r="Q19" t="str">
        <v>money_00001</v>
      </c>
      <c r="S19" t="s">
        <v>12</v>
      </c>
      <c r="T19" t="s">
        <v>14</v>
      </c>
      <c r="U19" t="s">
        <v>14</v>
      </c>
      <c r="AD19" t="s">
        <v>12</v>
      </c>
      <c r="AE19" t="s">
        <v>14</v>
      </c>
      <c r="AG19" t="b">
        <f t="shared" ref="AG19:AG57" si="4">E19=S19</f>
        <v>1</v>
      </c>
      <c r="AH19" t="b">
        <f t="shared" ref="AH19:AH57" si="5">E19=S19</f>
        <v>1</v>
      </c>
      <c r="AI19" t="b">
        <f t="shared" ref="AI19:AI57" si="6">F19=T19</f>
        <v>1</v>
      </c>
      <c r="AR19" t="b">
        <f t="shared" ref="AR19:AS21" si="7">P19=AD19</f>
        <v>1</v>
      </c>
      <c r="AS19" t="b">
        <f t="shared" si="7"/>
        <v>1</v>
      </c>
    </row>
    <row r="20" spans="5:45" x14ac:dyDescent="0.4">
      <c r="E20" t="str">
        <v>couter_party</v>
      </c>
      <c r="F20" t="str">
        <v>CP00001</v>
      </c>
      <c r="G20" t="str" cm="1">
        <f t="array" ref="G20">_xll.ExLibris.Json.GetJsonValueAsync($F$1,E20)</f>
        <v>CP00001</v>
      </c>
      <c r="I20" t="str" cm="1">
        <f t="array" ref="I20:N26">_xll.ExLibris.Json.GetJsonTableAsync(I19)</f>
        <v>payment _date</v>
      </c>
      <c r="J20" t="str">
        <v>start_date</v>
      </c>
      <c r="K20" t="str">
        <v>end_date</v>
      </c>
      <c r="L20" t="str">
        <v>day_count_type</v>
      </c>
      <c r="M20" t="str">
        <v>amount</v>
      </c>
      <c r="N20" t="str">
        <v>fixed_rate</v>
      </c>
      <c r="P20" t="str">
        <v>couter_party</v>
      </c>
      <c r="Q20" t="str">
        <v>CP00001</v>
      </c>
      <c r="S20" t="s">
        <v>16</v>
      </c>
      <c r="T20" t="s">
        <v>18</v>
      </c>
      <c r="U20" t="s">
        <v>18</v>
      </c>
      <c r="W20" t="s">
        <v>0</v>
      </c>
      <c r="X20" t="s">
        <v>2</v>
      </c>
      <c r="Y20" t="s">
        <v>4</v>
      </c>
      <c r="Z20" t="s">
        <v>6</v>
      </c>
      <c r="AA20" t="s">
        <v>174</v>
      </c>
      <c r="AB20" t="s">
        <v>10</v>
      </c>
      <c r="AD20" t="s">
        <v>16</v>
      </c>
      <c r="AE20" t="s">
        <v>18</v>
      </c>
      <c r="AG20" t="b">
        <f t="shared" si="4"/>
        <v>1</v>
      </c>
      <c r="AH20" t="b">
        <f t="shared" si="5"/>
        <v>1</v>
      </c>
      <c r="AI20" t="b">
        <f t="shared" si="6"/>
        <v>1</v>
      </c>
      <c r="AK20" t="b">
        <f t="shared" ref="AK20:AP26" si="8">I20=W20</f>
        <v>1</v>
      </c>
      <c r="AL20" t="b">
        <f t="shared" si="8"/>
        <v>1</v>
      </c>
      <c r="AM20" t="b">
        <f t="shared" si="8"/>
        <v>1</v>
      </c>
      <c r="AN20" t="b">
        <f t="shared" si="8"/>
        <v>1</v>
      </c>
      <c r="AO20" t="b">
        <f t="shared" si="8"/>
        <v>1</v>
      </c>
      <c r="AP20" t="b">
        <f t="shared" si="8"/>
        <v>1</v>
      </c>
      <c r="AR20" t="b">
        <f t="shared" si="7"/>
        <v>1</v>
      </c>
      <c r="AS20" t="b">
        <f t="shared" si="7"/>
        <v>1</v>
      </c>
    </row>
    <row r="21" spans="5:45" x14ac:dyDescent="0.4">
      <c r="E21" t="str">
        <v>fixed_leg.pay_or_recieve</v>
      </c>
      <c r="F21" t="str">
        <v>Receive</v>
      </c>
      <c r="G21" t="str" cm="1">
        <f t="array" ref="G21">_xll.ExLibris.Json.GetJsonValueAsync($F$1,E21)</f>
        <v>Receive</v>
      </c>
      <c r="I21">
        <v>44632</v>
      </c>
      <c r="J21">
        <v>44452</v>
      </c>
      <c r="K21">
        <v>44632</v>
      </c>
      <c r="L21" t="str">
        <v>ACT/360</v>
      </c>
      <c r="M21">
        <v>10000000</v>
      </c>
      <c r="N21">
        <v>1E-3</v>
      </c>
      <c r="P21" t="str">
        <v>fixed_leg.pay_or_recieve</v>
      </c>
      <c r="Q21" t="str">
        <v>Receive</v>
      </c>
      <c r="S21" t="s">
        <v>20</v>
      </c>
      <c r="T21" t="s">
        <v>22</v>
      </c>
      <c r="U21" t="s">
        <v>22</v>
      </c>
      <c r="W21">
        <v>44632</v>
      </c>
      <c r="X21">
        <v>44452</v>
      </c>
      <c r="Y21">
        <v>44632</v>
      </c>
      <c r="Z21" t="s">
        <v>8</v>
      </c>
      <c r="AA21">
        <v>10000000</v>
      </c>
      <c r="AB21">
        <v>1E-3</v>
      </c>
      <c r="AD21" t="s">
        <v>20</v>
      </c>
      <c r="AE21" t="s">
        <v>22</v>
      </c>
      <c r="AG21" t="b">
        <f t="shared" si="4"/>
        <v>1</v>
      </c>
      <c r="AH21" t="b">
        <f t="shared" si="5"/>
        <v>1</v>
      </c>
      <c r="AI21" t="b">
        <f t="shared" si="6"/>
        <v>1</v>
      </c>
      <c r="AK21" t="b">
        <f t="shared" si="8"/>
        <v>1</v>
      </c>
      <c r="AL21" t="b">
        <f t="shared" si="8"/>
        <v>1</v>
      </c>
      <c r="AM21" t="b">
        <f t="shared" si="8"/>
        <v>1</v>
      </c>
      <c r="AN21" t="b">
        <f t="shared" si="8"/>
        <v>1</v>
      </c>
      <c r="AO21" t="b">
        <f t="shared" si="8"/>
        <v>1</v>
      </c>
      <c r="AP21" t="b">
        <f t="shared" si="8"/>
        <v>1</v>
      </c>
      <c r="AR21" t="b">
        <f t="shared" si="7"/>
        <v>1</v>
      </c>
      <c r="AS21" t="b">
        <f t="shared" si="7"/>
        <v>1</v>
      </c>
    </row>
    <row r="22" spans="5:45" x14ac:dyDescent="0.4">
      <c r="E22" t="str">
        <v>fixed_leg.cashflows.[0].payment _date</v>
      </c>
      <c r="F22">
        <v>44632</v>
      </c>
      <c r="G22" cm="1">
        <f t="array" ref="G22">_xll.ExLibris.Json.GetJsonValueAsync($F$1,E22)</f>
        <v>44632</v>
      </c>
      <c r="I22">
        <v>44812</v>
      </c>
      <c r="J22">
        <v>44632</v>
      </c>
      <c r="K22">
        <v>44812</v>
      </c>
      <c r="L22" t="str">
        <v>ACT/360</v>
      </c>
      <c r="M22">
        <v>11000000</v>
      </c>
      <c r="N22">
        <v>1E-3</v>
      </c>
      <c r="P22" t="str">
        <v>fixed_leg.cashflows.[0]</v>
      </c>
      <c r="Q22" t="str">
        <v>JsonObject:D52D8C09-F125-4B92-AFAB-36F9EC2599D0</v>
      </c>
      <c r="S22" t="s">
        <v>30</v>
      </c>
      <c r="T22">
        <v>44632</v>
      </c>
      <c r="U22">
        <v>44632</v>
      </c>
      <c r="W22">
        <v>44812</v>
      </c>
      <c r="X22">
        <v>44632</v>
      </c>
      <c r="Y22">
        <v>44812</v>
      </c>
      <c r="Z22" t="s">
        <v>8</v>
      </c>
      <c r="AA22">
        <v>11000000</v>
      </c>
      <c r="AB22">
        <v>1E-3</v>
      </c>
      <c r="AG22" t="b">
        <f t="shared" si="4"/>
        <v>1</v>
      </c>
      <c r="AH22" t="b">
        <f t="shared" si="5"/>
        <v>1</v>
      </c>
      <c r="AI22" t="b">
        <f t="shared" si="6"/>
        <v>1</v>
      </c>
      <c r="AK22" t="b">
        <f t="shared" si="8"/>
        <v>1</v>
      </c>
      <c r="AL22" t="b">
        <f t="shared" si="8"/>
        <v>1</v>
      </c>
      <c r="AM22" t="b">
        <f t="shared" si="8"/>
        <v>1</v>
      </c>
      <c r="AN22" t="b">
        <f t="shared" si="8"/>
        <v>1</v>
      </c>
      <c r="AO22" t="b">
        <f t="shared" si="8"/>
        <v>1</v>
      </c>
      <c r="AP22" t="b">
        <f t="shared" si="8"/>
        <v>1</v>
      </c>
    </row>
    <row r="23" spans="5:45" x14ac:dyDescent="0.4">
      <c r="E23" t="str">
        <v>fixed_leg.cashflows.[0].start_date</v>
      </c>
      <c r="F23">
        <v>44452</v>
      </c>
      <c r="G23" cm="1">
        <f t="array" ref="G23">_xll.ExLibris.Json.GetJsonValueAsync($F$1,E23)</f>
        <v>44452</v>
      </c>
      <c r="I23">
        <v>44992</v>
      </c>
      <c r="J23">
        <v>44812</v>
      </c>
      <c r="K23">
        <v>44992</v>
      </c>
      <c r="L23" t="str">
        <v>ACT/360</v>
      </c>
      <c r="M23">
        <v>12000000</v>
      </c>
      <c r="N23">
        <v>1E-3</v>
      </c>
      <c r="P23" t="str">
        <v>fixed_leg.cashflows.[1]</v>
      </c>
      <c r="Q23" t="str">
        <v>JsonObject:7BEAF70D-F303-40C7-8930-C853BDAABC8E</v>
      </c>
      <c r="S23" t="s">
        <v>31</v>
      </c>
      <c r="T23">
        <v>44452</v>
      </c>
      <c r="U23">
        <v>44452</v>
      </c>
      <c r="W23">
        <v>44992</v>
      </c>
      <c r="X23">
        <v>44812</v>
      </c>
      <c r="Y23">
        <v>44992</v>
      </c>
      <c r="Z23" t="s">
        <v>8</v>
      </c>
      <c r="AA23">
        <v>12000000</v>
      </c>
      <c r="AB23">
        <v>1E-3</v>
      </c>
      <c r="AG23" t="b">
        <f t="shared" si="4"/>
        <v>1</v>
      </c>
      <c r="AH23" t="b">
        <f t="shared" si="5"/>
        <v>1</v>
      </c>
      <c r="AI23" t="b">
        <f t="shared" si="6"/>
        <v>1</v>
      </c>
      <c r="AK23" t="b">
        <f t="shared" si="8"/>
        <v>1</v>
      </c>
      <c r="AL23" t="b">
        <f t="shared" si="8"/>
        <v>1</v>
      </c>
      <c r="AM23" t="b">
        <f t="shared" si="8"/>
        <v>1</v>
      </c>
      <c r="AN23" t="b">
        <f t="shared" si="8"/>
        <v>1</v>
      </c>
      <c r="AO23" t="b">
        <f t="shared" si="8"/>
        <v>1</v>
      </c>
      <c r="AP23" t="b">
        <f t="shared" si="8"/>
        <v>1</v>
      </c>
    </row>
    <row r="24" spans="5:45" x14ac:dyDescent="0.4">
      <c r="E24" t="str">
        <v>fixed_leg.cashflows.[0].end_date</v>
      </c>
      <c r="F24">
        <v>44632</v>
      </c>
      <c r="G24" cm="1">
        <f t="array" ref="G24">_xll.ExLibris.Json.GetJsonValueAsync($F$1,E24)</f>
        <v>44632</v>
      </c>
      <c r="I24">
        <v>45172</v>
      </c>
      <c r="J24">
        <v>44992</v>
      </c>
      <c r="K24">
        <v>45172</v>
      </c>
      <c r="L24" t="str">
        <v>ACT/360</v>
      </c>
      <c r="M24">
        <v>13000000</v>
      </c>
      <c r="N24">
        <v>1E-3</v>
      </c>
      <c r="P24" t="str">
        <v>fixed_leg.cashflows.[2]</v>
      </c>
      <c r="Q24" t="str">
        <v>JsonObject:E82F81DC-37FE-4A3E-B1E4-C11122917FD8</v>
      </c>
      <c r="S24" t="s">
        <v>32</v>
      </c>
      <c r="T24">
        <v>44632</v>
      </c>
      <c r="U24">
        <v>44632</v>
      </c>
      <c r="W24">
        <v>45172</v>
      </c>
      <c r="X24">
        <v>44992</v>
      </c>
      <c r="Y24">
        <v>45172</v>
      </c>
      <c r="Z24" t="s">
        <v>8</v>
      </c>
      <c r="AA24">
        <v>13000000</v>
      </c>
      <c r="AB24">
        <v>1E-3</v>
      </c>
      <c r="AG24" t="b">
        <f t="shared" si="4"/>
        <v>1</v>
      </c>
      <c r="AH24" t="b">
        <f t="shared" si="5"/>
        <v>1</v>
      </c>
      <c r="AI24" t="b">
        <f t="shared" si="6"/>
        <v>1</v>
      </c>
      <c r="AK24" t="b">
        <f t="shared" si="8"/>
        <v>1</v>
      </c>
      <c r="AL24" t="b">
        <f t="shared" si="8"/>
        <v>1</v>
      </c>
      <c r="AM24" t="b">
        <f t="shared" si="8"/>
        <v>1</v>
      </c>
      <c r="AN24" t="b">
        <f t="shared" si="8"/>
        <v>1</v>
      </c>
      <c r="AO24" t="b">
        <f t="shared" si="8"/>
        <v>1</v>
      </c>
      <c r="AP24" t="b">
        <f t="shared" si="8"/>
        <v>1</v>
      </c>
    </row>
    <row r="25" spans="5:45" x14ac:dyDescent="0.4">
      <c r="E25" t="str">
        <v>fixed_leg.cashflows.[0].day_count_type</v>
      </c>
      <c r="F25" t="str">
        <v>ACT/360</v>
      </c>
      <c r="G25" t="str" cm="1">
        <f t="array" ref="G25">_xll.ExLibris.Json.GetJsonValueAsync($F$1,E25)</f>
        <v>ACT/360</v>
      </c>
      <c r="I25">
        <v>45352</v>
      </c>
      <c r="J25">
        <v>45172</v>
      </c>
      <c r="K25">
        <v>45352</v>
      </c>
      <c r="L25" t="str">
        <v>ACT/360</v>
      </c>
      <c r="M25">
        <v>14000000</v>
      </c>
      <c r="N25">
        <v>1E-3</v>
      </c>
      <c r="P25" t="str">
        <v>fixed_leg.cashflows.[3]</v>
      </c>
      <c r="Q25" t="str">
        <v>JsonObject:12D8F8B5-0484-4360-B2AC-EC5EA8687234</v>
      </c>
      <c r="S25" t="s">
        <v>33</v>
      </c>
      <c r="T25" t="s">
        <v>8</v>
      </c>
      <c r="U25" t="s">
        <v>8</v>
      </c>
      <c r="W25">
        <v>45352</v>
      </c>
      <c r="X25">
        <v>45172</v>
      </c>
      <c r="Y25">
        <v>45352</v>
      </c>
      <c r="Z25" t="s">
        <v>8</v>
      </c>
      <c r="AA25">
        <v>14000000</v>
      </c>
      <c r="AB25">
        <v>1E-3</v>
      </c>
      <c r="AG25" t="b">
        <f t="shared" si="4"/>
        <v>1</v>
      </c>
      <c r="AH25" t="b">
        <f t="shared" si="5"/>
        <v>1</v>
      </c>
      <c r="AI25" t="b">
        <f t="shared" si="6"/>
        <v>1</v>
      </c>
      <c r="AK25" t="b">
        <f t="shared" si="8"/>
        <v>1</v>
      </c>
      <c r="AL25" t="b">
        <f t="shared" si="8"/>
        <v>1</v>
      </c>
      <c r="AM25" t="b">
        <f t="shared" si="8"/>
        <v>1</v>
      </c>
      <c r="AN25" t="b">
        <f t="shared" si="8"/>
        <v>1</v>
      </c>
      <c r="AO25" t="b">
        <f t="shared" si="8"/>
        <v>1</v>
      </c>
      <c r="AP25" t="b">
        <f t="shared" si="8"/>
        <v>1</v>
      </c>
    </row>
    <row r="26" spans="5:45" x14ac:dyDescent="0.4">
      <c r="E26" t="str">
        <v>fixed_leg.cashflows.[0].amount</v>
      </c>
      <c r="F26">
        <v>10000000</v>
      </c>
      <c r="G26" cm="1">
        <f t="array" ref="G26">_xll.ExLibris.Json.GetJsonValueAsync($F$1,E26)</f>
        <v>10000000</v>
      </c>
      <c r="I26">
        <v>45532</v>
      </c>
      <c r="J26">
        <v>45352</v>
      </c>
      <c r="K26">
        <v>45532</v>
      </c>
      <c r="L26" t="str">
        <v>ACT/360</v>
      </c>
      <c r="M26">
        <v>15000000</v>
      </c>
      <c r="N26">
        <v>1E-3</v>
      </c>
      <c r="P26" t="str">
        <v>fixed_leg.cashflows.[4]</v>
      </c>
      <c r="Q26" t="str">
        <v>JsonObject:2BB2D9AF-6CEC-43B4-BE5B-AA91ADA0E770</v>
      </c>
      <c r="S26" t="s">
        <v>176</v>
      </c>
      <c r="T26">
        <v>10000000</v>
      </c>
      <c r="U26">
        <v>10000000</v>
      </c>
      <c r="W26">
        <v>45532</v>
      </c>
      <c r="X26">
        <v>45352</v>
      </c>
      <c r="Y26">
        <v>45532</v>
      </c>
      <c r="Z26" t="s">
        <v>8</v>
      </c>
      <c r="AA26">
        <v>15000000</v>
      </c>
      <c r="AB26">
        <v>1E-3</v>
      </c>
      <c r="AG26" t="b">
        <f t="shared" si="4"/>
        <v>1</v>
      </c>
      <c r="AH26" t="b">
        <f t="shared" si="5"/>
        <v>1</v>
      </c>
      <c r="AI26" t="b">
        <f t="shared" si="6"/>
        <v>1</v>
      </c>
      <c r="AK26" t="b">
        <f t="shared" si="8"/>
        <v>1</v>
      </c>
      <c r="AL26" t="b">
        <f t="shared" si="8"/>
        <v>1</v>
      </c>
      <c r="AM26" t="b">
        <f t="shared" si="8"/>
        <v>1</v>
      </c>
      <c r="AN26" t="b">
        <f t="shared" si="8"/>
        <v>1</v>
      </c>
      <c r="AO26" t="b">
        <f t="shared" si="8"/>
        <v>1</v>
      </c>
      <c r="AP26" t="b">
        <f t="shared" si="8"/>
        <v>1</v>
      </c>
    </row>
    <row r="27" spans="5:45" x14ac:dyDescent="0.4">
      <c r="E27" t="str">
        <v>fixed_leg.cashflows.[0].fixed_rate</v>
      </c>
      <c r="F27">
        <v>1E-3</v>
      </c>
      <c r="G27" cm="1">
        <f t="array" ref="G27">_xll.ExLibris.Json.GetJsonValueAsync($F$1,E27)</f>
        <v>1E-3</v>
      </c>
      <c r="P27" t="str">
        <v>fixed_leg.cashflows.[5]</v>
      </c>
      <c r="Q27" t="str">
        <v>JsonObject:BFE5ECDA-617F-47FF-881E-39A63CD349D8</v>
      </c>
      <c r="S27" t="s">
        <v>34</v>
      </c>
      <c r="T27">
        <v>1E-3</v>
      </c>
      <c r="U27">
        <v>1E-3</v>
      </c>
      <c r="AG27" t="b">
        <f t="shared" si="4"/>
        <v>1</v>
      </c>
      <c r="AH27" t="b">
        <f t="shared" si="5"/>
        <v>1</v>
      </c>
      <c r="AI27" t="b">
        <f t="shared" si="6"/>
        <v>1</v>
      </c>
    </row>
    <row r="28" spans="5:45" x14ac:dyDescent="0.4">
      <c r="E28" t="str">
        <v>fixed_leg.cashflows.[1].payment _date</v>
      </c>
      <c r="F28">
        <v>44812</v>
      </c>
      <c r="G28" cm="1">
        <f t="array" ref="G28">_xll.ExLibris.Json.GetJsonValueAsync($F$1,E28)</f>
        <v>44812</v>
      </c>
      <c r="I28" t="str" cm="1">
        <f t="array" ref="I28">_xll.ExLibris.Json.GetJsonValueAsync(I19,"[2]")</f>
        <v>JsonObject:F189FE5C-8C89-42C9-A297-98386BDB0FD5</v>
      </c>
      <c r="S28" t="s">
        <v>35</v>
      </c>
      <c r="T28">
        <v>44812</v>
      </c>
      <c r="U28">
        <v>44812</v>
      </c>
      <c r="AG28" t="b">
        <f t="shared" si="4"/>
        <v>1</v>
      </c>
      <c r="AH28" t="b">
        <f t="shared" si="5"/>
        <v>1</v>
      </c>
      <c r="AI28" t="b">
        <f t="shared" si="6"/>
        <v>1</v>
      </c>
    </row>
    <row r="29" spans="5:45" x14ac:dyDescent="0.4">
      <c r="E29" t="str">
        <v>fixed_leg.cashflows.[1].start_date</v>
      </c>
      <c r="F29">
        <v>44632</v>
      </c>
      <c r="G29" cm="1">
        <f t="array" ref="G29">_xll.ExLibris.Json.GetJsonValueAsync($F$1,E29)</f>
        <v>44632</v>
      </c>
      <c r="I29" t="str" cm="1">
        <f t="array" ref="I29:N30">_xll.ExLibris.Json.GetJsonTableAsync(I28)</f>
        <v>payment _date</v>
      </c>
      <c r="J29" t="str">
        <v>start_date</v>
      </c>
      <c r="K29" t="str">
        <v>end_date</v>
      </c>
      <c r="L29" t="str">
        <v>day_count_type</v>
      </c>
      <c r="M29" t="str">
        <v>amount</v>
      </c>
      <c r="N29" t="str">
        <v>fixed_rate</v>
      </c>
      <c r="P29" t="str" cm="1">
        <f t="array" ref="P29">_xll.ExLibris.Json.CreateJsonObjectAsync(P22:Q27)</f>
        <v>JsonObject:9E1A475A-6C9E-434B-8488-82965B75B08C</v>
      </c>
      <c r="S29" t="s">
        <v>36</v>
      </c>
      <c r="T29">
        <v>44632</v>
      </c>
      <c r="U29">
        <v>44632</v>
      </c>
      <c r="W29" t="s">
        <v>0</v>
      </c>
      <c r="X29" t="s">
        <v>2</v>
      </c>
      <c r="Y29" t="s">
        <v>4</v>
      </c>
      <c r="Z29" t="s">
        <v>6</v>
      </c>
      <c r="AA29" t="s">
        <v>174</v>
      </c>
      <c r="AB29" t="s">
        <v>10</v>
      </c>
      <c r="AG29" t="b">
        <f t="shared" si="4"/>
        <v>1</v>
      </c>
      <c r="AH29" t="b">
        <f t="shared" si="5"/>
        <v>1</v>
      </c>
      <c r="AI29" t="b">
        <f t="shared" si="6"/>
        <v>1</v>
      </c>
      <c r="AK29" t="b">
        <f t="shared" ref="AK29:AP30" si="9">I29=W29</f>
        <v>1</v>
      </c>
      <c r="AL29" t="b">
        <f t="shared" si="9"/>
        <v>1</v>
      </c>
      <c r="AM29" t="b">
        <f t="shared" si="9"/>
        <v>1</v>
      </c>
      <c r="AN29" t="b">
        <f t="shared" si="9"/>
        <v>1</v>
      </c>
      <c r="AO29" t="b">
        <f t="shared" si="9"/>
        <v>1</v>
      </c>
      <c r="AP29" t="b">
        <f t="shared" si="9"/>
        <v>1</v>
      </c>
    </row>
    <row r="30" spans="5:45" x14ac:dyDescent="0.4">
      <c r="E30" t="str">
        <v>fixed_leg.cashflows.[1].end_date</v>
      </c>
      <c r="F30">
        <v>44812</v>
      </c>
      <c r="G30" cm="1">
        <f t="array" ref="G30">_xll.ExLibris.Json.GetJsonValueAsync($F$1,E30)</f>
        <v>44812</v>
      </c>
      <c r="I30">
        <v>44992</v>
      </c>
      <c r="J30">
        <v>44812</v>
      </c>
      <c r="K30">
        <v>44992</v>
      </c>
      <c r="L30" t="str">
        <v>ACT/360</v>
      </c>
      <c r="M30">
        <v>12000000</v>
      </c>
      <c r="N30">
        <v>1E-3</v>
      </c>
      <c r="P30" t="str" cm="1">
        <f t="array" ref="P30:Q65">_xll.ExLibris.Json.GetJsonKeyValuesAsync(P29)</f>
        <v>fixed_leg.cashflows.[0].payment _date</v>
      </c>
      <c r="Q30">
        <v>44632</v>
      </c>
      <c r="S30" t="s">
        <v>37</v>
      </c>
      <c r="T30">
        <v>44812</v>
      </c>
      <c r="U30">
        <v>44812</v>
      </c>
      <c r="W30">
        <v>44992</v>
      </c>
      <c r="X30">
        <v>44812</v>
      </c>
      <c r="Y30">
        <v>44992</v>
      </c>
      <c r="Z30" t="s">
        <v>8</v>
      </c>
      <c r="AA30">
        <v>12000000</v>
      </c>
      <c r="AB30">
        <v>1E-3</v>
      </c>
      <c r="AD30" t="s">
        <v>30</v>
      </c>
      <c r="AE30">
        <v>44632</v>
      </c>
      <c r="AG30" t="b">
        <f t="shared" si="4"/>
        <v>1</v>
      </c>
      <c r="AH30" t="b">
        <f t="shared" si="5"/>
        <v>1</v>
      </c>
      <c r="AI30" t="b">
        <f t="shared" si="6"/>
        <v>1</v>
      </c>
      <c r="AK30" t="b">
        <f t="shared" si="9"/>
        <v>1</v>
      </c>
      <c r="AL30" t="b">
        <f t="shared" si="9"/>
        <v>1</v>
      </c>
      <c r="AM30" t="b">
        <f t="shared" si="9"/>
        <v>1</v>
      </c>
      <c r="AN30" t="b">
        <f t="shared" si="9"/>
        <v>1</v>
      </c>
      <c r="AO30" t="b">
        <f t="shared" si="9"/>
        <v>1</v>
      </c>
      <c r="AP30" t="b">
        <f t="shared" si="9"/>
        <v>1</v>
      </c>
      <c r="AR30" t="b">
        <f t="shared" ref="AR30:AR64" si="10">P30=AD30</f>
        <v>1</v>
      </c>
      <c r="AS30" t="b">
        <f t="shared" ref="AS30:AS64" si="11">Q30=AE30</f>
        <v>1</v>
      </c>
    </row>
    <row r="31" spans="5:45" x14ac:dyDescent="0.4">
      <c r="E31" t="str">
        <v>fixed_leg.cashflows.[1].day_count_type</v>
      </c>
      <c r="F31" t="str">
        <v>ACT/360</v>
      </c>
      <c r="G31" t="str" cm="1">
        <f t="array" ref="G31">_xll.ExLibris.Json.GetJsonValueAsync($F$1,E31)</f>
        <v>ACT/360</v>
      </c>
      <c r="P31" t="str">
        <v>fixed_leg.cashflows.[0].start_date</v>
      </c>
      <c r="Q31">
        <v>44452</v>
      </c>
      <c r="S31" t="s">
        <v>38</v>
      </c>
      <c r="T31" t="s">
        <v>8</v>
      </c>
      <c r="U31" t="s">
        <v>8</v>
      </c>
      <c r="AD31" t="s">
        <v>31</v>
      </c>
      <c r="AE31">
        <v>44452</v>
      </c>
      <c r="AG31" t="b">
        <f t="shared" si="4"/>
        <v>1</v>
      </c>
      <c r="AH31" t="b">
        <f t="shared" si="5"/>
        <v>1</v>
      </c>
      <c r="AI31" t="b">
        <f t="shared" si="6"/>
        <v>1</v>
      </c>
      <c r="AR31" t="b">
        <f t="shared" si="10"/>
        <v>1</v>
      </c>
      <c r="AS31" t="b">
        <f t="shared" si="11"/>
        <v>1</v>
      </c>
    </row>
    <row r="32" spans="5:45" x14ac:dyDescent="0.4">
      <c r="E32" t="str">
        <v>fixed_leg.cashflows.[1].amount</v>
      </c>
      <c r="F32">
        <v>11000000</v>
      </c>
      <c r="G32" cm="1">
        <f t="array" ref="G32">_xll.ExLibris.Json.GetJsonValueAsync($F$1,E32)</f>
        <v>11000000</v>
      </c>
      <c r="I32" t="str" cm="1">
        <f t="array" ref="I32:L38">_xll.ExLibris.Json.GetJsonTableAsync(I19,E8:H8)</f>
        <v>payment _date</v>
      </c>
      <c r="J32" t="str">
        <v>start_date</v>
      </c>
      <c r="K32" t="str">
        <v>end_date</v>
      </c>
      <c r="L32" t="str">
        <v>day_count_type</v>
      </c>
      <c r="P32" t="str">
        <v>fixed_leg.cashflows.[0].end_date</v>
      </c>
      <c r="Q32">
        <v>44632</v>
      </c>
      <c r="S32" t="s">
        <v>177</v>
      </c>
      <c r="T32">
        <v>11000000</v>
      </c>
      <c r="U32">
        <v>11000000</v>
      </c>
      <c r="W32" t="s">
        <v>0</v>
      </c>
      <c r="X32" t="s">
        <v>2</v>
      </c>
      <c r="Y32" t="s">
        <v>4</v>
      </c>
      <c r="Z32" t="s">
        <v>6</v>
      </c>
      <c r="AD32" t="s">
        <v>32</v>
      </c>
      <c r="AE32">
        <v>44632</v>
      </c>
      <c r="AG32" t="b">
        <f t="shared" si="4"/>
        <v>1</v>
      </c>
      <c r="AH32" t="b">
        <f t="shared" si="5"/>
        <v>1</v>
      </c>
      <c r="AI32" t="b">
        <f t="shared" si="6"/>
        <v>1</v>
      </c>
      <c r="AK32" t="b">
        <f t="shared" ref="AK32:AN38" si="12">I32=W32</f>
        <v>1</v>
      </c>
      <c r="AL32" t="b">
        <f t="shared" si="12"/>
        <v>1</v>
      </c>
      <c r="AM32" t="b">
        <f t="shared" si="12"/>
        <v>1</v>
      </c>
      <c r="AN32" t="b">
        <f t="shared" si="12"/>
        <v>1</v>
      </c>
      <c r="AR32" t="b">
        <f t="shared" si="10"/>
        <v>1</v>
      </c>
      <c r="AS32" t="b">
        <f t="shared" si="11"/>
        <v>1</v>
      </c>
    </row>
    <row r="33" spans="5:45" x14ac:dyDescent="0.4">
      <c r="E33" t="str">
        <v>fixed_leg.cashflows.[1].fixed_rate</v>
      </c>
      <c r="F33">
        <v>1E-3</v>
      </c>
      <c r="G33" cm="1">
        <f t="array" ref="G33">_xll.ExLibris.Json.GetJsonValueAsync($F$1,E33)</f>
        <v>1E-3</v>
      </c>
      <c r="I33">
        <v>44632</v>
      </c>
      <c r="J33">
        <v>44452</v>
      </c>
      <c r="K33">
        <v>44632</v>
      </c>
      <c r="L33" t="str">
        <v>ACT/360</v>
      </c>
      <c r="P33" t="str">
        <v>fixed_leg.cashflows.[0].day_count_type</v>
      </c>
      <c r="Q33" t="str">
        <v>ACT/360</v>
      </c>
      <c r="S33" t="s">
        <v>39</v>
      </c>
      <c r="T33">
        <v>1E-3</v>
      </c>
      <c r="U33">
        <v>1E-3</v>
      </c>
      <c r="W33">
        <v>44632</v>
      </c>
      <c r="X33">
        <v>44452</v>
      </c>
      <c r="Y33">
        <v>44632</v>
      </c>
      <c r="Z33" t="s">
        <v>8</v>
      </c>
      <c r="AD33" t="s">
        <v>33</v>
      </c>
      <c r="AE33" t="s">
        <v>8</v>
      </c>
      <c r="AG33" t="b">
        <f t="shared" si="4"/>
        <v>1</v>
      </c>
      <c r="AH33" t="b">
        <f t="shared" si="5"/>
        <v>1</v>
      </c>
      <c r="AI33" t="b">
        <f t="shared" si="6"/>
        <v>1</v>
      </c>
      <c r="AK33" t="b">
        <f t="shared" si="12"/>
        <v>1</v>
      </c>
      <c r="AL33" t="b">
        <f t="shared" si="12"/>
        <v>1</v>
      </c>
      <c r="AM33" t="b">
        <f t="shared" si="12"/>
        <v>1</v>
      </c>
      <c r="AN33" t="b">
        <f t="shared" si="12"/>
        <v>1</v>
      </c>
      <c r="AR33" t="b">
        <f t="shared" si="10"/>
        <v>1</v>
      </c>
      <c r="AS33" t="b">
        <f t="shared" si="11"/>
        <v>1</v>
      </c>
    </row>
    <row r="34" spans="5:45" x14ac:dyDescent="0.4">
      <c r="E34" t="str">
        <v>fixed_leg.cashflows.[2].payment _date</v>
      </c>
      <c r="F34">
        <v>44992</v>
      </c>
      <c r="G34" cm="1">
        <f t="array" ref="G34">_xll.ExLibris.Json.GetJsonValueAsync($F$1,E34)</f>
        <v>44992</v>
      </c>
      <c r="I34">
        <v>44812</v>
      </c>
      <c r="J34">
        <v>44632</v>
      </c>
      <c r="K34">
        <v>44812</v>
      </c>
      <c r="L34" t="str">
        <v>ACT/360</v>
      </c>
      <c r="P34" t="str">
        <v>fixed_leg.cashflows.[0].amount</v>
      </c>
      <c r="Q34">
        <v>10000000</v>
      </c>
      <c r="S34" t="s">
        <v>40</v>
      </c>
      <c r="T34">
        <v>44992</v>
      </c>
      <c r="U34">
        <v>44992</v>
      </c>
      <c r="W34">
        <v>44812</v>
      </c>
      <c r="X34">
        <v>44632</v>
      </c>
      <c r="Y34">
        <v>44812</v>
      </c>
      <c r="Z34" t="s">
        <v>8</v>
      </c>
      <c r="AD34" t="s">
        <v>176</v>
      </c>
      <c r="AE34">
        <v>10000000</v>
      </c>
      <c r="AG34" t="b">
        <f t="shared" si="4"/>
        <v>1</v>
      </c>
      <c r="AH34" t="b">
        <f t="shared" si="5"/>
        <v>1</v>
      </c>
      <c r="AI34" t="b">
        <f t="shared" si="6"/>
        <v>1</v>
      </c>
      <c r="AK34" t="b">
        <f t="shared" si="12"/>
        <v>1</v>
      </c>
      <c r="AL34" t="b">
        <f t="shared" si="12"/>
        <v>1</v>
      </c>
      <c r="AM34" t="b">
        <f t="shared" si="12"/>
        <v>1</v>
      </c>
      <c r="AN34" t="b">
        <f t="shared" si="12"/>
        <v>1</v>
      </c>
      <c r="AR34" t="b">
        <f t="shared" si="10"/>
        <v>1</v>
      </c>
      <c r="AS34" t="b">
        <f t="shared" si="11"/>
        <v>1</v>
      </c>
    </row>
    <row r="35" spans="5:45" x14ac:dyDescent="0.4">
      <c r="E35" t="str">
        <v>fixed_leg.cashflows.[2].start_date</v>
      </c>
      <c r="F35">
        <v>44812</v>
      </c>
      <c r="G35" cm="1">
        <f t="array" ref="G35">_xll.ExLibris.Json.GetJsonValueAsync($F$1,E35)</f>
        <v>44812</v>
      </c>
      <c r="I35">
        <v>44992</v>
      </c>
      <c r="J35">
        <v>44812</v>
      </c>
      <c r="K35">
        <v>44992</v>
      </c>
      <c r="L35" t="str">
        <v>ACT/360</v>
      </c>
      <c r="P35" t="str">
        <v>fixed_leg.cashflows.[0].fixed_rate</v>
      </c>
      <c r="Q35">
        <v>1E-3</v>
      </c>
      <c r="S35" t="s">
        <v>41</v>
      </c>
      <c r="T35">
        <v>44812</v>
      </c>
      <c r="U35">
        <v>44812</v>
      </c>
      <c r="W35">
        <v>44992</v>
      </c>
      <c r="X35">
        <v>44812</v>
      </c>
      <c r="Y35">
        <v>44992</v>
      </c>
      <c r="Z35" t="s">
        <v>8</v>
      </c>
      <c r="AD35" t="s">
        <v>34</v>
      </c>
      <c r="AE35">
        <v>1E-3</v>
      </c>
      <c r="AG35" t="b">
        <f t="shared" si="4"/>
        <v>1</v>
      </c>
      <c r="AH35" t="b">
        <f t="shared" si="5"/>
        <v>1</v>
      </c>
      <c r="AI35" t="b">
        <f t="shared" si="6"/>
        <v>1</v>
      </c>
      <c r="AK35" t="b">
        <f t="shared" si="12"/>
        <v>1</v>
      </c>
      <c r="AL35" t="b">
        <f t="shared" si="12"/>
        <v>1</v>
      </c>
      <c r="AM35" t="b">
        <f t="shared" si="12"/>
        <v>1</v>
      </c>
      <c r="AN35" t="b">
        <f t="shared" si="12"/>
        <v>1</v>
      </c>
      <c r="AR35" t="b">
        <f t="shared" si="10"/>
        <v>1</v>
      </c>
      <c r="AS35" t="b">
        <f t="shared" si="11"/>
        <v>1</v>
      </c>
    </row>
    <row r="36" spans="5:45" x14ac:dyDescent="0.4">
      <c r="E36" t="str">
        <v>fixed_leg.cashflows.[2].end_date</v>
      </c>
      <c r="F36">
        <v>44992</v>
      </c>
      <c r="G36" cm="1">
        <f t="array" ref="G36">_xll.ExLibris.Json.GetJsonValueAsync($F$1,E36)</f>
        <v>44992</v>
      </c>
      <c r="I36">
        <v>45172</v>
      </c>
      <c r="J36">
        <v>44992</v>
      </c>
      <c r="K36">
        <v>45172</v>
      </c>
      <c r="L36" t="str">
        <v>ACT/360</v>
      </c>
      <c r="P36" t="str">
        <v>fixed_leg.cashflows.[1].payment _date</v>
      </c>
      <c r="Q36">
        <v>44812</v>
      </c>
      <c r="S36" t="s">
        <v>42</v>
      </c>
      <c r="T36">
        <v>44992</v>
      </c>
      <c r="U36">
        <v>44992</v>
      </c>
      <c r="W36">
        <v>45172</v>
      </c>
      <c r="X36">
        <v>44992</v>
      </c>
      <c r="Y36">
        <v>45172</v>
      </c>
      <c r="Z36" t="s">
        <v>8</v>
      </c>
      <c r="AD36" t="s">
        <v>35</v>
      </c>
      <c r="AE36">
        <v>44812</v>
      </c>
      <c r="AG36" t="b">
        <f t="shared" si="4"/>
        <v>1</v>
      </c>
      <c r="AH36" t="b">
        <f t="shared" si="5"/>
        <v>1</v>
      </c>
      <c r="AI36" t="b">
        <f t="shared" si="6"/>
        <v>1</v>
      </c>
      <c r="AK36" t="b">
        <f t="shared" si="12"/>
        <v>1</v>
      </c>
      <c r="AL36" t="b">
        <f t="shared" si="12"/>
        <v>1</v>
      </c>
      <c r="AM36" t="b">
        <f t="shared" si="12"/>
        <v>1</v>
      </c>
      <c r="AN36" t="b">
        <f t="shared" si="12"/>
        <v>1</v>
      </c>
      <c r="AR36" t="b">
        <f t="shared" si="10"/>
        <v>1</v>
      </c>
      <c r="AS36" t="b">
        <f t="shared" si="11"/>
        <v>1</v>
      </c>
    </row>
    <row r="37" spans="5:45" x14ac:dyDescent="0.4">
      <c r="E37" t="str">
        <v>fixed_leg.cashflows.[2].day_count_type</v>
      </c>
      <c r="F37" t="str">
        <v>ACT/360</v>
      </c>
      <c r="G37" t="str" cm="1">
        <f t="array" ref="G37">_xll.ExLibris.Json.GetJsonValueAsync($F$1,E37)</f>
        <v>ACT/360</v>
      </c>
      <c r="I37">
        <v>45352</v>
      </c>
      <c r="J37">
        <v>45172</v>
      </c>
      <c r="K37">
        <v>45352</v>
      </c>
      <c r="L37" t="str">
        <v>ACT/360</v>
      </c>
      <c r="P37" t="str">
        <v>fixed_leg.cashflows.[1].start_date</v>
      </c>
      <c r="Q37">
        <v>44632</v>
      </c>
      <c r="S37" t="s">
        <v>43</v>
      </c>
      <c r="T37" t="s">
        <v>8</v>
      </c>
      <c r="U37" t="s">
        <v>8</v>
      </c>
      <c r="W37">
        <v>45352</v>
      </c>
      <c r="X37">
        <v>45172</v>
      </c>
      <c r="Y37">
        <v>45352</v>
      </c>
      <c r="Z37" t="s">
        <v>8</v>
      </c>
      <c r="AD37" t="s">
        <v>36</v>
      </c>
      <c r="AE37">
        <v>44632</v>
      </c>
      <c r="AG37" t="b">
        <f t="shared" si="4"/>
        <v>1</v>
      </c>
      <c r="AH37" t="b">
        <f t="shared" si="5"/>
        <v>1</v>
      </c>
      <c r="AI37" t="b">
        <f t="shared" si="6"/>
        <v>1</v>
      </c>
      <c r="AK37" t="b">
        <f t="shared" si="12"/>
        <v>1</v>
      </c>
      <c r="AL37" t="b">
        <f t="shared" si="12"/>
        <v>1</v>
      </c>
      <c r="AM37" t="b">
        <f t="shared" si="12"/>
        <v>1</v>
      </c>
      <c r="AN37" t="b">
        <f t="shared" si="12"/>
        <v>1</v>
      </c>
      <c r="AR37" t="b">
        <f t="shared" si="10"/>
        <v>1</v>
      </c>
      <c r="AS37" t="b">
        <f t="shared" si="11"/>
        <v>1</v>
      </c>
    </row>
    <row r="38" spans="5:45" x14ac:dyDescent="0.4">
      <c r="E38" t="str">
        <v>fixed_leg.cashflows.[2].amount</v>
      </c>
      <c r="F38">
        <v>12000000</v>
      </c>
      <c r="G38" cm="1">
        <f t="array" ref="G38">_xll.ExLibris.Json.GetJsonValueAsync($F$1,E38)</f>
        <v>12000000</v>
      </c>
      <c r="I38">
        <v>45532</v>
      </c>
      <c r="J38">
        <v>45352</v>
      </c>
      <c r="K38">
        <v>45532</v>
      </c>
      <c r="L38" t="str">
        <v>ACT/360</v>
      </c>
      <c r="P38" t="str">
        <v>fixed_leg.cashflows.[1].end_date</v>
      </c>
      <c r="Q38">
        <v>44812</v>
      </c>
      <c r="S38" t="s">
        <v>178</v>
      </c>
      <c r="T38">
        <v>12000000</v>
      </c>
      <c r="U38">
        <v>12000000</v>
      </c>
      <c r="W38">
        <v>45532</v>
      </c>
      <c r="X38">
        <v>45352</v>
      </c>
      <c r="Y38">
        <v>45532</v>
      </c>
      <c r="Z38" t="s">
        <v>8</v>
      </c>
      <c r="AD38" t="s">
        <v>37</v>
      </c>
      <c r="AE38">
        <v>44812</v>
      </c>
      <c r="AG38" t="b">
        <f t="shared" si="4"/>
        <v>1</v>
      </c>
      <c r="AH38" t="b">
        <f t="shared" si="5"/>
        <v>1</v>
      </c>
      <c r="AI38" t="b">
        <f t="shared" si="6"/>
        <v>1</v>
      </c>
      <c r="AK38" t="b">
        <f t="shared" si="12"/>
        <v>1</v>
      </c>
      <c r="AL38" t="b">
        <f t="shared" si="12"/>
        <v>1</v>
      </c>
      <c r="AM38" t="b">
        <f t="shared" si="12"/>
        <v>1</v>
      </c>
      <c r="AN38" t="b">
        <f t="shared" si="12"/>
        <v>1</v>
      </c>
      <c r="AR38" t="b">
        <f t="shared" si="10"/>
        <v>1</v>
      </c>
      <c r="AS38" t="b">
        <f t="shared" si="11"/>
        <v>1</v>
      </c>
    </row>
    <row r="39" spans="5:45" x14ac:dyDescent="0.4">
      <c r="E39" t="str">
        <v>fixed_leg.cashflows.[2].fixed_rate</v>
      </c>
      <c r="F39">
        <v>1E-3</v>
      </c>
      <c r="G39" cm="1">
        <f t="array" ref="G39">_xll.ExLibris.Json.GetJsonValueAsync($F$1,E39)</f>
        <v>1E-3</v>
      </c>
      <c r="P39" t="str">
        <v>fixed_leg.cashflows.[1].day_count_type</v>
      </c>
      <c r="Q39" t="str">
        <v>ACT/360</v>
      </c>
      <c r="S39" t="s">
        <v>44</v>
      </c>
      <c r="T39">
        <v>1E-3</v>
      </c>
      <c r="U39">
        <v>1E-3</v>
      </c>
      <c r="AD39" t="s">
        <v>38</v>
      </c>
      <c r="AE39" t="s">
        <v>8</v>
      </c>
      <c r="AG39" t="b">
        <f t="shared" si="4"/>
        <v>1</v>
      </c>
      <c r="AH39" t="b">
        <f t="shared" si="5"/>
        <v>1</v>
      </c>
      <c r="AI39" t="b">
        <f t="shared" si="6"/>
        <v>1</v>
      </c>
      <c r="AR39" t="b">
        <f t="shared" si="10"/>
        <v>1</v>
      </c>
      <c r="AS39" t="b">
        <f t="shared" si="11"/>
        <v>1</v>
      </c>
    </row>
    <row r="40" spans="5:45" x14ac:dyDescent="0.4">
      <c r="E40" t="str">
        <v>fixed_leg.cashflows.[3].payment _date</v>
      </c>
      <c r="F40">
        <v>45172</v>
      </c>
      <c r="G40" cm="1">
        <f t="array" ref="G40">_xll.ExLibris.Json.GetJsonValueAsync($F$1,E40)</f>
        <v>45172</v>
      </c>
      <c r="P40" t="str">
        <v>fixed_leg.cashflows.[1].amount</v>
      </c>
      <c r="Q40">
        <v>11000000</v>
      </c>
      <c r="S40" t="s">
        <v>45</v>
      </c>
      <c r="T40">
        <v>45172</v>
      </c>
      <c r="U40">
        <v>45172</v>
      </c>
      <c r="AD40" t="s">
        <v>177</v>
      </c>
      <c r="AE40">
        <v>11000000</v>
      </c>
      <c r="AG40" t="b">
        <f t="shared" si="4"/>
        <v>1</v>
      </c>
      <c r="AH40" t="b">
        <f t="shared" si="5"/>
        <v>1</v>
      </c>
      <c r="AI40" t="b">
        <f t="shared" si="6"/>
        <v>1</v>
      </c>
      <c r="AR40" t="b">
        <f t="shared" si="10"/>
        <v>1</v>
      </c>
      <c r="AS40" t="b">
        <f t="shared" si="11"/>
        <v>1</v>
      </c>
    </row>
    <row r="41" spans="5:45" x14ac:dyDescent="0.4">
      <c r="E41" t="str">
        <v>fixed_leg.cashflows.[3].start_date</v>
      </c>
      <c r="F41">
        <v>44992</v>
      </c>
      <c r="G41" cm="1">
        <f t="array" ref="G41">_xll.ExLibris.Json.GetJsonValueAsync($F$1,E41)</f>
        <v>44992</v>
      </c>
      <c r="P41" t="str">
        <v>fixed_leg.cashflows.[1].fixed_rate</v>
      </c>
      <c r="Q41">
        <v>1E-3</v>
      </c>
      <c r="S41" t="s">
        <v>46</v>
      </c>
      <c r="T41">
        <v>44992</v>
      </c>
      <c r="U41">
        <v>44992</v>
      </c>
      <c r="AD41" t="s">
        <v>39</v>
      </c>
      <c r="AE41">
        <v>1E-3</v>
      </c>
      <c r="AG41" t="b">
        <f t="shared" si="4"/>
        <v>1</v>
      </c>
      <c r="AH41" t="b">
        <f t="shared" si="5"/>
        <v>1</v>
      </c>
      <c r="AI41" t="b">
        <f t="shared" si="6"/>
        <v>1</v>
      </c>
      <c r="AR41" t="b">
        <f t="shared" si="10"/>
        <v>1</v>
      </c>
      <c r="AS41" t="b">
        <f t="shared" si="11"/>
        <v>1</v>
      </c>
    </row>
    <row r="42" spans="5:45" x14ac:dyDescent="0.4">
      <c r="E42" t="str">
        <v>fixed_leg.cashflows.[3].end_date</v>
      </c>
      <c r="F42">
        <v>45172</v>
      </c>
      <c r="G42" cm="1">
        <f t="array" ref="G42">_xll.ExLibris.Json.GetJsonValueAsync($F$1,E42)</f>
        <v>45172</v>
      </c>
      <c r="P42" t="str">
        <v>fixed_leg.cashflows.[2].payment _date</v>
      </c>
      <c r="Q42">
        <v>44992</v>
      </c>
      <c r="S42" t="s">
        <v>47</v>
      </c>
      <c r="T42">
        <v>45172</v>
      </c>
      <c r="U42">
        <v>45172</v>
      </c>
      <c r="AD42" t="s">
        <v>40</v>
      </c>
      <c r="AE42">
        <v>44992</v>
      </c>
      <c r="AG42" t="b">
        <f t="shared" si="4"/>
        <v>1</v>
      </c>
      <c r="AH42" t="b">
        <f t="shared" si="5"/>
        <v>1</v>
      </c>
      <c r="AI42" t="b">
        <f t="shared" si="6"/>
        <v>1</v>
      </c>
      <c r="AR42" t="b">
        <f t="shared" si="10"/>
        <v>1</v>
      </c>
      <c r="AS42" t="b">
        <f t="shared" si="11"/>
        <v>1</v>
      </c>
    </row>
    <row r="43" spans="5:45" x14ac:dyDescent="0.4">
      <c r="E43" t="str">
        <v>fixed_leg.cashflows.[3].day_count_type</v>
      </c>
      <c r="F43" t="str">
        <v>ACT/360</v>
      </c>
      <c r="G43" t="str" cm="1">
        <f t="array" ref="G43">_xll.ExLibris.Json.GetJsonValueAsync($F$1,E43)</f>
        <v>ACT/360</v>
      </c>
      <c r="P43" t="str">
        <v>fixed_leg.cashflows.[2].start_date</v>
      </c>
      <c r="Q43">
        <v>44812</v>
      </c>
      <c r="S43" t="s">
        <v>48</v>
      </c>
      <c r="T43" t="s">
        <v>8</v>
      </c>
      <c r="U43" t="s">
        <v>8</v>
      </c>
      <c r="AD43" t="s">
        <v>41</v>
      </c>
      <c r="AE43">
        <v>44812</v>
      </c>
      <c r="AG43" t="b">
        <f t="shared" si="4"/>
        <v>1</v>
      </c>
      <c r="AH43" t="b">
        <f t="shared" si="5"/>
        <v>1</v>
      </c>
      <c r="AI43" t="b">
        <f t="shared" si="6"/>
        <v>1</v>
      </c>
      <c r="AR43" t="b">
        <f t="shared" si="10"/>
        <v>1</v>
      </c>
      <c r="AS43" t="b">
        <f t="shared" si="11"/>
        <v>1</v>
      </c>
    </row>
    <row r="44" spans="5:45" x14ac:dyDescent="0.4">
      <c r="E44" t="str">
        <v>fixed_leg.cashflows.[3].amount</v>
      </c>
      <c r="F44">
        <v>13000000</v>
      </c>
      <c r="G44" cm="1">
        <f t="array" ref="G44">_xll.ExLibris.Json.GetJsonValueAsync($F$1,E44)</f>
        <v>13000000</v>
      </c>
      <c r="P44" t="str">
        <v>fixed_leg.cashflows.[2].end_date</v>
      </c>
      <c r="Q44">
        <v>44992</v>
      </c>
      <c r="S44" t="s">
        <v>179</v>
      </c>
      <c r="T44">
        <v>13000000</v>
      </c>
      <c r="U44">
        <v>13000000</v>
      </c>
      <c r="AD44" t="s">
        <v>42</v>
      </c>
      <c r="AE44">
        <v>44992</v>
      </c>
      <c r="AG44" t="b">
        <f t="shared" si="4"/>
        <v>1</v>
      </c>
      <c r="AH44" t="b">
        <f t="shared" si="5"/>
        <v>1</v>
      </c>
      <c r="AI44" t="b">
        <f t="shared" si="6"/>
        <v>1</v>
      </c>
      <c r="AR44" t="b">
        <f t="shared" si="10"/>
        <v>1</v>
      </c>
      <c r="AS44" t="b">
        <f t="shared" si="11"/>
        <v>1</v>
      </c>
    </row>
    <row r="45" spans="5:45" x14ac:dyDescent="0.4">
      <c r="E45" t="str">
        <v>fixed_leg.cashflows.[3].fixed_rate</v>
      </c>
      <c r="F45">
        <v>1E-3</v>
      </c>
      <c r="G45" cm="1">
        <f t="array" ref="G45">_xll.ExLibris.Json.GetJsonValueAsync($F$1,E45)</f>
        <v>1E-3</v>
      </c>
      <c r="P45" t="str">
        <v>fixed_leg.cashflows.[2].day_count_type</v>
      </c>
      <c r="Q45" t="str">
        <v>ACT/360</v>
      </c>
      <c r="S45" t="s">
        <v>49</v>
      </c>
      <c r="T45">
        <v>1E-3</v>
      </c>
      <c r="U45">
        <v>1E-3</v>
      </c>
      <c r="AD45" t="s">
        <v>43</v>
      </c>
      <c r="AE45" t="s">
        <v>8</v>
      </c>
      <c r="AG45" t="b">
        <f t="shared" si="4"/>
        <v>1</v>
      </c>
      <c r="AH45" t="b">
        <f t="shared" si="5"/>
        <v>1</v>
      </c>
      <c r="AI45" t="b">
        <f t="shared" si="6"/>
        <v>1</v>
      </c>
      <c r="AR45" t="b">
        <f t="shared" si="10"/>
        <v>1</v>
      </c>
      <c r="AS45" t="b">
        <f t="shared" si="11"/>
        <v>1</v>
      </c>
    </row>
    <row r="46" spans="5:45" x14ac:dyDescent="0.4">
      <c r="E46" t="str">
        <v>fixed_leg.cashflows.[4].payment _date</v>
      </c>
      <c r="F46">
        <v>45352</v>
      </c>
      <c r="G46" cm="1">
        <f t="array" ref="G46">_xll.ExLibris.Json.GetJsonValueAsync($F$1,E46)</f>
        <v>45352</v>
      </c>
      <c r="P46" t="str">
        <v>fixed_leg.cashflows.[2].amount</v>
      </c>
      <c r="Q46">
        <v>12000000</v>
      </c>
      <c r="S46" t="s">
        <v>50</v>
      </c>
      <c r="T46">
        <v>45352</v>
      </c>
      <c r="U46">
        <v>45352</v>
      </c>
      <c r="AD46" t="s">
        <v>178</v>
      </c>
      <c r="AE46">
        <v>12000000</v>
      </c>
      <c r="AG46" t="b">
        <f t="shared" si="4"/>
        <v>1</v>
      </c>
      <c r="AH46" t="b">
        <f t="shared" si="5"/>
        <v>1</v>
      </c>
      <c r="AI46" t="b">
        <f t="shared" si="6"/>
        <v>1</v>
      </c>
      <c r="AR46" t="b">
        <f t="shared" si="10"/>
        <v>1</v>
      </c>
      <c r="AS46" t="b">
        <f t="shared" si="11"/>
        <v>1</v>
      </c>
    </row>
    <row r="47" spans="5:45" x14ac:dyDescent="0.4">
      <c r="E47" t="str">
        <v>fixed_leg.cashflows.[4].start_date</v>
      </c>
      <c r="F47">
        <v>45172</v>
      </c>
      <c r="G47" cm="1">
        <f t="array" ref="G47">_xll.ExLibris.Json.GetJsonValueAsync($F$1,E47)</f>
        <v>45172</v>
      </c>
      <c r="P47" t="str">
        <v>fixed_leg.cashflows.[2].fixed_rate</v>
      </c>
      <c r="Q47">
        <v>1E-3</v>
      </c>
      <c r="S47" t="s">
        <v>51</v>
      </c>
      <c r="T47">
        <v>45172</v>
      </c>
      <c r="U47">
        <v>45172</v>
      </c>
      <c r="AD47" t="s">
        <v>44</v>
      </c>
      <c r="AE47">
        <v>1E-3</v>
      </c>
      <c r="AG47" t="b">
        <f t="shared" si="4"/>
        <v>1</v>
      </c>
      <c r="AH47" t="b">
        <f t="shared" si="5"/>
        <v>1</v>
      </c>
      <c r="AI47" t="b">
        <f t="shared" si="6"/>
        <v>1</v>
      </c>
      <c r="AR47" t="b">
        <f t="shared" si="10"/>
        <v>1</v>
      </c>
      <c r="AS47" t="b">
        <f t="shared" si="11"/>
        <v>1</v>
      </c>
    </row>
    <row r="48" spans="5:45" x14ac:dyDescent="0.4">
      <c r="E48" t="str">
        <v>fixed_leg.cashflows.[4].end_date</v>
      </c>
      <c r="F48">
        <v>45352</v>
      </c>
      <c r="G48" cm="1">
        <f t="array" ref="G48">_xll.ExLibris.Json.GetJsonValueAsync($F$1,E48)</f>
        <v>45352</v>
      </c>
      <c r="P48" t="str">
        <v>fixed_leg.cashflows.[3].payment _date</v>
      </c>
      <c r="Q48">
        <v>45172</v>
      </c>
      <c r="S48" t="s">
        <v>52</v>
      </c>
      <c r="T48">
        <v>45352</v>
      </c>
      <c r="U48">
        <v>45352</v>
      </c>
      <c r="AD48" t="s">
        <v>45</v>
      </c>
      <c r="AE48">
        <v>45172</v>
      </c>
      <c r="AG48" t="b">
        <f t="shared" si="4"/>
        <v>1</v>
      </c>
      <c r="AH48" t="b">
        <f t="shared" si="5"/>
        <v>1</v>
      </c>
      <c r="AI48" t="b">
        <f t="shared" si="6"/>
        <v>1</v>
      </c>
      <c r="AR48" t="b">
        <f t="shared" si="10"/>
        <v>1</v>
      </c>
      <c r="AS48" t="b">
        <f t="shared" si="11"/>
        <v>1</v>
      </c>
    </row>
    <row r="49" spans="5:45" x14ac:dyDescent="0.4">
      <c r="E49" t="str">
        <v>fixed_leg.cashflows.[4].day_count_type</v>
      </c>
      <c r="F49" t="str">
        <v>ACT/360</v>
      </c>
      <c r="G49" t="str" cm="1">
        <f t="array" ref="G49">_xll.ExLibris.Json.GetJsonValueAsync($F$1,E49)</f>
        <v>ACT/360</v>
      </c>
      <c r="P49" t="str">
        <v>fixed_leg.cashflows.[3].start_date</v>
      </c>
      <c r="Q49">
        <v>44992</v>
      </c>
      <c r="S49" t="s">
        <v>53</v>
      </c>
      <c r="T49" t="s">
        <v>8</v>
      </c>
      <c r="U49" t="s">
        <v>8</v>
      </c>
      <c r="AD49" t="s">
        <v>46</v>
      </c>
      <c r="AE49">
        <v>44992</v>
      </c>
      <c r="AG49" t="b">
        <f t="shared" si="4"/>
        <v>1</v>
      </c>
      <c r="AH49" t="b">
        <f t="shared" si="5"/>
        <v>1</v>
      </c>
      <c r="AI49" t="b">
        <f t="shared" si="6"/>
        <v>1</v>
      </c>
      <c r="AR49" t="b">
        <f t="shared" si="10"/>
        <v>1</v>
      </c>
      <c r="AS49" t="b">
        <f t="shared" si="11"/>
        <v>1</v>
      </c>
    </row>
    <row r="50" spans="5:45" x14ac:dyDescent="0.4">
      <c r="E50" t="str">
        <v>fixed_leg.cashflows.[4].amount</v>
      </c>
      <c r="F50">
        <v>14000000</v>
      </c>
      <c r="G50" cm="1">
        <f t="array" ref="G50">_xll.ExLibris.Json.GetJsonValueAsync($F$1,E50)</f>
        <v>14000000</v>
      </c>
      <c r="P50" t="str">
        <v>fixed_leg.cashflows.[3].end_date</v>
      </c>
      <c r="Q50">
        <v>45172</v>
      </c>
      <c r="S50" t="s">
        <v>180</v>
      </c>
      <c r="T50">
        <v>14000000</v>
      </c>
      <c r="U50">
        <v>14000000</v>
      </c>
      <c r="AD50" t="s">
        <v>47</v>
      </c>
      <c r="AE50">
        <v>45172</v>
      </c>
      <c r="AG50" t="b">
        <f t="shared" si="4"/>
        <v>1</v>
      </c>
      <c r="AH50" t="b">
        <f t="shared" si="5"/>
        <v>1</v>
      </c>
      <c r="AI50" t="b">
        <f t="shared" si="6"/>
        <v>1</v>
      </c>
      <c r="AR50" t="b">
        <f t="shared" si="10"/>
        <v>1</v>
      </c>
      <c r="AS50" t="b">
        <f t="shared" si="11"/>
        <v>1</v>
      </c>
    </row>
    <row r="51" spans="5:45" x14ac:dyDescent="0.4">
      <c r="E51" t="str">
        <v>fixed_leg.cashflows.[4].fixed_rate</v>
      </c>
      <c r="F51">
        <v>1E-3</v>
      </c>
      <c r="G51" cm="1">
        <f t="array" ref="G51">_xll.ExLibris.Json.GetJsonValueAsync($F$1,E51)</f>
        <v>1E-3</v>
      </c>
      <c r="P51" t="str">
        <v>fixed_leg.cashflows.[3].day_count_type</v>
      </c>
      <c r="Q51" t="str">
        <v>ACT/360</v>
      </c>
      <c r="S51" t="s">
        <v>54</v>
      </c>
      <c r="T51">
        <v>1E-3</v>
      </c>
      <c r="U51">
        <v>1E-3</v>
      </c>
      <c r="AD51" t="s">
        <v>48</v>
      </c>
      <c r="AE51" t="s">
        <v>8</v>
      </c>
      <c r="AG51" t="b">
        <f t="shared" si="4"/>
        <v>1</v>
      </c>
      <c r="AH51" t="b">
        <f t="shared" si="5"/>
        <v>1</v>
      </c>
      <c r="AI51" t="b">
        <f t="shared" si="6"/>
        <v>1</v>
      </c>
      <c r="AR51" t="b">
        <f t="shared" si="10"/>
        <v>1</v>
      </c>
      <c r="AS51" t="b">
        <f t="shared" si="11"/>
        <v>1</v>
      </c>
    </row>
    <row r="52" spans="5:45" x14ac:dyDescent="0.4">
      <c r="E52" t="str">
        <v>fixed_leg.cashflows.[5].payment _date</v>
      </c>
      <c r="F52">
        <v>45532</v>
      </c>
      <c r="G52" cm="1">
        <f t="array" ref="G52">_xll.ExLibris.Json.GetJsonValueAsync($F$1,E52)</f>
        <v>45532</v>
      </c>
      <c r="P52" t="str">
        <v>fixed_leg.cashflows.[3].amount</v>
      </c>
      <c r="Q52">
        <v>13000000</v>
      </c>
      <c r="S52" t="s">
        <v>55</v>
      </c>
      <c r="T52">
        <v>45532</v>
      </c>
      <c r="U52">
        <v>45532</v>
      </c>
      <c r="AD52" t="s">
        <v>179</v>
      </c>
      <c r="AE52">
        <v>13000000</v>
      </c>
      <c r="AG52" t="b">
        <f t="shared" si="4"/>
        <v>1</v>
      </c>
      <c r="AH52" t="b">
        <f t="shared" si="5"/>
        <v>1</v>
      </c>
      <c r="AI52" t="b">
        <f t="shared" si="6"/>
        <v>1</v>
      </c>
      <c r="AR52" t="b">
        <f t="shared" si="10"/>
        <v>1</v>
      </c>
      <c r="AS52" t="b">
        <f t="shared" si="11"/>
        <v>1</v>
      </c>
    </row>
    <row r="53" spans="5:45" x14ac:dyDescent="0.4">
      <c r="E53" t="str">
        <v>fixed_leg.cashflows.[5].start_date</v>
      </c>
      <c r="F53">
        <v>45352</v>
      </c>
      <c r="G53" cm="1">
        <f t="array" ref="G53">_xll.ExLibris.Json.GetJsonValueAsync($F$1,E53)</f>
        <v>45352</v>
      </c>
      <c r="P53" t="str">
        <v>fixed_leg.cashflows.[3].fixed_rate</v>
      </c>
      <c r="Q53">
        <v>1E-3</v>
      </c>
      <c r="S53" t="s">
        <v>56</v>
      </c>
      <c r="T53">
        <v>45352</v>
      </c>
      <c r="U53">
        <v>45352</v>
      </c>
      <c r="AD53" t="s">
        <v>49</v>
      </c>
      <c r="AE53">
        <v>1E-3</v>
      </c>
      <c r="AG53" t="b">
        <f t="shared" si="4"/>
        <v>1</v>
      </c>
      <c r="AH53" t="b">
        <f t="shared" si="5"/>
        <v>1</v>
      </c>
      <c r="AI53" t="b">
        <f t="shared" si="6"/>
        <v>1</v>
      </c>
      <c r="AR53" t="b">
        <f t="shared" si="10"/>
        <v>1</v>
      </c>
      <c r="AS53" t="b">
        <f t="shared" si="11"/>
        <v>1</v>
      </c>
    </row>
    <row r="54" spans="5:45" x14ac:dyDescent="0.4">
      <c r="E54" t="str">
        <v>fixed_leg.cashflows.[5].end_date</v>
      </c>
      <c r="F54">
        <v>45532</v>
      </c>
      <c r="G54" cm="1">
        <f t="array" ref="G54">_xll.ExLibris.Json.GetJsonValueAsync($F$1,E54)</f>
        <v>45532</v>
      </c>
      <c r="P54" t="str">
        <v>fixed_leg.cashflows.[4].payment _date</v>
      </c>
      <c r="Q54">
        <v>45352</v>
      </c>
      <c r="S54" t="s">
        <v>57</v>
      </c>
      <c r="T54">
        <v>45532</v>
      </c>
      <c r="U54">
        <v>45532</v>
      </c>
      <c r="AD54" t="s">
        <v>50</v>
      </c>
      <c r="AE54">
        <v>45352</v>
      </c>
      <c r="AG54" t="b">
        <f t="shared" si="4"/>
        <v>1</v>
      </c>
      <c r="AH54" t="b">
        <f t="shared" si="5"/>
        <v>1</v>
      </c>
      <c r="AI54" t="b">
        <f t="shared" si="6"/>
        <v>1</v>
      </c>
      <c r="AR54" t="b">
        <f t="shared" si="10"/>
        <v>1</v>
      </c>
      <c r="AS54" t="b">
        <f t="shared" si="11"/>
        <v>1</v>
      </c>
    </row>
    <row r="55" spans="5:45" x14ac:dyDescent="0.4">
      <c r="E55" t="str">
        <v>fixed_leg.cashflows.[5].day_count_type</v>
      </c>
      <c r="F55" t="str">
        <v>ACT/360</v>
      </c>
      <c r="G55" t="str" cm="1">
        <f t="array" ref="G55">_xll.ExLibris.Json.GetJsonValueAsync($F$1,E55)</f>
        <v>ACT/360</v>
      </c>
      <c r="P55" t="str">
        <v>fixed_leg.cashflows.[4].start_date</v>
      </c>
      <c r="Q55">
        <v>45172</v>
      </c>
      <c r="S55" t="s">
        <v>58</v>
      </c>
      <c r="T55" t="s">
        <v>8</v>
      </c>
      <c r="U55" t="s">
        <v>8</v>
      </c>
      <c r="AD55" t="s">
        <v>51</v>
      </c>
      <c r="AE55">
        <v>45172</v>
      </c>
      <c r="AG55" t="b">
        <f t="shared" si="4"/>
        <v>1</v>
      </c>
      <c r="AH55" t="b">
        <f t="shared" si="5"/>
        <v>1</v>
      </c>
      <c r="AI55" t="b">
        <f t="shared" si="6"/>
        <v>1</v>
      </c>
      <c r="AR55" t="b">
        <f t="shared" si="10"/>
        <v>1</v>
      </c>
      <c r="AS55" t="b">
        <f t="shared" si="11"/>
        <v>1</v>
      </c>
    </row>
    <row r="56" spans="5:45" x14ac:dyDescent="0.4">
      <c r="E56" t="str">
        <v>fixed_leg.cashflows.[5].amount</v>
      </c>
      <c r="F56">
        <v>15000000</v>
      </c>
      <c r="G56" cm="1">
        <f t="array" ref="G56">_xll.ExLibris.Json.GetJsonValueAsync($F$1,E56)</f>
        <v>15000000</v>
      </c>
      <c r="P56" t="str">
        <v>fixed_leg.cashflows.[4].end_date</v>
      </c>
      <c r="Q56">
        <v>45352</v>
      </c>
      <c r="S56" t="s">
        <v>181</v>
      </c>
      <c r="T56">
        <v>15000000</v>
      </c>
      <c r="U56">
        <v>15000000</v>
      </c>
      <c r="AD56" t="s">
        <v>52</v>
      </c>
      <c r="AE56">
        <v>45352</v>
      </c>
      <c r="AG56" t="b">
        <f t="shared" si="4"/>
        <v>1</v>
      </c>
      <c r="AH56" t="b">
        <f t="shared" si="5"/>
        <v>1</v>
      </c>
      <c r="AI56" t="b">
        <f t="shared" si="6"/>
        <v>1</v>
      </c>
      <c r="AR56" t="b">
        <f t="shared" si="10"/>
        <v>1</v>
      </c>
      <c r="AS56" t="b">
        <f t="shared" si="11"/>
        <v>1</v>
      </c>
    </row>
    <row r="57" spans="5:45" x14ac:dyDescent="0.4">
      <c r="E57" t="str">
        <v>fixed_leg.cashflows.[5].fixed_rate</v>
      </c>
      <c r="F57">
        <v>1E-3</v>
      </c>
      <c r="G57" cm="1">
        <f t="array" ref="G57">_xll.ExLibris.Json.GetJsonValueAsync($F$1,E57)</f>
        <v>1E-3</v>
      </c>
      <c r="P57" t="str">
        <v>fixed_leg.cashflows.[4].day_count_type</v>
      </c>
      <c r="Q57" t="str">
        <v>ACT/360</v>
      </c>
      <c r="S57" t="s">
        <v>59</v>
      </c>
      <c r="T57">
        <v>1E-3</v>
      </c>
      <c r="U57">
        <v>1E-3</v>
      </c>
      <c r="AD57" t="s">
        <v>53</v>
      </c>
      <c r="AE57" t="s">
        <v>8</v>
      </c>
      <c r="AG57" t="b">
        <f t="shared" si="4"/>
        <v>1</v>
      </c>
      <c r="AH57" t="b">
        <f t="shared" si="5"/>
        <v>1</v>
      </c>
      <c r="AI57" t="b">
        <f t="shared" si="6"/>
        <v>1</v>
      </c>
      <c r="AR57" t="b">
        <f t="shared" si="10"/>
        <v>1</v>
      </c>
      <c r="AS57" t="b">
        <f t="shared" si="11"/>
        <v>1</v>
      </c>
    </row>
    <row r="58" spans="5:45" x14ac:dyDescent="0.4">
      <c r="P58" t="str">
        <v>fixed_leg.cashflows.[4].amount</v>
      </c>
      <c r="Q58">
        <v>14000000</v>
      </c>
      <c r="AD58" t="s">
        <v>180</v>
      </c>
      <c r="AE58">
        <v>14000000</v>
      </c>
      <c r="AR58" t="b">
        <f t="shared" si="10"/>
        <v>1</v>
      </c>
      <c r="AS58" t="b">
        <f t="shared" si="11"/>
        <v>1</v>
      </c>
    </row>
    <row r="59" spans="5:45" x14ac:dyDescent="0.4">
      <c r="P59" t="str">
        <v>fixed_leg.cashflows.[4].fixed_rate</v>
      </c>
      <c r="Q59">
        <v>1E-3</v>
      </c>
      <c r="AD59" t="s">
        <v>54</v>
      </c>
      <c r="AE59">
        <v>1E-3</v>
      </c>
      <c r="AR59" t="b">
        <f t="shared" si="10"/>
        <v>1</v>
      </c>
      <c r="AS59" t="b">
        <f t="shared" si="11"/>
        <v>1</v>
      </c>
    </row>
    <row r="60" spans="5:45" x14ac:dyDescent="0.4">
      <c r="P60" t="str">
        <v>fixed_leg.cashflows.[5].payment _date</v>
      </c>
      <c r="Q60">
        <v>45532</v>
      </c>
      <c r="AD60" t="s">
        <v>55</v>
      </c>
      <c r="AE60">
        <v>45532</v>
      </c>
      <c r="AR60" t="b">
        <f t="shared" si="10"/>
        <v>1</v>
      </c>
      <c r="AS60" t="b">
        <f t="shared" si="11"/>
        <v>1</v>
      </c>
    </row>
    <row r="61" spans="5:45" x14ac:dyDescent="0.4">
      <c r="P61" t="str">
        <v>fixed_leg.cashflows.[5].start_date</v>
      </c>
      <c r="Q61">
        <v>45352</v>
      </c>
      <c r="AD61" t="s">
        <v>56</v>
      </c>
      <c r="AE61">
        <v>45352</v>
      </c>
      <c r="AR61" t="b">
        <f t="shared" si="10"/>
        <v>1</v>
      </c>
      <c r="AS61" t="b">
        <f t="shared" si="11"/>
        <v>1</v>
      </c>
    </row>
    <row r="62" spans="5:45" x14ac:dyDescent="0.4">
      <c r="P62" t="str">
        <v>fixed_leg.cashflows.[5].end_date</v>
      </c>
      <c r="Q62">
        <v>45532</v>
      </c>
      <c r="AD62" t="s">
        <v>57</v>
      </c>
      <c r="AE62">
        <v>45532</v>
      </c>
      <c r="AR62" t="b">
        <f t="shared" si="10"/>
        <v>1</v>
      </c>
      <c r="AS62" t="b">
        <f t="shared" si="11"/>
        <v>1</v>
      </c>
    </row>
    <row r="63" spans="5:45" x14ac:dyDescent="0.4">
      <c r="P63" t="str">
        <v>fixed_leg.cashflows.[5].day_count_type</v>
      </c>
      <c r="Q63" t="str">
        <v>ACT/360</v>
      </c>
      <c r="AD63" t="s">
        <v>58</v>
      </c>
      <c r="AE63" t="s">
        <v>8</v>
      </c>
      <c r="AR63" t="b">
        <f t="shared" si="10"/>
        <v>1</v>
      </c>
      <c r="AS63" t="b">
        <f t="shared" si="11"/>
        <v>1</v>
      </c>
    </row>
    <row r="64" spans="5:45" x14ac:dyDescent="0.4">
      <c r="P64" t="str">
        <v>fixed_leg.cashflows.[5].amount</v>
      </c>
      <c r="Q64">
        <v>15000000</v>
      </c>
      <c r="AD64" t="s">
        <v>181</v>
      </c>
      <c r="AE64">
        <v>15000000</v>
      </c>
      <c r="AR64" t="b">
        <f t="shared" si="10"/>
        <v>1</v>
      </c>
      <c r="AS64" t="b">
        <f t="shared" si="11"/>
        <v>1</v>
      </c>
    </row>
    <row r="65" spans="16:45" x14ac:dyDescent="0.4">
      <c r="P65" t="str">
        <v>fixed_leg.cashflows.[5].fixed_rate</v>
      </c>
      <c r="Q65">
        <v>1E-3</v>
      </c>
      <c r="AD65" t="s">
        <v>59</v>
      </c>
      <c r="AE65">
        <v>1E-3</v>
      </c>
      <c r="AR65" t="b">
        <f>P65=AD65</f>
        <v>1</v>
      </c>
      <c r="AS65" t="b">
        <f>Q65=AE65</f>
        <v>1</v>
      </c>
    </row>
    <row r="67" spans="16:45" x14ac:dyDescent="0.4">
      <c r="P67" t="str" cm="1">
        <f t="array" ref="P67:Q72">_xll.ExLibris.Json.GetJsonKeyValuesAsync(F1,"fixed_leg.cashflows.*.payment _date")</f>
        <v>fixed_leg.cashflows.[0].payment _date</v>
      </c>
      <c r="Q67">
        <v>44632</v>
      </c>
      <c r="AD67" t="s">
        <v>30</v>
      </c>
      <c r="AE67">
        <v>44632</v>
      </c>
      <c r="AR67" t="b">
        <f t="shared" ref="AR67:AS79" si="13">P67=AD67</f>
        <v>1</v>
      </c>
      <c r="AS67" t="b">
        <f t="shared" si="13"/>
        <v>1</v>
      </c>
    </row>
    <row r="68" spans="16:45" x14ac:dyDescent="0.4">
      <c r="P68" t="str">
        <v>fixed_leg.cashflows.[1].payment _date</v>
      </c>
      <c r="Q68">
        <v>44812</v>
      </c>
      <c r="AD68" t="s">
        <v>35</v>
      </c>
      <c r="AE68">
        <v>44812</v>
      </c>
      <c r="AR68" t="b">
        <f t="shared" si="13"/>
        <v>1</v>
      </c>
      <c r="AS68" t="b">
        <f t="shared" si="13"/>
        <v>1</v>
      </c>
    </row>
    <row r="69" spans="16:45" x14ac:dyDescent="0.4">
      <c r="P69" t="str">
        <v>fixed_leg.cashflows.[2].payment _date</v>
      </c>
      <c r="Q69">
        <v>44992</v>
      </c>
      <c r="AD69" t="s">
        <v>40</v>
      </c>
      <c r="AE69">
        <v>44992</v>
      </c>
      <c r="AR69" t="b">
        <f t="shared" si="13"/>
        <v>1</v>
      </c>
      <c r="AS69" t="b">
        <f t="shared" si="13"/>
        <v>1</v>
      </c>
    </row>
    <row r="70" spans="16:45" x14ac:dyDescent="0.4">
      <c r="P70" t="str">
        <v>fixed_leg.cashflows.[3].payment _date</v>
      </c>
      <c r="Q70">
        <v>45172</v>
      </c>
      <c r="AD70" t="s">
        <v>45</v>
      </c>
      <c r="AE70">
        <v>45172</v>
      </c>
      <c r="AR70" t="b">
        <f t="shared" si="13"/>
        <v>1</v>
      </c>
      <c r="AS70" t="b">
        <f t="shared" si="13"/>
        <v>1</v>
      </c>
    </row>
    <row r="71" spans="16:45" x14ac:dyDescent="0.4">
      <c r="P71" t="str">
        <v>fixed_leg.cashflows.[4].payment _date</v>
      </c>
      <c r="Q71">
        <v>45352</v>
      </c>
      <c r="AD71" t="s">
        <v>50</v>
      </c>
      <c r="AE71">
        <v>45352</v>
      </c>
      <c r="AR71" t="b">
        <f t="shared" si="13"/>
        <v>1</v>
      </c>
      <c r="AS71" t="b">
        <f t="shared" si="13"/>
        <v>1</v>
      </c>
    </row>
    <row r="72" spans="16:45" x14ac:dyDescent="0.4">
      <c r="P72" t="str">
        <v>fixed_leg.cashflows.[5].payment _date</v>
      </c>
      <c r="Q72">
        <v>45532</v>
      </c>
      <c r="AD72" t="s">
        <v>55</v>
      </c>
      <c r="AE72">
        <v>45532</v>
      </c>
      <c r="AR72" t="b">
        <f t="shared" si="13"/>
        <v>1</v>
      </c>
      <c r="AS72" t="b">
        <f t="shared" si="13"/>
        <v>1</v>
      </c>
    </row>
    <row r="74" spans="16:45" x14ac:dyDescent="0.4">
      <c r="P74" t="str" cm="1">
        <f t="array" ref="P74:Q79">_xll.ExLibris.Json.GetJsonKeyValuesAsync(F1,"fixed_leg.cashflows.[3].*")</f>
        <v>fixed_leg.cashflows.[3].payment _date</v>
      </c>
      <c r="Q74">
        <v>45172</v>
      </c>
      <c r="AD74" t="s">
        <v>45</v>
      </c>
      <c r="AE74">
        <v>45172</v>
      </c>
      <c r="AR74" t="b">
        <f t="shared" si="13"/>
        <v>1</v>
      </c>
      <c r="AS74" t="b">
        <f t="shared" si="13"/>
        <v>1</v>
      </c>
    </row>
    <row r="75" spans="16:45" x14ac:dyDescent="0.4">
      <c r="P75" t="str">
        <v>fixed_leg.cashflows.[3].start_date</v>
      </c>
      <c r="Q75">
        <v>44992</v>
      </c>
      <c r="AD75" t="s">
        <v>46</v>
      </c>
      <c r="AE75">
        <v>44992</v>
      </c>
      <c r="AR75" t="b">
        <f t="shared" si="13"/>
        <v>1</v>
      </c>
      <c r="AS75" t="b">
        <f t="shared" si="13"/>
        <v>1</v>
      </c>
    </row>
    <row r="76" spans="16:45" x14ac:dyDescent="0.4">
      <c r="P76" t="str">
        <v>fixed_leg.cashflows.[3].end_date</v>
      </c>
      <c r="Q76">
        <v>45172</v>
      </c>
      <c r="AD76" t="s">
        <v>47</v>
      </c>
      <c r="AE76">
        <v>45172</v>
      </c>
      <c r="AR76" t="b">
        <f t="shared" si="13"/>
        <v>1</v>
      </c>
      <c r="AS76" t="b">
        <f t="shared" si="13"/>
        <v>1</v>
      </c>
    </row>
    <row r="77" spans="16:45" x14ac:dyDescent="0.4">
      <c r="P77" t="str">
        <v>fixed_leg.cashflows.[3].day_count_type</v>
      </c>
      <c r="Q77" t="str">
        <v>ACT/360</v>
      </c>
      <c r="AD77" t="s">
        <v>48</v>
      </c>
      <c r="AE77" t="s">
        <v>8</v>
      </c>
      <c r="AR77" t="b">
        <f t="shared" si="13"/>
        <v>1</v>
      </c>
      <c r="AS77" t="b">
        <f t="shared" si="13"/>
        <v>1</v>
      </c>
    </row>
    <row r="78" spans="16:45" x14ac:dyDescent="0.4">
      <c r="P78" t="str">
        <v>fixed_leg.cashflows.[3].amount</v>
      </c>
      <c r="Q78">
        <v>13000000</v>
      </c>
      <c r="AD78" t="s">
        <v>179</v>
      </c>
      <c r="AE78">
        <v>13000000</v>
      </c>
      <c r="AR78" t="b">
        <f t="shared" si="13"/>
        <v>1</v>
      </c>
      <c r="AS78" t="b">
        <f t="shared" si="13"/>
        <v>1</v>
      </c>
    </row>
    <row r="79" spans="16:45" x14ac:dyDescent="0.4">
      <c r="P79" t="str">
        <v>fixed_leg.cashflows.[3].fixed_rate</v>
      </c>
      <c r="Q79">
        <v>1E-3</v>
      </c>
      <c r="AD79" t="s">
        <v>49</v>
      </c>
      <c r="AE79">
        <v>1E-3</v>
      </c>
      <c r="AR79" t="b">
        <f t="shared" si="13"/>
        <v>1</v>
      </c>
      <c r="AS79" t="b">
        <f t="shared" si="13"/>
        <v>1</v>
      </c>
    </row>
  </sheetData>
  <phoneticPr fontId="1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ED89E-C884-4680-AA73-D86C4BBD7CCE}">
  <dimension ref="B1:AJ57"/>
  <sheetViews>
    <sheetView zoomScaleNormal="100" workbookViewId="0"/>
  </sheetViews>
  <sheetFormatPr defaultRowHeight="18.75" x14ac:dyDescent="0.4"/>
  <cols>
    <col min="1" max="1" width="2.25" customWidth="1"/>
    <col min="2" max="2" width="11" customWidth="1"/>
    <col min="4" max="4" width="2.125" customWidth="1"/>
    <col min="5" max="5" width="38.125" bestFit="1" customWidth="1"/>
    <col min="6" max="7" width="13.25" customWidth="1"/>
    <col min="8" max="8" width="15.5" bestFit="1" customWidth="1"/>
    <col min="9" max="11" width="13.25" customWidth="1"/>
    <col min="15" max="15" width="7.375" customWidth="1"/>
    <col min="16" max="16" width="13.5" bestFit="1" customWidth="1"/>
    <col min="18" max="18" width="17" customWidth="1"/>
    <col min="19" max="19" width="10.125" bestFit="1" customWidth="1"/>
    <col min="20" max="20" width="9.5" bestFit="1" customWidth="1"/>
    <col min="21" max="21" width="15.5" bestFit="1" customWidth="1"/>
    <col min="22" max="22" width="9.5" bestFit="1" customWidth="1"/>
    <col min="23" max="23" width="9.875" bestFit="1" customWidth="1"/>
  </cols>
  <sheetData>
    <row r="1" spans="2:25" x14ac:dyDescent="0.4">
      <c r="E1" t="s">
        <v>25</v>
      </c>
      <c r="F1" t="str" cm="1">
        <f t="array" ref="F1">_xll.ExLibris.Json.CreateJsonObjectAsync(E3:F6, EXLIBRIS_CONFIGURATION)</f>
        <v>JsonObject:E022D8CD-4072-4F20-BB6D-9EB3A047AE3F</v>
      </c>
      <c r="K1" t="str">
        <f>EXLIBRIS_CONFIGURATION</f>
        <v>ExLibris.Core.ExLibrisConfiguration:309B6F05-E9D9-4A90-B78A-A8124E730131</v>
      </c>
    </row>
    <row r="2" spans="2:25" x14ac:dyDescent="0.4">
      <c r="B2" s="5" t="s">
        <v>62</v>
      </c>
      <c r="C2" s="5"/>
    </row>
    <row r="3" spans="2:25" x14ac:dyDescent="0.4">
      <c r="B3" s="6" t="s">
        <v>63</v>
      </c>
      <c r="C3" s="6">
        <f>COUNTIF(AA19:AC57,FALSE)</f>
        <v>0</v>
      </c>
      <c r="E3" t="s">
        <v>13</v>
      </c>
      <c r="F3" t="s">
        <v>15</v>
      </c>
    </row>
    <row r="4" spans="2:25" x14ac:dyDescent="0.4">
      <c r="B4" s="6" t="s">
        <v>64</v>
      </c>
      <c r="C4" s="6">
        <f>COUNTIF(AE20:AJ26,FALSE)</f>
        <v>0</v>
      </c>
      <c r="E4" t="s">
        <v>17</v>
      </c>
      <c r="F4" t="s">
        <v>19</v>
      </c>
    </row>
    <row r="5" spans="2:25" x14ac:dyDescent="0.4">
      <c r="B5" s="6" t="s">
        <v>65</v>
      </c>
      <c r="C5" s="6" t="str">
        <f>IF(M6=M7,"ok","ng")</f>
        <v>ok</v>
      </c>
      <c r="E5" t="s">
        <v>21</v>
      </c>
      <c r="F5" t="s">
        <v>23</v>
      </c>
      <c r="L5" t="s">
        <v>65</v>
      </c>
    </row>
    <row r="6" spans="2:25" x14ac:dyDescent="0.4">
      <c r="B6" s="6" t="s">
        <v>67</v>
      </c>
      <c r="C6" s="6">
        <f>COUNTIF(AE29:AJ30,FALSE)</f>
        <v>0</v>
      </c>
      <c r="E6" t="s">
        <v>24</v>
      </c>
      <c r="F6" t="str" cm="1">
        <f t="array" ref="F6">_xll.ExLibris.Json.CreateJsonArrayAsync(E8:J14, EXLIBRIS_CONFIGURATION)</f>
        <v>JsonObject:FD6D4ACC-D566-422D-8354-506E7A48EA6C</v>
      </c>
      <c r="L6" t="s">
        <v>60</v>
      </c>
      <c r="M6" t="str" cm="1">
        <f t="array" ref="M6">_xll.ExLibris.Json.ShowJsonTextAsync(F1)</f>
        <v>{"trade_code":"money_00001","couter_party":"CP00001","fixed_leg":{"pay_or_recieve":"Receive","cashflows":[{"payment _date":"2022-03-12","start_date":"2021-09-13","end_date":"2022-03-12","day_count_type":"ACT/360","amount":10000000,"fixed_rate":0.001},{"payment _date":"2022-09-08","start_date":"2022-03-12","end_date":"2022-09-08","day_count_type":"ACT/360","amount":10000000,"fixed_rate":0.0011},{"payment _date":"2023-03-07","start_date":"2022-09-08","end_date":"2023-03-07","day_count_type":"ACT/360","amount":11000000,"fixed_rate":0.0012000000000000001},{"payment _date":"2023-09-03","start_date":"2023-03-07","end_date":"2023-09-03","day_count_type":"ACT/360","amount":11000000,"fixed_rate":0.0013000000000000002},{"payment _date":"2024-03-01","start_date":"2023-09-03","end_date":"2024-03-01","day_count_type":"ACT/360","amount":12000000,"fixed_rate":0.0014000000000000002},{"payment _date":"2024-08-28","start_date":"2024-03-01","end_date":"2024-08-28","day_count_type":"ACT/360","amount":12000000,"fixed_rate":0.0015000000000000002}]}}</v>
      </c>
    </row>
    <row r="7" spans="2:25" x14ac:dyDescent="0.4">
      <c r="B7" s="6" t="s">
        <v>98</v>
      </c>
      <c r="C7" s="6">
        <f>COUNTIF(AE34:AJ36,FALSE)</f>
        <v>0</v>
      </c>
      <c r="L7" t="s">
        <v>66</v>
      </c>
      <c r="M7" t="s">
        <v>186</v>
      </c>
    </row>
    <row r="8" spans="2:25" x14ac:dyDescent="0.4">
      <c r="B8" s="6" t="s">
        <v>99</v>
      </c>
      <c r="C8" s="6">
        <f>COUNTIF(AE39:AJ40,FALSE)</f>
        <v>0</v>
      </c>
      <c r="E8" t="s">
        <v>1</v>
      </c>
      <c r="F8" t="s">
        <v>3</v>
      </c>
      <c r="G8" t="s">
        <v>5</v>
      </c>
      <c r="H8" t="s">
        <v>7</v>
      </c>
      <c r="I8" t="s">
        <v>175</v>
      </c>
      <c r="J8" t="s">
        <v>11</v>
      </c>
    </row>
    <row r="9" spans="2:25" x14ac:dyDescent="0.4">
      <c r="B9" s="6" t="s">
        <v>100</v>
      </c>
      <c r="C9" s="6">
        <f>COUNTIF(AE43,FALSE)</f>
        <v>0</v>
      </c>
      <c r="E9" s="1">
        <f>G9</f>
        <v>44632</v>
      </c>
      <c r="F9" s="1">
        <v>44452</v>
      </c>
      <c r="G9" s="1">
        <f>F9+180</f>
        <v>44632</v>
      </c>
      <c r="H9" t="s">
        <v>9</v>
      </c>
      <c r="I9" s="2">
        <v>10000000</v>
      </c>
      <c r="J9" s="3">
        <v>1E-3</v>
      </c>
    </row>
    <row r="10" spans="2:25" x14ac:dyDescent="0.4">
      <c r="E10" s="1">
        <f>G10</f>
        <v>44812</v>
      </c>
      <c r="F10" s="1">
        <f>G9</f>
        <v>44632</v>
      </c>
      <c r="G10" s="1">
        <f>F10+180</f>
        <v>44812</v>
      </c>
      <c r="H10" t="s">
        <v>9</v>
      </c>
      <c r="I10" s="2">
        <f>I9</f>
        <v>10000000</v>
      </c>
      <c r="J10" s="3">
        <f>J9+0.0001</f>
        <v>1.1000000000000001E-3</v>
      </c>
    </row>
    <row r="11" spans="2:25" x14ac:dyDescent="0.4">
      <c r="E11" s="1">
        <f t="shared" ref="E11:E14" si="0">G11</f>
        <v>44992</v>
      </c>
      <c r="F11" s="1">
        <f t="shared" ref="F11:F14" si="1">G10</f>
        <v>44812</v>
      </c>
      <c r="G11" s="1">
        <f t="shared" ref="G11:G14" si="2">F11+180</f>
        <v>44992</v>
      </c>
      <c r="H11" t="s">
        <v>9</v>
      </c>
      <c r="I11" s="2">
        <f t="shared" ref="I11:I13" si="3">I10+1000000</f>
        <v>11000000</v>
      </c>
      <c r="J11" s="3">
        <f t="shared" ref="J11:J14" si="4">J10+0.0001</f>
        <v>1.2000000000000001E-3</v>
      </c>
    </row>
    <row r="12" spans="2:25" x14ac:dyDescent="0.4">
      <c r="E12" s="1">
        <f t="shared" si="0"/>
        <v>45172</v>
      </c>
      <c r="F12" s="1">
        <f t="shared" si="1"/>
        <v>44992</v>
      </c>
      <c r="G12" s="1">
        <f t="shared" si="2"/>
        <v>45172</v>
      </c>
      <c r="H12" t="s">
        <v>9</v>
      </c>
      <c r="I12" s="2">
        <f>I11</f>
        <v>11000000</v>
      </c>
      <c r="J12" s="3">
        <f t="shared" si="4"/>
        <v>1.3000000000000002E-3</v>
      </c>
    </row>
    <row r="13" spans="2:25" x14ac:dyDescent="0.4">
      <c r="E13" s="1">
        <f t="shared" si="0"/>
        <v>45352</v>
      </c>
      <c r="F13" s="1">
        <f t="shared" si="1"/>
        <v>45172</v>
      </c>
      <c r="G13" s="1">
        <f t="shared" si="2"/>
        <v>45352</v>
      </c>
      <c r="H13" t="s">
        <v>9</v>
      </c>
      <c r="I13" s="2">
        <f t="shared" si="3"/>
        <v>12000000</v>
      </c>
      <c r="J13" s="3">
        <f t="shared" si="4"/>
        <v>1.4000000000000002E-3</v>
      </c>
    </row>
    <row r="14" spans="2:25" x14ac:dyDescent="0.4">
      <c r="E14" s="1">
        <f t="shared" si="0"/>
        <v>45532</v>
      </c>
      <c r="F14" s="1">
        <f t="shared" si="1"/>
        <v>45352</v>
      </c>
      <c r="G14" s="1">
        <f t="shared" si="2"/>
        <v>45532</v>
      </c>
      <c r="H14" t="s">
        <v>9</v>
      </c>
      <c r="I14" s="2">
        <f>I13</f>
        <v>12000000</v>
      </c>
      <c r="J14" s="3">
        <f t="shared" si="4"/>
        <v>1.5000000000000002E-3</v>
      </c>
    </row>
    <row r="16" spans="2:25" s="4" customFormat="1" ht="18" x14ac:dyDescent="0.4">
      <c r="E16" s="4" t="s">
        <v>60</v>
      </c>
      <c r="P16" s="4" t="s">
        <v>61</v>
      </c>
      <c r="Y16" s="4" t="s">
        <v>62</v>
      </c>
    </row>
    <row r="18" spans="5:36" x14ac:dyDescent="0.4">
      <c r="E18" t="s">
        <v>27</v>
      </c>
      <c r="I18" t="s">
        <v>29</v>
      </c>
      <c r="P18" t="s">
        <v>26</v>
      </c>
      <c r="T18" t="s">
        <v>28</v>
      </c>
      <c r="AA18" t="s">
        <v>26</v>
      </c>
      <c r="AE18" t="s">
        <v>28</v>
      </c>
    </row>
    <row r="19" spans="5:36" x14ac:dyDescent="0.4">
      <c r="E19" t="str" cm="1">
        <f t="array" ref="E19:F57">_xll.ExLibris.Json.GetJsonKeyValuesAsync(F1,, EXLIBRIS_CONFIGURATION)</f>
        <v>trade_code</v>
      </c>
      <c r="F19" t="str">
        <v>money_00001</v>
      </c>
      <c r="G19" t="str" cm="1">
        <f t="array" ref="G19">_xll.ExLibris.Json.GetJsonValueAsync($F$1,E19, EXLIBRIS_CONFIGURATION)</f>
        <v>money_00001</v>
      </c>
      <c r="I19" t="str" cm="1">
        <f t="array" ref="I19">_xll.ExLibris.Json.GetJsonValueAsync(F1,E6, EXLIBRIS_CONFIGURATION)</f>
        <v>JsonObject:F3085FBE-9F79-46CE-9165-745350A21E70</v>
      </c>
      <c r="P19" t="s">
        <v>12</v>
      </c>
      <c r="Q19" t="s">
        <v>14</v>
      </c>
      <c r="R19" t="s">
        <v>14</v>
      </c>
      <c r="AA19" t="b">
        <f t="shared" ref="AA19:AA57" si="5">E19=P19</f>
        <v>1</v>
      </c>
      <c r="AB19" t="b">
        <f t="shared" ref="AB19:AC57" si="6">E19=P19</f>
        <v>1</v>
      </c>
      <c r="AC19" t="b">
        <f t="shared" si="6"/>
        <v>1</v>
      </c>
    </row>
    <row r="20" spans="5:36" x14ac:dyDescent="0.4">
      <c r="E20" t="str">
        <v>couter_party</v>
      </c>
      <c r="F20" t="str">
        <v>CP00001</v>
      </c>
      <c r="G20" t="str" cm="1">
        <f t="array" ref="G20">_xll.ExLibris.Json.GetJsonValueAsync($F$1,E20, EXLIBRIS_CONFIGURATION)</f>
        <v>CP00001</v>
      </c>
      <c r="I20" t="str" cm="1">
        <f t="array" ref="I20:N26">_xll.ExLibris.Json.GetJsonTableAsync(I19,,EXLIBRIS_CONFIGURATION)</f>
        <v>payment _date</v>
      </c>
      <c r="J20" t="str">
        <v>start_date</v>
      </c>
      <c r="K20" t="str">
        <v>end_date</v>
      </c>
      <c r="L20" t="str">
        <v>day_count_type</v>
      </c>
      <c r="M20" t="str">
        <v>amount</v>
      </c>
      <c r="N20" t="str">
        <v>fixed_rate</v>
      </c>
      <c r="P20" t="s">
        <v>16</v>
      </c>
      <c r="Q20" t="s">
        <v>18</v>
      </c>
      <c r="R20" t="s">
        <v>18</v>
      </c>
      <c r="T20" t="s">
        <v>0</v>
      </c>
      <c r="U20" t="s">
        <v>2</v>
      </c>
      <c r="V20" t="s">
        <v>4</v>
      </c>
      <c r="W20" t="s">
        <v>6</v>
      </c>
      <c r="X20" t="s">
        <v>175</v>
      </c>
      <c r="Y20" t="s">
        <v>10</v>
      </c>
      <c r="AA20" t="b">
        <f t="shared" si="5"/>
        <v>1</v>
      </c>
      <c r="AB20" t="b">
        <f t="shared" si="6"/>
        <v>1</v>
      </c>
      <c r="AC20" t="b">
        <f t="shared" si="6"/>
        <v>1</v>
      </c>
      <c r="AE20" t="b">
        <f t="shared" ref="AE20:AJ26" si="7">I20=T20</f>
        <v>1</v>
      </c>
      <c r="AF20" t="b">
        <f t="shared" si="7"/>
        <v>1</v>
      </c>
      <c r="AG20" t="b">
        <f t="shared" si="7"/>
        <v>1</v>
      </c>
      <c r="AH20" t="b">
        <f t="shared" si="7"/>
        <v>1</v>
      </c>
      <c r="AI20" t="b">
        <f t="shared" si="7"/>
        <v>1</v>
      </c>
      <c r="AJ20" t="b">
        <f t="shared" si="7"/>
        <v>1</v>
      </c>
    </row>
    <row r="21" spans="5:36" x14ac:dyDescent="0.4">
      <c r="E21" t="str">
        <v>fixed_leg.pay_or_recieve</v>
      </c>
      <c r="F21" t="str">
        <v>Receive</v>
      </c>
      <c r="G21" t="str" cm="1">
        <f t="array" ref="G21">_xll.ExLibris.Json.GetJsonValueAsync($F$1,E21, EXLIBRIS_CONFIGURATION)</f>
        <v>Receive</v>
      </c>
      <c r="I21" t="str">
        <v>2022-03-12</v>
      </c>
      <c r="J21" t="str">
        <v>2021-09-13</v>
      </c>
      <c r="K21" t="str">
        <v>2022-03-12</v>
      </c>
      <c r="L21" t="str">
        <v>ACT/360</v>
      </c>
      <c r="M21">
        <v>10000000</v>
      </c>
      <c r="N21">
        <v>1E-3</v>
      </c>
      <c r="P21" t="s">
        <v>20</v>
      </c>
      <c r="Q21" t="s">
        <v>22</v>
      </c>
      <c r="R21" t="s">
        <v>22</v>
      </c>
      <c r="T21" t="s">
        <v>85</v>
      </c>
      <c r="U21" t="s">
        <v>86</v>
      </c>
      <c r="V21" t="s">
        <v>85</v>
      </c>
      <c r="W21" t="s">
        <v>8</v>
      </c>
      <c r="X21">
        <v>10000000</v>
      </c>
      <c r="Y21">
        <v>1E-3</v>
      </c>
      <c r="AA21" t="b">
        <f t="shared" si="5"/>
        <v>1</v>
      </c>
      <c r="AB21" t="b">
        <f t="shared" si="6"/>
        <v>1</v>
      </c>
      <c r="AC21" t="b">
        <f t="shared" si="6"/>
        <v>1</v>
      </c>
      <c r="AE21" t="b">
        <f t="shared" si="7"/>
        <v>1</v>
      </c>
      <c r="AF21" t="b">
        <f t="shared" si="7"/>
        <v>1</v>
      </c>
      <c r="AG21" t="b">
        <f t="shared" si="7"/>
        <v>1</v>
      </c>
      <c r="AH21" t="b">
        <f t="shared" si="7"/>
        <v>1</v>
      </c>
      <c r="AI21" t="b">
        <f t="shared" si="7"/>
        <v>1</v>
      </c>
      <c r="AJ21" t="b">
        <f t="shared" si="7"/>
        <v>1</v>
      </c>
    </row>
    <row r="22" spans="5:36" x14ac:dyDescent="0.4">
      <c r="E22" t="str">
        <v>fixed_leg.cashflows.[0].payment _date</v>
      </c>
      <c r="F22" t="str">
        <v>2022-03-12</v>
      </c>
      <c r="G22" t="str" cm="1">
        <f t="array" ref="G22">_xll.ExLibris.Json.GetJsonValueAsync($F$1,E22, EXLIBRIS_CONFIGURATION)</f>
        <v>2022-03-12</v>
      </c>
      <c r="I22" t="str">
        <v>2022-09-08</v>
      </c>
      <c r="J22" t="str">
        <v>2022-03-12</v>
      </c>
      <c r="K22" t="str">
        <v>2022-09-08</v>
      </c>
      <c r="L22" t="str">
        <v>ACT/360</v>
      </c>
      <c r="M22">
        <v>10000000</v>
      </c>
      <c r="N22">
        <v>1.1000000000000001E-3</v>
      </c>
      <c r="P22" t="s">
        <v>30</v>
      </c>
      <c r="Q22" t="s">
        <v>85</v>
      </c>
      <c r="R22" t="s">
        <v>85</v>
      </c>
      <c r="T22" t="s">
        <v>87</v>
      </c>
      <c r="U22" t="s">
        <v>85</v>
      </c>
      <c r="V22" t="s">
        <v>87</v>
      </c>
      <c r="W22" t="s">
        <v>8</v>
      </c>
      <c r="X22">
        <v>10000000</v>
      </c>
      <c r="Y22">
        <v>1.1000000000000001E-3</v>
      </c>
      <c r="AA22" t="b">
        <f t="shared" si="5"/>
        <v>1</v>
      </c>
      <c r="AB22" t="b">
        <f t="shared" si="6"/>
        <v>1</v>
      </c>
      <c r="AC22" t="b">
        <f t="shared" si="6"/>
        <v>1</v>
      </c>
      <c r="AE22" t="b">
        <f t="shared" si="7"/>
        <v>1</v>
      </c>
      <c r="AF22" t="b">
        <f t="shared" si="7"/>
        <v>1</v>
      </c>
      <c r="AG22" t="b">
        <f t="shared" si="7"/>
        <v>1</v>
      </c>
      <c r="AH22" t="b">
        <f t="shared" si="7"/>
        <v>1</v>
      </c>
      <c r="AI22" t="b">
        <f t="shared" si="7"/>
        <v>1</v>
      </c>
      <c r="AJ22" t="b">
        <f t="shared" si="7"/>
        <v>1</v>
      </c>
    </row>
    <row r="23" spans="5:36" x14ac:dyDescent="0.4">
      <c r="E23" t="str">
        <v>fixed_leg.cashflows.[0].start_date</v>
      </c>
      <c r="F23" t="str">
        <v>2021-09-13</v>
      </c>
      <c r="G23" t="str" cm="1">
        <f t="array" ref="G23">_xll.ExLibris.Json.GetJsonValueAsync($F$1,E23, EXLIBRIS_CONFIGURATION)</f>
        <v>2021-09-13</v>
      </c>
      <c r="I23" t="str">
        <v>2023-03-07</v>
      </c>
      <c r="J23" t="str">
        <v>2022-09-08</v>
      </c>
      <c r="K23" t="str">
        <v>2023-03-07</v>
      </c>
      <c r="L23" t="str">
        <v>ACT/360</v>
      </c>
      <c r="M23">
        <v>11000000</v>
      </c>
      <c r="N23">
        <v>1.2000000000000001E-3</v>
      </c>
      <c r="P23" t="s">
        <v>31</v>
      </c>
      <c r="Q23" t="s">
        <v>86</v>
      </c>
      <c r="R23" t="s">
        <v>86</v>
      </c>
      <c r="T23" t="s">
        <v>88</v>
      </c>
      <c r="U23" t="s">
        <v>87</v>
      </c>
      <c r="V23" t="s">
        <v>88</v>
      </c>
      <c r="W23" t="s">
        <v>8</v>
      </c>
      <c r="X23">
        <v>11000000</v>
      </c>
      <c r="Y23">
        <v>1.2000000000000001E-3</v>
      </c>
      <c r="AA23" t="b">
        <f t="shared" si="5"/>
        <v>1</v>
      </c>
      <c r="AB23" t="b">
        <f t="shared" si="6"/>
        <v>1</v>
      </c>
      <c r="AC23" t="b">
        <f t="shared" si="6"/>
        <v>1</v>
      </c>
      <c r="AE23" t="b">
        <f t="shared" si="7"/>
        <v>1</v>
      </c>
      <c r="AF23" t="b">
        <f t="shared" si="7"/>
        <v>1</v>
      </c>
      <c r="AG23" t="b">
        <f t="shared" si="7"/>
        <v>1</v>
      </c>
      <c r="AH23" t="b">
        <f t="shared" si="7"/>
        <v>1</v>
      </c>
      <c r="AI23" t="b">
        <f t="shared" si="7"/>
        <v>1</v>
      </c>
      <c r="AJ23" t="b">
        <f t="shared" si="7"/>
        <v>1</v>
      </c>
    </row>
    <row r="24" spans="5:36" x14ac:dyDescent="0.4">
      <c r="E24" t="str">
        <v>fixed_leg.cashflows.[0].end_date</v>
      </c>
      <c r="F24" t="str">
        <v>2022-03-12</v>
      </c>
      <c r="G24" t="str" cm="1">
        <f t="array" ref="G24">_xll.ExLibris.Json.GetJsonValueAsync($F$1,E24, EXLIBRIS_CONFIGURATION)</f>
        <v>2022-03-12</v>
      </c>
      <c r="I24" t="str">
        <v>2023-09-03</v>
      </c>
      <c r="J24" t="str">
        <v>2023-03-07</v>
      </c>
      <c r="K24" t="str">
        <v>2023-09-03</v>
      </c>
      <c r="L24" t="str">
        <v>ACT/360</v>
      </c>
      <c r="M24">
        <v>11000000</v>
      </c>
      <c r="N24">
        <v>1.3000000000000002E-3</v>
      </c>
      <c r="P24" t="s">
        <v>32</v>
      </c>
      <c r="Q24" t="s">
        <v>85</v>
      </c>
      <c r="R24" t="s">
        <v>85</v>
      </c>
      <c r="T24" t="s">
        <v>89</v>
      </c>
      <c r="U24" t="s">
        <v>88</v>
      </c>
      <c r="V24" t="s">
        <v>89</v>
      </c>
      <c r="W24" t="s">
        <v>8</v>
      </c>
      <c r="X24">
        <v>11000000</v>
      </c>
      <c r="Y24">
        <v>1.3000000000000002E-3</v>
      </c>
      <c r="AA24" t="b">
        <f t="shared" si="5"/>
        <v>1</v>
      </c>
      <c r="AB24" t="b">
        <f t="shared" si="6"/>
        <v>1</v>
      </c>
      <c r="AC24" t="b">
        <f t="shared" si="6"/>
        <v>1</v>
      </c>
      <c r="AE24" t="b">
        <f t="shared" si="7"/>
        <v>1</v>
      </c>
      <c r="AF24" t="b">
        <f t="shared" si="7"/>
        <v>1</v>
      </c>
      <c r="AG24" t="b">
        <f t="shared" si="7"/>
        <v>1</v>
      </c>
      <c r="AH24" t="b">
        <f t="shared" si="7"/>
        <v>1</v>
      </c>
      <c r="AI24" t="b">
        <f t="shared" si="7"/>
        <v>1</v>
      </c>
      <c r="AJ24" t="b">
        <f t="shared" si="7"/>
        <v>1</v>
      </c>
    </row>
    <row r="25" spans="5:36" x14ac:dyDescent="0.4">
      <c r="E25" t="str">
        <v>fixed_leg.cashflows.[0].day_count_type</v>
      </c>
      <c r="F25" t="str">
        <v>ACT/360</v>
      </c>
      <c r="G25" t="str" cm="1">
        <f t="array" ref="G25">_xll.ExLibris.Json.GetJsonValueAsync($F$1,E25, EXLIBRIS_CONFIGURATION)</f>
        <v>ACT/360</v>
      </c>
      <c r="I25" t="str">
        <v>2024-03-01</v>
      </c>
      <c r="J25" t="str">
        <v>2023-09-03</v>
      </c>
      <c r="K25" t="str">
        <v>2024-03-01</v>
      </c>
      <c r="L25" t="str">
        <v>ACT/360</v>
      </c>
      <c r="M25">
        <v>12000000</v>
      </c>
      <c r="N25">
        <v>1.4000000000000002E-3</v>
      </c>
      <c r="P25" t="s">
        <v>33</v>
      </c>
      <c r="Q25" t="s">
        <v>8</v>
      </c>
      <c r="R25" t="s">
        <v>8</v>
      </c>
      <c r="T25" t="s">
        <v>90</v>
      </c>
      <c r="U25" t="s">
        <v>89</v>
      </c>
      <c r="V25" t="s">
        <v>90</v>
      </c>
      <c r="W25" t="s">
        <v>8</v>
      </c>
      <c r="X25">
        <v>12000000</v>
      </c>
      <c r="Y25">
        <v>1.4000000000000002E-3</v>
      </c>
      <c r="AA25" t="b">
        <f t="shared" si="5"/>
        <v>1</v>
      </c>
      <c r="AB25" t="b">
        <f t="shared" si="6"/>
        <v>1</v>
      </c>
      <c r="AC25" t="b">
        <f t="shared" si="6"/>
        <v>1</v>
      </c>
      <c r="AE25" t="b">
        <f t="shared" si="7"/>
        <v>1</v>
      </c>
      <c r="AF25" t="b">
        <f t="shared" si="7"/>
        <v>1</v>
      </c>
      <c r="AG25" t="b">
        <f t="shared" si="7"/>
        <v>1</v>
      </c>
      <c r="AH25" t="b">
        <f t="shared" si="7"/>
        <v>1</v>
      </c>
      <c r="AI25" t="b">
        <f t="shared" si="7"/>
        <v>1</v>
      </c>
      <c r="AJ25" t="b">
        <f t="shared" si="7"/>
        <v>1</v>
      </c>
    </row>
    <row r="26" spans="5:36" x14ac:dyDescent="0.4">
      <c r="E26" t="str">
        <v>fixed_leg.cashflows.[0].amount</v>
      </c>
      <c r="F26">
        <v>10000000</v>
      </c>
      <c r="G26" cm="1">
        <f t="array" ref="G26">_xll.ExLibris.Json.GetJsonValueAsync($F$1,E26, EXLIBRIS_CONFIGURATION)</f>
        <v>10000000</v>
      </c>
      <c r="I26" t="str">
        <v>2024-08-28</v>
      </c>
      <c r="J26" t="str">
        <v>2024-03-01</v>
      </c>
      <c r="K26" t="str">
        <v>2024-08-28</v>
      </c>
      <c r="L26" t="str">
        <v>ACT/360</v>
      </c>
      <c r="M26">
        <v>12000000</v>
      </c>
      <c r="N26">
        <v>1.5000000000000002E-3</v>
      </c>
      <c r="P26" t="s">
        <v>176</v>
      </c>
      <c r="Q26">
        <v>10000000</v>
      </c>
      <c r="R26">
        <v>10000000</v>
      </c>
      <c r="T26" t="s">
        <v>91</v>
      </c>
      <c r="U26" t="s">
        <v>90</v>
      </c>
      <c r="V26" t="s">
        <v>91</v>
      </c>
      <c r="W26" t="s">
        <v>8</v>
      </c>
      <c r="X26">
        <v>12000000</v>
      </c>
      <c r="Y26">
        <v>1.5000000000000002E-3</v>
      </c>
      <c r="AA26" t="b">
        <f t="shared" si="5"/>
        <v>1</v>
      </c>
      <c r="AB26" t="b">
        <f t="shared" si="6"/>
        <v>1</v>
      </c>
      <c r="AC26" t="b">
        <f t="shared" si="6"/>
        <v>1</v>
      </c>
      <c r="AE26" t="b">
        <f t="shared" si="7"/>
        <v>1</v>
      </c>
      <c r="AF26" t="b">
        <f t="shared" si="7"/>
        <v>1</v>
      </c>
      <c r="AG26" t="b">
        <f t="shared" si="7"/>
        <v>1</v>
      </c>
      <c r="AH26" t="b">
        <f t="shared" si="7"/>
        <v>1</v>
      </c>
      <c r="AI26" t="b">
        <f t="shared" si="7"/>
        <v>1</v>
      </c>
      <c r="AJ26" t="b">
        <f t="shared" si="7"/>
        <v>1</v>
      </c>
    </row>
    <row r="27" spans="5:36" x14ac:dyDescent="0.4">
      <c r="E27" t="str">
        <v>fixed_leg.cashflows.[0].fixed_rate</v>
      </c>
      <c r="F27">
        <v>1E-3</v>
      </c>
      <c r="G27" cm="1">
        <f t="array" ref="G27">_xll.ExLibris.Json.GetJsonValueAsync($F$1,E27, EXLIBRIS_CONFIGURATION)</f>
        <v>1E-3</v>
      </c>
      <c r="P27" t="s">
        <v>34</v>
      </c>
      <c r="Q27">
        <v>1E-3</v>
      </c>
      <c r="R27">
        <v>1E-3</v>
      </c>
      <c r="AA27" t="b">
        <f t="shared" si="5"/>
        <v>1</v>
      </c>
      <c r="AB27" t="b">
        <f t="shared" si="6"/>
        <v>1</v>
      </c>
      <c r="AC27" t="b">
        <f t="shared" si="6"/>
        <v>1</v>
      </c>
    </row>
    <row r="28" spans="5:36" x14ac:dyDescent="0.4">
      <c r="E28" t="str">
        <v>fixed_leg.cashflows.[1].payment _date</v>
      </c>
      <c r="F28" t="str">
        <v>2022-09-08</v>
      </c>
      <c r="G28" t="str" cm="1">
        <f t="array" ref="G28">_xll.ExLibris.Json.GetJsonValueAsync($F$1,E28, EXLIBRIS_CONFIGURATION)</f>
        <v>2022-09-08</v>
      </c>
      <c r="I28" t="str" cm="1">
        <f t="array" ref="I28">_xll.ExLibris.Json.GetJsonValueAsync(I19,"[2]", EXLIBRIS_CONFIGURATION)</f>
        <v>JsonObject:45DE8A71-7DB4-4C8A-91FA-74E6271057AC</v>
      </c>
      <c r="P28" t="s">
        <v>35</v>
      </c>
      <c r="Q28" t="s">
        <v>87</v>
      </c>
      <c r="R28" t="s">
        <v>87</v>
      </c>
      <c r="AA28" t="b">
        <f t="shared" si="5"/>
        <v>1</v>
      </c>
      <c r="AB28" t="b">
        <f t="shared" si="6"/>
        <v>1</v>
      </c>
      <c r="AC28" t="b">
        <f t="shared" si="6"/>
        <v>1</v>
      </c>
    </row>
    <row r="29" spans="5:36" x14ac:dyDescent="0.4">
      <c r="E29" t="str">
        <v>fixed_leg.cashflows.[1].start_date</v>
      </c>
      <c r="F29" t="str">
        <v>2022-03-12</v>
      </c>
      <c r="G29" t="str" cm="1">
        <f t="array" ref="G29">_xll.ExLibris.Json.GetJsonValueAsync($F$1,E29, EXLIBRIS_CONFIGURATION)</f>
        <v>2022-03-12</v>
      </c>
      <c r="I29" t="str" cm="1">
        <f t="array" ref="I29:N30">_xll.ExLibris.Json.GetJsonTableAsync(I28,,EXLIBRIS_CONFIGURATION)</f>
        <v>payment _date</v>
      </c>
      <c r="J29" t="str">
        <v>start_date</v>
      </c>
      <c r="K29" t="str">
        <v>end_date</v>
      </c>
      <c r="L29" t="str">
        <v>day_count_type</v>
      </c>
      <c r="M29" t="str">
        <v>amount</v>
      </c>
      <c r="N29" t="str">
        <v>fixed_rate</v>
      </c>
      <c r="P29" t="s">
        <v>36</v>
      </c>
      <c r="Q29" t="s">
        <v>85</v>
      </c>
      <c r="R29" t="s">
        <v>85</v>
      </c>
      <c r="T29" t="s">
        <v>0</v>
      </c>
      <c r="U29" t="s">
        <v>2</v>
      </c>
      <c r="V29" t="s">
        <v>4</v>
      </c>
      <c r="W29" t="s">
        <v>6</v>
      </c>
      <c r="X29" t="s">
        <v>175</v>
      </c>
      <c r="Y29" t="s">
        <v>10</v>
      </c>
      <c r="AA29" t="b">
        <f t="shared" si="5"/>
        <v>1</v>
      </c>
      <c r="AB29" t="b">
        <f t="shared" si="6"/>
        <v>1</v>
      </c>
      <c r="AC29" t="b">
        <f t="shared" si="6"/>
        <v>1</v>
      </c>
      <c r="AE29" t="b">
        <f t="shared" ref="AE29:AJ30" si="8">I29=T29</f>
        <v>1</v>
      </c>
      <c r="AF29" t="b">
        <f t="shared" si="8"/>
        <v>1</v>
      </c>
      <c r="AG29" t="b">
        <f t="shared" si="8"/>
        <v>1</v>
      </c>
      <c r="AH29" t="b">
        <f t="shared" si="8"/>
        <v>1</v>
      </c>
      <c r="AI29" t="b">
        <f t="shared" si="8"/>
        <v>1</v>
      </c>
      <c r="AJ29" t="b">
        <f t="shared" si="8"/>
        <v>1</v>
      </c>
    </row>
    <row r="30" spans="5:36" x14ac:dyDescent="0.4">
      <c r="E30" t="str">
        <v>fixed_leg.cashflows.[1].end_date</v>
      </c>
      <c r="F30" t="str">
        <v>2022-09-08</v>
      </c>
      <c r="G30" t="str" cm="1">
        <f t="array" ref="G30">_xll.ExLibris.Json.GetJsonValueAsync($F$1,E30, EXLIBRIS_CONFIGURATION)</f>
        <v>2022-09-08</v>
      </c>
      <c r="I30" t="str">
        <v>2023-03-07</v>
      </c>
      <c r="J30" t="str">
        <v>2022-09-08</v>
      </c>
      <c r="K30" t="str">
        <v>2023-03-07</v>
      </c>
      <c r="L30" t="str">
        <v>ACT/360</v>
      </c>
      <c r="M30">
        <v>11000000</v>
      </c>
      <c r="N30">
        <v>1.2000000000000001E-3</v>
      </c>
      <c r="P30" t="s">
        <v>37</v>
      </c>
      <c r="Q30" t="s">
        <v>87</v>
      </c>
      <c r="R30" t="s">
        <v>87</v>
      </c>
      <c r="T30" t="s">
        <v>88</v>
      </c>
      <c r="U30" t="s">
        <v>87</v>
      </c>
      <c r="V30" t="s">
        <v>88</v>
      </c>
      <c r="W30" t="s">
        <v>8</v>
      </c>
      <c r="X30">
        <v>11000000</v>
      </c>
      <c r="Y30">
        <v>1.2000000000000001E-3</v>
      </c>
      <c r="AA30" t="b">
        <f t="shared" si="5"/>
        <v>1</v>
      </c>
      <c r="AB30" t="b">
        <f t="shared" si="6"/>
        <v>1</v>
      </c>
      <c r="AC30" t="b">
        <f t="shared" si="6"/>
        <v>1</v>
      </c>
      <c r="AE30" t="b">
        <f t="shared" si="8"/>
        <v>1</v>
      </c>
      <c r="AF30" t="b">
        <f t="shared" si="8"/>
        <v>1</v>
      </c>
      <c r="AG30" t="b">
        <f t="shared" si="8"/>
        <v>1</v>
      </c>
      <c r="AH30" t="b">
        <f t="shared" si="8"/>
        <v>1</v>
      </c>
      <c r="AI30" t="b">
        <f t="shared" si="8"/>
        <v>1</v>
      </c>
      <c r="AJ30" t="b">
        <f t="shared" si="8"/>
        <v>1</v>
      </c>
    </row>
    <row r="31" spans="5:36" x14ac:dyDescent="0.4">
      <c r="E31" t="str">
        <v>fixed_leg.cashflows.[1].day_count_type</v>
      </c>
      <c r="F31" t="str">
        <v>ACT/360</v>
      </c>
      <c r="G31" t="str" cm="1">
        <f t="array" ref="G31">_xll.ExLibris.Json.GetJsonValueAsync($F$1,E31, EXLIBRIS_CONFIGURATION)</f>
        <v>ACT/360</v>
      </c>
      <c r="P31" t="s">
        <v>38</v>
      </c>
      <c r="Q31" t="s">
        <v>8</v>
      </c>
      <c r="R31" t="s">
        <v>8</v>
      </c>
      <c r="AA31" t="b">
        <f t="shared" si="5"/>
        <v>1</v>
      </c>
      <c r="AB31" t="b">
        <f t="shared" si="6"/>
        <v>1</v>
      </c>
      <c r="AC31" t="b">
        <f t="shared" si="6"/>
        <v>1</v>
      </c>
    </row>
    <row r="32" spans="5:36" x14ac:dyDescent="0.4">
      <c r="E32" t="str">
        <v>fixed_leg.cashflows.[1].amount</v>
      </c>
      <c r="F32">
        <v>10000000</v>
      </c>
      <c r="G32" cm="1">
        <f t="array" ref="G32">_xll.ExLibris.Json.GetJsonValueAsync($F$1,E32, EXLIBRIS_CONFIGURATION)</f>
        <v>10000000</v>
      </c>
      <c r="I32" t="str" cm="1">
        <f t="array" ref="I32">_xll.ExLibris.Json.GetJsonValueAsync(F1,E6,EXLIBRIS_CONFIGURATION)</f>
        <v>JsonObject:F3085FBE-9F79-46CE-9165-745350A21E70</v>
      </c>
      <c r="P32" t="s">
        <v>177</v>
      </c>
      <c r="Q32">
        <v>10000000</v>
      </c>
      <c r="R32">
        <v>10000000</v>
      </c>
      <c r="AA32" t="b">
        <f t="shared" si="5"/>
        <v>1</v>
      </c>
      <c r="AB32" t="b">
        <f t="shared" si="6"/>
        <v>1</v>
      </c>
      <c r="AC32" t="b">
        <f t="shared" si="6"/>
        <v>1</v>
      </c>
    </row>
    <row r="33" spans="5:36" x14ac:dyDescent="0.4">
      <c r="E33" t="str">
        <v>fixed_leg.cashflows.[1].fixed_rate</v>
      </c>
      <c r="F33">
        <v>1.1000000000000001E-3</v>
      </c>
      <c r="G33" cm="1">
        <f t="array" ref="G33">_xll.ExLibris.Json.GetJsonValueAsync($F$1,E33, EXLIBRIS_CONFIGURATION)</f>
        <v>1.1000000000000001E-3</v>
      </c>
      <c r="I33" t="str" cm="1">
        <f t="array" ref="I33">_xll.ExLibris.Json.SearchJsonArrayElementsAsync(I32,I8,I11,EXLIBRIS_CONFIGURATION)</f>
        <v>JsonObject:50F505B9-A50D-416A-A11D-E9C4CCC85B68</v>
      </c>
      <c r="P33" t="s">
        <v>39</v>
      </c>
      <c r="Q33">
        <v>1.1000000000000001E-3</v>
      </c>
      <c r="R33">
        <v>1.1000000000000001E-3</v>
      </c>
      <c r="AA33" t="b">
        <f t="shared" si="5"/>
        <v>1</v>
      </c>
      <c r="AB33" t="b">
        <f t="shared" si="6"/>
        <v>1</v>
      </c>
      <c r="AC33" t="b">
        <f t="shared" si="6"/>
        <v>1</v>
      </c>
    </row>
    <row r="34" spans="5:36" x14ac:dyDescent="0.4">
      <c r="E34" t="str">
        <v>fixed_leg.cashflows.[2].payment _date</v>
      </c>
      <c r="F34" t="str">
        <v>2023-03-07</v>
      </c>
      <c r="G34" t="str" cm="1">
        <f t="array" ref="G34">_xll.ExLibris.Json.GetJsonValueAsync($F$1,E34, EXLIBRIS_CONFIGURATION)</f>
        <v>2023-03-07</v>
      </c>
      <c r="I34" t="str" cm="1">
        <f t="array" ref="I34:N36">_xll.ExLibris.Json.GetJsonTableAsync(I33,,EXLIBRIS_CONFIGURATION)</f>
        <v>payment _date</v>
      </c>
      <c r="J34" t="str">
        <v>start_date</v>
      </c>
      <c r="K34" t="str">
        <v>end_date</v>
      </c>
      <c r="L34" t="str">
        <v>day_count_type</v>
      </c>
      <c r="M34" t="str">
        <v>amount</v>
      </c>
      <c r="N34" t="str">
        <v>fixed_rate</v>
      </c>
      <c r="P34" t="s">
        <v>40</v>
      </c>
      <c r="Q34" t="s">
        <v>88</v>
      </c>
      <c r="R34" t="s">
        <v>88</v>
      </c>
      <c r="T34" t="s">
        <v>0</v>
      </c>
      <c r="U34" t="s">
        <v>2</v>
      </c>
      <c r="V34" t="s">
        <v>4</v>
      </c>
      <c r="W34" t="s">
        <v>6</v>
      </c>
      <c r="X34" t="s">
        <v>175</v>
      </c>
      <c r="Y34" t="s">
        <v>10</v>
      </c>
      <c r="AA34" t="b">
        <f t="shared" si="5"/>
        <v>1</v>
      </c>
      <c r="AB34" t="b">
        <f t="shared" si="6"/>
        <v>1</v>
      </c>
      <c r="AC34" t="b">
        <f t="shared" si="6"/>
        <v>1</v>
      </c>
      <c r="AE34" t="b">
        <f t="shared" ref="AE34:AE36" si="9">I34=T34</f>
        <v>1</v>
      </c>
      <c r="AF34" t="b">
        <f t="shared" ref="AF34:AF36" si="10">J34=U34</f>
        <v>1</v>
      </c>
      <c r="AG34" t="b">
        <f t="shared" ref="AG34:AG36" si="11">K34=V34</f>
        <v>1</v>
      </c>
      <c r="AH34" t="b">
        <f t="shared" ref="AH34:AH36" si="12">L34=W34</f>
        <v>1</v>
      </c>
      <c r="AI34" t="b">
        <f t="shared" ref="AI34:AI36" si="13">M34=X34</f>
        <v>1</v>
      </c>
      <c r="AJ34" t="b">
        <f t="shared" ref="AJ34:AJ36" si="14">N34=Y34</f>
        <v>1</v>
      </c>
    </row>
    <row r="35" spans="5:36" x14ac:dyDescent="0.4">
      <c r="E35" t="str">
        <v>fixed_leg.cashflows.[2].start_date</v>
      </c>
      <c r="F35" t="str">
        <v>2022-09-08</v>
      </c>
      <c r="G35" t="str" cm="1">
        <f t="array" ref="G35">_xll.ExLibris.Json.GetJsonValueAsync($F$1,E35, EXLIBRIS_CONFIGURATION)</f>
        <v>2022-09-08</v>
      </c>
      <c r="I35" t="str">
        <v>2023-03-07</v>
      </c>
      <c r="J35" t="str">
        <v>2022-09-08</v>
      </c>
      <c r="K35" t="str">
        <v>2023-03-07</v>
      </c>
      <c r="L35" t="str">
        <v>ACT/360</v>
      </c>
      <c r="M35">
        <v>11000000</v>
      </c>
      <c r="N35">
        <v>1.2000000000000001E-3</v>
      </c>
      <c r="P35" t="s">
        <v>41</v>
      </c>
      <c r="Q35" t="s">
        <v>87</v>
      </c>
      <c r="R35" t="s">
        <v>87</v>
      </c>
      <c r="T35" t="s">
        <v>88</v>
      </c>
      <c r="U35" t="s">
        <v>87</v>
      </c>
      <c r="V35" t="s">
        <v>88</v>
      </c>
      <c r="W35" t="s">
        <v>8</v>
      </c>
      <c r="X35">
        <v>11000000</v>
      </c>
      <c r="Y35">
        <v>1.2000000000000001E-3</v>
      </c>
      <c r="AA35" t="b">
        <f t="shared" si="5"/>
        <v>1</v>
      </c>
      <c r="AB35" t="b">
        <f t="shared" si="6"/>
        <v>1</v>
      </c>
      <c r="AC35" t="b">
        <f t="shared" si="6"/>
        <v>1</v>
      </c>
      <c r="AE35" t="b">
        <f t="shared" si="9"/>
        <v>1</v>
      </c>
      <c r="AF35" t="b">
        <f t="shared" si="10"/>
        <v>1</v>
      </c>
      <c r="AG35" t="b">
        <f t="shared" si="11"/>
        <v>1</v>
      </c>
      <c r="AH35" t="b">
        <f t="shared" si="12"/>
        <v>1</v>
      </c>
      <c r="AI35" t="b">
        <f t="shared" si="13"/>
        <v>1</v>
      </c>
      <c r="AJ35" t="b">
        <f t="shared" si="14"/>
        <v>1</v>
      </c>
    </row>
    <row r="36" spans="5:36" x14ac:dyDescent="0.4">
      <c r="E36" t="str">
        <v>fixed_leg.cashflows.[2].end_date</v>
      </c>
      <c r="F36" t="str">
        <v>2023-03-07</v>
      </c>
      <c r="G36" t="str" cm="1">
        <f t="array" ref="G36">_xll.ExLibris.Json.GetJsonValueAsync($F$1,E36, EXLIBRIS_CONFIGURATION)</f>
        <v>2023-03-07</v>
      </c>
      <c r="I36" t="str">
        <v>2023-09-03</v>
      </c>
      <c r="J36" t="str">
        <v>2023-03-07</v>
      </c>
      <c r="K36" t="str">
        <v>2023-09-03</v>
      </c>
      <c r="L36" t="str">
        <v>ACT/360</v>
      </c>
      <c r="M36">
        <v>11000000</v>
      </c>
      <c r="N36">
        <v>1.3000000000000002E-3</v>
      </c>
      <c r="P36" t="s">
        <v>42</v>
      </c>
      <c r="Q36" t="s">
        <v>88</v>
      </c>
      <c r="R36" t="s">
        <v>88</v>
      </c>
      <c r="T36" t="s">
        <v>89</v>
      </c>
      <c r="U36" t="s">
        <v>88</v>
      </c>
      <c r="V36" t="s">
        <v>89</v>
      </c>
      <c r="W36" t="s">
        <v>8</v>
      </c>
      <c r="X36">
        <v>11000000</v>
      </c>
      <c r="Y36">
        <v>1.3000000000000002E-3</v>
      </c>
      <c r="AA36" t="b">
        <f t="shared" si="5"/>
        <v>1</v>
      </c>
      <c r="AB36" t="b">
        <f t="shared" si="6"/>
        <v>1</v>
      </c>
      <c r="AC36" t="b">
        <f t="shared" si="6"/>
        <v>1</v>
      </c>
      <c r="AE36" t="b">
        <f t="shared" si="9"/>
        <v>1</v>
      </c>
      <c r="AF36" t="b">
        <f t="shared" si="10"/>
        <v>1</v>
      </c>
      <c r="AG36" t="b">
        <f t="shared" si="11"/>
        <v>1</v>
      </c>
      <c r="AH36" t="b">
        <f t="shared" si="12"/>
        <v>1</v>
      </c>
      <c r="AI36" t="b">
        <f t="shared" si="13"/>
        <v>1</v>
      </c>
      <c r="AJ36" t="b">
        <f t="shared" si="14"/>
        <v>1</v>
      </c>
    </row>
    <row r="37" spans="5:36" x14ac:dyDescent="0.4">
      <c r="E37" t="str">
        <v>fixed_leg.cashflows.[2].day_count_type</v>
      </c>
      <c r="F37" t="str">
        <v>ACT/360</v>
      </c>
      <c r="G37" t="str" cm="1">
        <f t="array" ref="G37">_xll.ExLibris.Json.GetJsonValueAsync($F$1,E37, EXLIBRIS_CONFIGURATION)</f>
        <v>ACT/360</v>
      </c>
      <c r="P37" t="s">
        <v>43</v>
      </c>
      <c r="Q37" t="s">
        <v>8</v>
      </c>
      <c r="R37" t="s">
        <v>8</v>
      </c>
      <c r="AA37" t="b">
        <f t="shared" si="5"/>
        <v>1</v>
      </c>
      <c r="AB37" t="b">
        <f t="shared" si="6"/>
        <v>1</v>
      </c>
      <c r="AC37" t="b">
        <f t="shared" si="6"/>
        <v>1</v>
      </c>
    </row>
    <row r="38" spans="5:36" x14ac:dyDescent="0.4">
      <c r="E38" t="str">
        <v>fixed_leg.cashflows.[2].amount</v>
      </c>
      <c r="F38">
        <v>11000000</v>
      </c>
      <c r="G38" cm="1">
        <f t="array" ref="G38">_xll.ExLibris.Json.GetJsonValueAsync($F$1,E38, EXLIBRIS_CONFIGURATION)</f>
        <v>11000000</v>
      </c>
      <c r="I38" t="str" cm="1">
        <f t="array" ref="I38">_xll.ExLibris.Json.SearchJsonArrayElementsAsync(I32,J8,J11,EXLIBRIS_CONFIGURATION)</f>
        <v>JsonObject:B32771EE-A881-4C5F-BEB9-6759F851ED5D</v>
      </c>
      <c r="P38" t="s">
        <v>178</v>
      </c>
      <c r="Q38">
        <v>11000000</v>
      </c>
      <c r="R38">
        <v>11000000</v>
      </c>
      <c r="AA38" t="b">
        <f t="shared" si="5"/>
        <v>1</v>
      </c>
      <c r="AB38" t="b">
        <f t="shared" si="6"/>
        <v>1</v>
      </c>
      <c r="AC38" t="b">
        <f t="shared" si="6"/>
        <v>1</v>
      </c>
    </row>
    <row r="39" spans="5:36" x14ac:dyDescent="0.4">
      <c r="E39" t="str">
        <v>fixed_leg.cashflows.[2].fixed_rate</v>
      </c>
      <c r="F39">
        <v>1.2000000000000001E-3</v>
      </c>
      <c r="G39" cm="1">
        <f t="array" ref="G39">_xll.ExLibris.Json.GetJsonValueAsync($F$1,E39, EXLIBRIS_CONFIGURATION)</f>
        <v>1.2000000000000001E-3</v>
      </c>
      <c r="I39" t="str" cm="1">
        <f t="array" ref="I39:N40">_xll.ExLibris.Json.GetJsonTableAsync(I38,,EXLIBRIS_CONFIGURATION)</f>
        <v>payment _date</v>
      </c>
      <c r="J39" t="str">
        <v>start_date</v>
      </c>
      <c r="K39" t="str">
        <v>end_date</v>
      </c>
      <c r="L39" t="str">
        <v>day_count_type</v>
      </c>
      <c r="M39" t="str">
        <v>amount</v>
      </c>
      <c r="N39" t="str">
        <v>fixed_rate</v>
      </c>
      <c r="P39" t="s">
        <v>44</v>
      </c>
      <c r="Q39">
        <v>1.2000000000000001E-3</v>
      </c>
      <c r="R39">
        <v>1.2000000000000001E-3</v>
      </c>
      <c r="T39" t="s">
        <v>0</v>
      </c>
      <c r="U39" t="s">
        <v>2</v>
      </c>
      <c r="V39" t="s">
        <v>4</v>
      </c>
      <c r="W39" t="s">
        <v>6</v>
      </c>
      <c r="X39" t="s">
        <v>175</v>
      </c>
      <c r="Y39" t="s">
        <v>10</v>
      </c>
      <c r="AA39" t="b">
        <f t="shared" si="5"/>
        <v>1</v>
      </c>
      <c r="AB39" t="b">
        <f t="shared" si="6"/>
        <v>1</v>
      </c>
      <c r="AC39" t="b">
        <f t="shared" si="6"/>
        <v>1</v>
      </c>
      <c r="AE39" t="b">
        <f t="shared" ref="AE39:AE40" si="15">I39=T39</f>
        <v>1</v>
      </c>
      <c r="AF39" t="b">
        <f t="shared" ref="AF39:AF40" si="16">J39=U39</f>
        <v>1</v>
      </c>
      <c r="AG39" t="b">
        <f t="shared" ref="AG39:AG40" si="17">K39=V39</f>
        <v>1</v>
      </c>
      <c r="AH39" t="b">
        <f t="shared" ref="AH39:AH40" si="18">L39=W39</f>
        <v>1</v>
      </c>
      <c r="AI39" t="b">
        <f t="shared" ref="AI39:AI40" si="19">M39=X39</f>
        <v>1</v>
      </c>
      <c r="AJ39" t="b">
        <f t="shared" ref="AJ39:AJ40" si="20">N39=Y39</f>
        <v>1</v>
      </c>
    </row>
    <row r="40" spans="5:36" x14ac:dyDescent="0.4">
      <c r="E40" t="str">
        <v>fixed_leg.cashflows.[3].payment _date</v>
      </c>
      <c r="F40" t="str">
        <v>2023-09-03</v>
      </c>
      <c r="G40" t="str" cm="1">
        <f t="array" ref="G40">_xll.ExLibris.Json.GetJsonValueAsync($F$1,E40, EXLIBRIS_CONFIGURATION)</f>
        <v>2023-09-03</v>
      </c>
      <c r="I40" t="str">
        <v>2023-03-07</v>
      </c>
      <c r="J40" t="str">
        <v>2022-09-08</v>
      </c>
      <c r="K40" t="str">
        <v>2023-03-07</v>
      </c>
      <c r="L40" t="str">
        <v>ACT/360</v>
      </c>
      <c r="M40">
        <v>11000000</v>
      </c>
      <c r="N40">
        <v>1.2000000000000001E-3</v>
      </c>
      <c r="P40" t="s">
        <v>45</v>
      </c>
      <c r="Q40" t="s">
        <v>89</v>
      </c>
      <c r="R40" t="s">
        <v>89</v>
      </c>
      <c r="T40" t="s">
        <v>88</v>
      </c>
      <c r="U40" t="s">
        <v>87</v>
      </c>
      <c r="V40" t="s">
        <v>88</v>
      </c>
      <c r="W40" t="s">
        <v>8</v>
      </c>
      <c r="X40">
        <v>11000000</v>
      </c>
      <c r="Y40">
        <v>1.2000000000000001E-3</v>
      </c>
      <c r="AA40" t="b">
        <f t="shared" si="5"/>
        <v>1</v>
      </c>
      <c r="AB40" t="b">
        <f t="shared" si="6"/>
        <v>1</v>
      </c>
      <c r="AC40" t="b">
        <f t="shared" si="6"/>
        <v>1</v>
      </c>
      <c r="AE40" t="b">
        <f t="shared" si="15"/>
        <v>1</v>
      </c>
      <c r="AF40" t="b">
        <f t="shared" si="16"/>
        <v>1</v>
      </c>
      <c r="AG40" t="b">
        <f t="shared" si="17"/>
        <v>1</v>
      </c>
      <c r="AH40" t="b">
        <f t="shared" si="18"/>
        <v>1</v>
      </c>
      <c r="AI40" t="b">
        <f t="shared" si="19"/>
        <v>1</v>
      </c>
      <c r="AJ40" t="b">
        <f t="shared" si="20"/>
        <v>1</v>
      </c>
    </row>
    <row r="41" spans="5:36" x14ac:dyDescent="0.4">
      <c r="E41" t="str">
        <v>fixed_leg.cashflows.[3].start_date</v>
      </c>
      <c r="F41" t="str">
        <v>2023-03-07</v>
      </c>
      <c r="G41" t="str" cm="1">
        <f t="array" ref="G41">_xll.ExLibris.Json.GetJsonValueAsync($F$1,E41, EXLIBRIS_CONFIGURATION)</f>
        <v>2023-03-07</v>
      </c>
      <c r="P41" t="s">
        <v>46</v>
      </c>
      <c r="Q41" t="s">
        <v>88</v>
      </c>
      <c r="R41" t="s">
        <v>88</v>
      </c>
      <c r="AA41" t="b">
        <f t="shared" si="5"/>
        <v>1</v>
      </c>
      <c r="AB41" t="b">
        <f t="shared" si="6"/>
        <v>1</v>
      </c>
      <c r="AC41" t="b">
        <f t="shared" si="6"/>
        <v>1</v>
      </c>
    </row>
    <row r="42" spans="5:36" x14ac:dyDescent="0.4">
      <c r="E42" t="str">
        <v>fixed_leg.cashflows.[3].end_date</v>
      </c>
      <c r="F42" t="str">
        <v>2023-09-03</v>
      </c>
      <c r="G42" t="str" cm="1">
        <f t="array" ref="G42">_xll.ExLibris.Json.GetJsonValueAsync($F$1,E42, EXLIBRIS_CONFIGURATION)</f>
        <v>2023-09-03</v>
      </c>
      <c r="I42" t="str" cm="1">
        <f t="array" ref="I42">_xll.ExLibris.Json.SearchJsonArrayElementsAsync(I32,J8,,EXLIBRIS_CONFIGURATION)</f>
        <v>JsonObject:174C6349-530C-4DE9-8DB7-189DD28430E0</v>
      </c>
      <c r="P42" t="s">
        <v>47</v>
      </c>
      <c r="Q42" t="s">
        <v>89</v>
      </c>
      <c r="R42" t="s">
        <v>89</v>
      </c>
      <c r="AA42" t="b">
        <f t="shared" si="5"/>
        <v>1</v>
      </c>
      <c r="AB42" t="b">
        <f t="shared" si="6"/>
        <v>1</v>
      </c>
      <c r="AC42" t="b">
        <f t="shared" si="6"/>
        <v>1</v>
      </c>
    </row>
    <row r="43" spans="5:36" x14ac:dyDescent="0.4">
      <c r="E43" t="str">
        <v>fixed_leg.cashflows.[3].day_count_type</v>
      </c>
      <c r="F43" t="str">
        <v>ACT/360</v>
      </c>
      <c r="G43" t="str" cm="1">
        <f t="array" ref="G43">_xll.ExLibris.Json.GetJsonValueAsync($F$1,E43, EXLIBRIS_CONFIGURATION)</f>
        <v>ACT/360</v>
      </c>
      <c r="I43" t="str" cm="1">
        <f t="array" ref="I43">_xll.ExLibris.Json.GetJsonTableAsync(I42,,EXLIBRIS_CONFIGURATION)</f>
        <v/>
      </c>
      <c r="P43" t="s">
        <v>48</v>
      </c>
      <c r="Q43" t="s">
        <v>8</v>
      </c>
      <c r="R43" t="s">
        <v>8</v>
      </c>
      <c r="T43" t="s">
        <v>97</v>
      </c>
      <c r="AA43" t="b">
        <f t="shared" si="5"/>
        <v>1</v>
      </c>
      <c r="AB43" t="b">
        <f t="shared" si="6"/>
        <v>1</v>
      </c>
      <c r="AC43" t="b">
        <f t="shared" si="6"/>
        <v>1</v>
      </c>
      <c r="AE43" t="b">
        <f t="shared" ref="AE43" si="21">I43=T43</f>
        <v>1</v>
      </c>
    </row>
    <row r="44" spans="5:36" x14ac:dyDescent="0.4">
      <c r="E44" t="str">
        <v>fixed_leg.cashflows.[3].amount</v>
      </c>
      <c r="F44">
        <v>11000000</v>
      </c>
      <c r="G44" cm="1">
        <f t="array" ref="G44">_xll.ExLibris.Json.GetJsonValueAsync($F$1,E44, EXLIBRIS_CONFIGURATION)</f>
        <v>11000000</v>
      </c>
      <c r="P44" t="s">
        <v>179</v>
      </c>
      <c r="Q44">
        <v>11000000</v>
      </c>
      <c r="R44">
        <v>11000000</v>
      </c>
      <c r="AA44" t="b">
        <f t="shared" si="5"/>
        <v>1</v>
      </c>
      <c r="AB44" t="b">
        <f t="shared" si="6"/>
        <v>1</v>
      </c>
      <c r="AC44" t="b">
        <f t="shared" si="6"/>
        <v>1</v>
      </c>
    </row>
    <row r="45" spans="5:36" x14ac:dyDescent="0.4">
      <c r="E45" t="str">
        <v>fixed_leg.cashflows.[3].fixed_rate</v>
      </c>
      <c r="F45">
        <v>1.3000000000000002E-3</v>
      </c>
      <c r="G45" cm="1">
        <f t="array" ref="G45">_xll.ExLibris.Json.GetJsonValueAsync($F$1,E45, EXLIBRIS_CONFIGURATION)</f>
        <v>1.3000000000000002E-3</v>
      </c>
      <c r="P45" t="s">
        <v>49</v>
      </c>
      <c r="Q45">
        <v>1.3000000000000002E-3</v>
      </c>
      <c r="R45">
        <v>1.3000000000000002E-3</v>
      </c>
      <c r="AA45" t="b">
        <f t="shared" si="5"/>
        <v>1</v>
      </c>
      <c r="AB45" t="b">
        <f t="shared" si="6"/>
        <v>1</v>
      </c>
      <c r="AC45" t="b">
        <f t="shared" si="6"/>
        <v>1</v>
      </c>
    </row>
    <row r="46" spans="5:36" x14ac:dyDescent="0.4">
      <c r="E46" t="str">
        <v>fixed_leg.cashflows.[4].payment _date</v>
      </c>
      <c r="F46" t="str">
        <v>2024-03-01</v>
      </c>
      <c r="G46" t="str" cm="1">
        <f t="array" ref="G46">_xll.ExLibris.Json.GetJsonValueAsync($F$1,E46, EXLIBRIS_CONFIGURATION)</f>
        <v>2024-03-01</v>
      </c>
      <c r="P46" t="s">
        <v>50</v>
      </c>
      <c r="Q46" t="s">
        <v>90</v>
      </c>
      <c r="R46" t="s">
        <v>90</v>
      </c>
      <c r="AA46" t="b">
        <f t="shared" si="5"/>
        <v>1</v>
      </c>
      <c r="AB46" t="b">
        <f t="shared" si="6"/>
        <v>1</v>
      </c>
      <c r="AC46" t="b">
        <f t="shared" si="6"/>
        <v>1</v>
      </c>
    </row>
    <row r="47" spans="5:36" x14ac:dyDescent="0.4">
      <c r="E47" t="str">
        <v>fixed_leg.cashflows.[4].start_date</v>
      </c>
      <c r="F47" t="str">
        <v>2023-09-03</v>
      </c>
      <c r="G47" t="str" cm="1">
        <f t="array" ref="G47">_xll.ExLibris.Json.GetJsonValueAsync($F$1,E47, EXLIBRIS_CONFIGURATION)</f>
        <v>2023-09-03</v>
      </c>
      <c r="P47" t="s">
        <v>51</v>
      </c>
      <c r="Q47" t="s">
        <v>89</v>
      </c>
      <c r="R47" t="s">
        <v>89</v>
      </c>
      <c r="AA47" t="b">
        <f t="shared" si="5"/>
        <v>1</v>
      </c>
      <c r="AB47" t="b">
        <f t="shared" si="6"/>
        <v>1</v>
      </c>
      <c r="AC47" t="b">
        <f t="shared" si="6"/>
        <v>1</v>
      </c>
    </row>
    <row r="48" spans="5:36" x14ac:dyDescent="0.4">
      <c r="E48" t="str">
        <v>fixed_leg.cashflows.[4].end_date</v>
      </c>
      <c r="F48" t="str">
        <v>2024-03-01</v>
      </c>
      <c r="G48" t="str" cm="1">
        <f t="array" ref="G48">_xll.ExLibris.Json.GetJsonValueAsync($F$1,E48, EXLIBRIS_CONFIGURATION)</f>
        <v>2024-03-01</v>
      </c>
      <c r="P48" t="s">
        <v>52</v>
      </c>
      <c r="Q48" t="s">
        <v>90</v>
      </c>
      <c r="R48" t="s">
        <v>90</v>
      </c>
      <c r="AA48" t="b">
        <f t="shared" si="5"/>
        <v>1</v>
      </c>
      <c r="AB48" t="b">
        <f t="shared" si="6"/>
        <v>1</v>
      </c>
      <c r="AC48" t="b">
        <f t="shared" si="6"/>
        <v>1</v>
      </c>
    </row>
    <row r="49" spans="5:29" x14ac:dyDescent="0.4">
      <c r="E49" t="str">
        <v>fixed_leg.cashflows.[4].day_count_type</v>
      </c>
      <c r="F49" t="str">
        <v>ACT/360</v>
      </c>
      <c r="G49" t="str" cm="1">
        <f t="array" ref="G49">_xll.ExLibris.Json.GetJsonValueAsync($F$1,E49, EXLIBRIS_CONFIGURATION)</f>
        <v>ACT/360</v>
      </c>
      <c r="P49" t="s">
        <v>53</v>
      </c>
      <c r="Q49" t="s">
        <v>8</v>
      </c>
      <c r="R49" t="s">
        <v>8</v>
      </c>
      <c r="AA49" t="b">
        <f t="shared" si="5"/>
        <v>1</v>
      </c>
      <c r="AB49" t="b">
        <f t="shared" si="6"/>
        <v>1</v>
      </c>
      <c r="AC49" t="b">
        <f t="shared" si="6"/>
        <v>1</v>
      </c>
    </row>
    <row r="50" spans="5:29" x14ac:dyDescent="0.4">
      <c r="E50" t="str">
        <v>fixed_leg.cashflows.[4].amount</v>
      </c>
      <c r="F50">
        <v>12000000</v>
      </c>
      <c r="G50" cm="1">
        <f t="array" ref="G50">_xll.ExLibris.Json.GetJsonValueAsync($F$1,E50, EXLIBRIS_CONFIGURATION)</f>
        <v>12000000</v>
      </c>
      <c r="P50" t="s">
        <v>180</v>
      </c>
      <c r="Q50">
        <v>12000000</v>
      </c>
      <c r="R50">
        <v>12000000</v>
      </c>
      <c r="AA50" t="b">
        <f t="shared" si="5"/>
        <v>1</v>
      </c>
      <c r="AB50" t="b">
        <f t="shared" si="6"/>
        <v>1</v>
      </c>
      <c r="AC50" t="b">
        <f t="shared" si="6"/>
        <v>1</v>
      </c>
    </row>
    <row r="51" spans="5:29" x14ac:dyDescent="0.4">
      <c r="E51" t="str">
        <v>fixed_leg.cashflows.[4].fixed_rate</v>
      </c>
      <c r="F51">
        <v>1.4000000000000002E-3</v>
      </c>
      <c r="G51" cm="1">
        <f t="array" ref="G51">_xll.ExLibris.Json.GetJsonValueAsync($F$1,E51, EXLIBRIS_CONFIGURATION)</f>
        <v>1.4000000000000002E-3</v>
      </c>
      <c r="P51" t="s">
        <v>54</v>
      </c>
      <c r="Q51">
        <v>1.4000000000000002E-3</v>
      </c>
      <c r="R51">
        <v>1.4000000000000002E-3</v>
      </c>
      <c r="AA51" t="b">
        <f t="shared" si="5"/>
        <v>1</v>
      </c>
      <c r="AB51" t="b">
        <f t="shared" si="6"/>
        <v>1</v>
      </c>
      <c r="AC51" t="b">
        <f t="shared" si="6"/>
        <v>1</v>
      </c>
    </row>
    <row r="52" spans="5:29" x14ac:dyDescent="0.4">
      <c r="E52" t="str">
        <v>fixed_leg.cashflows.[5].payment _date</v>
      </c>
      <c r="F52" t="str">
        <v>2024-08-28</v>
      </c>
      <c r="G52" t="str" cm="1">
        <f t="array" ref="G52">_xll.ExLibris.Json.GetJsonValueAsync($F$1,E52, EXLIBRIS_CONFIGURATION)</f>
        <v>2024-08-28</v>
      </c>
      <c r="P52" t="s">
        <v>55</v>
      </c>
      <c r="Q52" t="s">
        <v>91</v>
      </c>
      <c r="R52" t="s">
        <v>91</v>
      </c>
      <c r="AA52" t="b">
        <f t="shared" si="5"/>
        <v>1</v>
      </c>
      <c r="AB52" t="b">
        <f t="shared" si="6"/>
        <v>1</v>
      </c>
      <c r="AC52" t="b">
        <f t="shared" si="6"/>
        <v>1</v>
      </c>
    </row>
    <row r="53" spans="5:29" x14ac:dyDescent="0.4">
      <c r="E53" t="str">
        <v>fixed_leg.cashflows.[5].start_date</v>
      </c>
      <c r="F53" t="str">
        <v>2024-03-01</v>
      </c>
      <c r="G53" t="str" cm="1">
        <f t="array" ref="G53">_xll.ExLibris.Json.GetJsonValueAsync($F$1,E53, EXLIBRIS_CONFIGURATION)</f>
        <v>2024-03-01</v>
      </c>
      <c r="P53" t="s">
        <v>56</v>
      </c>
      <c r="Q53" t="s">
        <v>90</v>
      </c>
      <c r="R53" t="s">
        <v>90</v>
      </c>
      <c r="AA53" t="b">
        <f t="shared" si="5"/>
        <v>1</v>
      </c>
      <c r="AB53" t="b">
        <f t="shared" si="6"/>
        <v>1</v>
      </c>
      <c r="AC53" t="b">
        <f t="shared" si="6"/>
        <v>1</v>
      </c>
    </row>
    <row r="54" spans="5:29" x14ac:dyDescent="0.4">
      <c r="E54" t="str">
        <v>fixed_leg.cashflows.[5].end_date</v>
      </c>
      <c r="F54" t="str">
        <v>2024-08-28</v>
      </c>
      <c r="G54" t="str" cm="1">
        <f t="array" ref="G54">_xll.ExLibris.Json.GetJsonValueAsync($F$1,E54, EXLIBRIS_CONFIGURATION)</f>
        <v>2024-08-28</v>
      </c>
      <c r="P54" t="s">
        <v>57</v>
      </c>
      <c r="Q54" t="s">
        <v>91</v>
      </c>
      <c r="R54" t="s">
        <v>91</v>
      </c>
      <c r="AA54" t="b">
        <f t="shared" si="5"/>
        <v>1</v>
      </c>
      <c r="AB54" t="b">
        <f t="shared" si="6"/>
        <v>1</v>
      </c>
      <c r="AC54" t="b">
        <f t="shared" si="6"/>
        <v>1</v>
      </c>
    </row>
    <row r="55" spans="5:29" x14ac:dyDescent="0.4">
      <c r="E55" t="str">
        <v>fixed_leg.cashflows.[5].day_count_type</v>
      </c>
      <c r="F55" t="str">
        <v>ACT/360</v>
      </c>
      <c r="G55" t="str" cm="1">
        <f t="array" ref="G55">_xll.ExLibris.Json.GetJsonValueAsync($F$1,E55, EXLIBRIS_CONFIGURATION)</f>
        <v>ACT/360</v>
      </c>
      <c r="P55" t="s">
        <v>58</v>
      </c>
      <c r="Q55" t="s">
        <v>8</v>
      </c>
      <c r="R55" t="s">
        <v>8</v>
      </c>
      <c r="AA55" t="b">
        <f t="shared" si="5"/>
        <v>1</v>
      </c>
      <c r="AB55" t="b">
        <f t="shared" si="6"/>
        <v>1</v>
      </c>
      <c r="AC55" t="b">
        <f t="shared" si="6"/>
        <v>1</v>
      </c>
    </row>
    <row r="56" spans="5:29" x14ac:dyDescent="0.4">
      <c r="E56" t="str">
        <v>fixed_leg.cashflows.[5].amount</v>
      </c>
      <c r="F56">
        <v>12000000</v>
      </c>
      <c r="G56" cm="1">
        <f t="array" ref="G56">_xll.ExLibris.Json.GetJsonValueAsync($F$1,E56, EXLIBRIS_CONFIGURATION)</f>
        <v>12000000</v>
      </c>
      <c r="P56" t="s">
        <v>181</v>
      </c>
      <c r="Q56">
        <v>12000000</v>
      </c>
      <c r="R56">
        <v>12000000</v>
      </c>
      <c r="AA56" t="b">
        <f t="shared" si="5"/>
        <v>1</v>
      </c>
      <c r="AB56" t="b">
        <f t="shared" si="6"/>
        <v>1</v>
      </c>
      <c r="AC56" t="b">
        <f t="shared" si="6"/>
        <v>1</v>
      </c>
    </row>
    <row r="57" spans="5:29" x14ac:dyDescent="0.4">
      <c r="E57" t="str">
        <v>fixed_leg.cashflows.[5].fixed_rate</v>
      </c>
      <c r="F57">
        <v>1.5000000000000002E-3</v>
      </c>
      <c r="G57" cm="1">
        <f t="array" ref="G57">_xll.ExLibris.Json.GetJsonValueAsync($F$1,E57, EXLIBRIS_CONFIGURATION)</f>
        <v>1.5000000000000002E-3</v>
      </c>
      <c r="P57" t="s">
        <v>59</v>
      </c>
      <c r="Q57">
        <v>1.5000000000000002E-3</v>
      </c>
      <c r="R57">
        <v>1.5000000000000002E-3</v>
      </c>
      <c r="AA57" t="b">
        <f t="shared" si="5"/>
        <v>1</v>
      </c>
      <c r="AB57" t="b">
        <f t="shared" si="6"/>
        <v>1</v>
      </c>
      <c r="AC57" t="b">
        <f t="shared" si="6"/>
        <v>1</v>
      </c>
    </row>
  </sheetData>
  <phoneticPr fontId="1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C31E65-5244-494C-A4E6-E2042CA25001}">
  <dimension ref="B2:F15"/>
  <sheetViews>
    <sheetView workbookViewId="0"/>
  </sheetViews>
  <sheetFormatPr defaultRowHeight="18.75" x14ac:dyDescent="0.4"/>
  <cols>
    <col min="1" max="1" width="3.5" customWidth="1"/>
    <col min="2" max="2" width="39.625" bestFit="1" customWidth="1"/>
    <col min="3" max="3" width="19.375" customWidth="1"/>
    <col min="5" max="5" width="39.625" bestFit="1" customWidth="1"/>
  </cols>
  <sheetData>
    <row r="2" spans="2:6" x14ac:dyDescent="0.4">
      <c r="B2" t="s">
        <v>76</v>
      </c>
      <c r="C2" t="str" cm="1">
        <f t="array" ref="C2">_xll.ExLibris.LoadConfigurationAsync(B6:C15)</f>
        <v>ExLibris.Core.ExLibrisConfiguration:309B6F05-E9D9-4A90-B78A-A8124E730131</v>
      </c>
    </row>
    <row r="4" spans="2:6" s="4" customFormat="1" ht="18" x14ac:dyDescent="0.4">
      <c r="B4" s="4" t="s">
        <v>78</v>
      </c>
      <c r="E4" s="4" t="s">
        <v>77</v>
      </c>
    </row>
    <row r="6" spans="2:6" x14ac:dyDescent="0.4">
      <c r="B6" t="s">
        <v>68</v>
      </c>
      <c r="C6" t="s">
        <v>69</v>
      </c>
      <c r="E6" t="str" cm="1">
        <f t="array" ref="E6:F15">_xll.ExLibris.DumpObjectAsync(EXLIBRIS_CONFIGURATION)</f>
        <v>excel_value.excel_error_to</v>
      </c>
      <c r="F6" t="str">
        <v>Error</v>
      </c>
    </row>
    <row r="7" spans="2:6" x14ac:dyDescent="0.4">
      <c r="B7" t="s">
        <v>70</v>
      </c>
      <c r="C7" t="s">
        <v>71</v>
      </c>
      <c r="E7" t="str">
        <v>excel_value.excel_missing_to</v>
      </c>
      <c r="F7" t="str">
        <v>Null</v>
      </c>
    </row>
    <row r="8" spans="2:6" x14ac:dyDescent="0.4">
      <c r="B8" t="s">
        <v>72</v>
      </c>
      <c r="C8" t="s">
        <v>71</v>
      </c>
      <c r="E8" t="str">
        <v>excel_value.excel_empty_to</v>
      </c>
      <c r="F8" t="str">
        <v>Null</v>
      </c>
    </row>
    <row r="9" spans="2:6" x14ac:dyDescent="0.4">
      <c r="B9" t="s">
        <v>73</v>
      </c>
      <c r="C9" t="s">
        <v>71</v>
      </c>
      <c r="E9" t="str">
        <v>excel_value.excel_string_empty_to</v>
      </c>
      <c r="F9" t="str">
        <v>Null</v>
      </c>
    </row>
    <row r="10" spans="2:6" x14ac:dyDescent="0.4">
      <c r="B10" t="s">
        <v>74</v>
      </c>
      <c r="C10" t="s">
        <v>79</v>
      </c>
      <c r="E10" t="str">
        <v>excel_value.null_to_excel</v>
      </c>
      <c r="F10" t="str">
        <v>StringEmpty</v>
      </c>
    </row>
    <row r="11" spans="2:6" x14ac:dyDescent="0.4">
      <c r="B11" t="s">
        <v>75</v>
      </c>
      <c r="C11" t="s">
        <v>79</v>
      </c>
      <c r="E11" t="str">
        <v>excel_value.string_empty_to_excel</v>
      </c>
      <c r="F11" t="str">
        <v>StringEmpty</v>
      </c>
    </row>
    <row r="12" spans="2:6" x14ac:dyDescent="0.4">
      <c r="B12" t="s">
        <v>80</v>
      </c>
      <c r="C12" t="s">
        <v>81</v>
      </c>
      <c r="E12" t="str">
        <v>json.double_to_date_text.[0].date_format</v>
      </c>
      <c r="F12" t="str">
        <v>yyyy-MM-dd</v>
      </c>
    </row>
    <row r="13" spans="2:6" x14ac:dyDescent="0.4">
      <c r="B13" t="s">
        <v>82</v>
      </c>
      <c r="C13" t="s">
        <v>1</v>
      </c>
      <c r="E13" t="str">
        <v>json.double_to_date_text.[0].keys.[0]</v>
      </c>
      <c r="F13" t="str">
        <v>payment _date</v>
      </c>
    </row>
    <row r="14" spans="2:6" x14ac:dyDescent="0.4">
      <c r="B14" t="s">
        <v>83</v>
      </c>
      <c r="C14" t="s">
        <v>3</v>
      </c>
      <c r="E14" t="str">
        <v>json.double_to_date_text.[0].keys.[1]</v>
      </c>
      <c r="F14" t="str">
        <v>start_date</v>
      </c>
    </row>
    <row r="15" spans="2:6" x14ac:dyDescent="0.4">
      <c r="B15" t="s">
        <v>84</v>
      </c>
      <c r="C15" t="s">
        <v>5</v>
      </c>
      <c r="E15" t="str">
        <v>json.double_to_date_text.[0].keys.[2]</v>
      </c>
      <c r="F15" t="str">
        <v>end_date</v>
      </c>
    </row>
  </sheetData>
  <phoneticPr fontId="1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D3ACF1-D52B-4405-9E6D-D2579DCD0199}">
  <dimension ref="B2:J8"/>
  <sheetViews>
    <sheetView workbookViewId="0"/>
  </sheetViews>
  <sheetFormatPr defaultRowHeight="18.75" x14ac:dyDescent="0.4"/>
  <cols>
    <col min="1" max="1" width="2.25" customWidth="1"/>
    <col min="3" max="3" width="2.25" customWidth="1"/>
    <col min="4" max="4" width="28.875" customWidth="1"/>
    <col min="7" max="7" width="44.75" bestFit="1" customWidth="1"/>
    <col min="8" max="8" width="44.75" customWidth="1"/>
    <col min="9" max="10" width="39.125" bestFit="1" customWidth="1"/>
  </cols>
  <sheetData>
    <row r="2" spans="2:10" s="4" customFormat="1" ht="18" x14ac:dyDescent="0.4">
      <c r="B2" s="4" t="s">
        <v>92</v>
      </c>
    </row>
    <row r="3" spans="2:10" x14ac:dyDescent="0.4">
      <c r="D3" t="s">
        <v>138</v>
      </c>
      <c r="E3" t="s">
        <v>137</v>
      </c>
      <c r="F3" t="s">
        <v>93</v>
      </c>
      <c r="G3" t="s">
        <v>139</v>
      </c>
      <c r="H3" t="s">
        <v>146</v>
      </c>
      <c r="I3" t="s">
        <v>140</v>
      </c>
      <c r="J3" t="s">
        <v>141</v>
      </c>
    </row>
    <row r="4" spans="2:10" x14ac:dyDescent="0.4">
      <c r="D4" t="str" cm="1">
        <f t="array" ref="D4">_xll.ExLibris.WebSockets.OpenWebSocketAsync("ws://localhost:10101",,E4)</f>
        <v>ExLibris.Core.WebSockets.WebsocketClient:5B1E523E-555E-4404-96B3-3C764D3008A0</v>
      </c>
      <c r="E4" t="s">
        <v>94</v>
      </c>
      <c r="F4" t="str" cm="1">
        <f t="array" ref="F4">_xll.ExLibris.WebSockets.ObserveWebSocketStatus(D4,1000)</f>
        <v>Closed</v>
      </c>
      <c r="G4" t="e" cm="1">
        <f t="array" ref="G4">_xll.ExLibris.WebSockets.ObserveWebSocketMessage(D4)</f>
        <v>#N/A</v>
      </c>
      <c r="H4" t="e" cm="1">
        <f t="array" ref="H4">_xll.ExLibris.Json.ShowJsonText(_xll.ExLibris.Json.CreateJsonArray($E$3:G4))</f>
        <v>#VALUE!</v>
      </c>
      <c r="I4" t="e" cm="1">
        <f t="array" ref="I4">_xll.ExLibris.WebSockets.SendWebSocketMessage(D4,H4,F4="Open")</f>
        <v>#VALUE!</v>
      </c>
      <c r="J4" t="e" cm="1">
        <f t="array" ref="J4">_xll.ExLibris.WebSockets.SendWebSocketMessage($D$4,"1# "&amp;H4,I4)</f>
        <v>#VALUE!</v>
      </c>
    </row>
    <row r="5" spans="2:10" x14ac:dyDescent="0.4">
      <c r="D5" t="str" cm="1">
        <f t="array" ref="D5">_xll.ExLibris.WebSockets.OpenWebSocketAsync("ws://localhost:10101",,E5)</f>
        <v>ExLibris.Core.WebSockets.WebsocketClient:A518D726-DC07-4306-BCB1-D0135534C7EC</v>
      </c>
      <c r="E5" t="s">
        <v>142</v>
      </c>
      <c r="F5" t="str" cm="1">
        <f t="array" ref="F5">_xll.ExLibris.WebSockets.ObserveWebSocketStatus(D5,1000)</f>
        <v>Closed</v>
      </c>
      <c r="G5" t="e" cm="1">
        <f t="array" ref="G5">_xll.ExLibris.WebSockets.ObserveWebSocketMessage(D5)</f>
        <v>#N/A</v>
      </c>
      <c r="H5" t="e" cm="1">
        <f t="array" ref="H5">_xll.ExLibris.Json.ShowJsonText(_xll.ExLibris.Json.CreateJsonArray($E$3:G5))</f>
        <v>#VALUE!</v>
      </c>
      <c r="I5" t="e" cm="1">
        <f t="array" ref="I5">_xll.ExLibris.WebSockets.SendWebSocketMessage(D5,H5,F5="Open")</f>
        <v>#VALUE!</v>
      </c>
      <c r="J5" t="e" cm="1">
        <f t="array" ref="J5">_xll.ExLibris.WebSockets.SendWebSocketMessage($D$4,"1# "&amp;H5,I5)</f>
        <v>#VALUE!</v>
      </c>
    </row>
    <row r="6" spans="2:10" x14ac:dyDescent="0.4">
      <c r="D6" t="str" cm="1">
        <f t="array" ref="D6">_xll.ExLibris.WebSockets.OpenWebSocketAsync("ws://localhost:10101",,E6)</f>
        <v>ExLibris.Core.WebSockets.WebsocketClient:DBEA9D7A-51E0-4C64-BC61-FD2E5484DA2A</v>
      </c>
      <c r="E6" t="s">
        <v>143</v>
      </c>
      <c r="F6" t="str" cm="1">
        <f t="array" ref="F6">_xll.ExLibris.WebSockets.ObserveWebSocketStatus(D6,1000)</f>
        <v>Closed</v>
      </c>
      <c r="G6" t="e" cm="1">
        <f t="array" ref="G6">_xll.ExLibris.WebSockets.ObserveWebSocketMessage(D6)</f>
        <v>#N/A</v>
      </c>
      <c r="H6" t="e" cm="1">
        <f t="array" ref="H6">_xll.ExLibris.Json.ShowJsonText(_xll.ExLibris.Json.CreateJsonArray($E$3:G6))</f>
        <v>#VALUE!</v>
      </c>
      <c r="I6" t="e" cm="1">
        <f t="array" ref="I6">_xll.ExLibris.WebSockets.SendWebSocketMessage(D6,H6,F6="Open")</f>
        <v>#VALUE!</v>
      </c>
      <c r="J6" t="e" cm="1">
        <f t="array" ref="J6">_xll.ExLibris.WebSockets.SendWebSocketMessage($D$4,"1# "&amp;H6,I6)</f>
        <v>#VALUE!</v>
      </c>
    </row>
    <row r="7" spans="2:10" x14ac:dyDescent="0.4">
      <c r="D7" t="str" cm="1">
        <f t="array" ref="D7">_xll.ExLibris.WebSockets.OpenWebSocketAsync("ws://localhost:10101",,E7)</f>
        <v>ExLibris.Core.WebSockets.WebsocketClient:9DC5558A-02DD-4C67-8851-A182FE9FED6F</v>
      </c>
      <c r="E7" t="s">
        <v>144</v>
      </c>
      <c r="F7" t="str" cm="1">
        <f t="array" ref="F7">_xll.ExLibris.WebSockets.ObserveWebSocketStatus(D7,1000)</f>
        <v>Closed</v>
      </c>
      <c r="G7" t="e" cm="1">
        <f t="array" ref="G7">_xll.ExLibris.WebSockets.ObserveWebSocketMessage(D7)</f>
        <v>#N/A</v>
      </c>
      <c r="H7" t="e" cm="1">
        <f t="array" ref="H7">_xll.ExLibris.Json.ShowJsonText(_xll.ExLibris.Json.CreateJsonArray($E$3:G7))</f>
        <v>#VALUE!</v>
      </c>
      <c r="I7" t="e" cm="1">
        <f t="array" ref="I7">_xll.ExLibris.WebSockets.SendWebSocketMessage(D7,H7,F7="Open")</f>
        <v>#VALUE!</v>
      </c>
      <c r="J7" t="e" cm="1">
        <f t="array" ref="J7">_xll.ExLibris.WebSockets.SendWebSocketMessage($D$4,"1# "&amp;H7,I7)</f>
        <v>#VALUE!</v>
      </c>
    </row>
    <row r="8" spans="2:10" x14ac:dyDescent="0.4">
      <c r="D8" t="str" cm="1">
        <f t="array" ref="D8">_xll.ExLibris.WebSockets.OpenWebSocketAsync("ws://localhost:10101",,E8)</f>
        <v>ExLibris.Core.WebSockets.WebsocketClient:1CA6C4EE-A57C-44DF-9C79-13606AA3EBA2</v>
      </c>
      <c r="E8" t="s">
        <v>145</v>
      </c>
      <c r="F8" t="str" cm="1">
        <f t="array" ref="F8">_xll.ExLibris.WebSockets.ObserveWebSocketStatus(D8,1000)</f>
        <v>Closed</v>
      </c>
      <c r="G8" t="e" cm="1">
        <f t="array" ref="G8">_xll.ExLibris.WebSockets.ObserveWebSocketMessage(D8)</f>
        <v>#N/A</v>
      </c>
      <c r="H8" t="e" cm="1">
        <f t="array" ref="H8">_xll.ExLibris.Json.ShowJsonText(_xll.ExLibris.Json.CreateJsonArray($E$3:G8))</f>
        <v>#VALUE!</v>
      </c>
      <c r="I8" t="e" cm="1">
        <f t="array" ref="I8">_xll.ExLibris.WebSockets.SendWebSocketMessage(D8,H8,F8="Open")</f>
        <v>#VALUE!</v>
      </c>
      <c r="J8" t="e" cm="1">
        <f t="array" ref="J8">_xll.ExLibris.WebSockets.SendWebSocketMessage($D$4,"1# "&amp;H8,I8)</f>
        <v>#VALUE!</v>
      </c>
    </row>
  </sheetData>
  <phoneticPr fontId="1"/>
  <pageMargins left="0.7" right="0.7" top="0.75" bottom="0.75" header="0.3" footer="0.3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52036-D85E-4010-85A4-72DC442287D3}">
  <dimension ref="B2:K52"/>
  <sheetViews>
    <sheetView workbookViewId="0"/>
  </sheetViews>
  <sheetFormatPr defaultRowHeight="18.75" x14ac:dyDescent="0.4"/>
  <cols>
    <col min="2" max="2" width="26.5" customWidth="1"/>
    <col min="4" max="4" width="9.375" bestFit="1" customWidth="1"/>
    <col min="8" max="8" width="16.75" customWidth="1"/>
    <col min="9" max="9" width="10.25" bestFit="1" customWidth="1"/>
  </cols>
  <sheetData>
    <row r="2" spans="2:11" x14ac:dyDescent="0.4">
      <c r="B2" t="s">
        <v>101</v>
      </c>
      <c r="C2" s="7" t="s">
        <v>107</v>
      </c>
      <c r="E2" t="s">
        <v>109</v>
      </c>
      <c r="K2" t="s">
        <v>147</v>
      </c>
    </row>
    <row r="3" spans="2:11" x14ac:dyDescent="0.4">
      <c r="C3" t="s">
        <v>106</v>
      </c>
    </row>
    <row r="5" spans="2:11" x14ac:dyDescent="0.4">
      <c r="B5" t="str" cm="1">
        <f t="array" ref="B5">_xll.ExLibris.WebAPIs.CreateHeadersAsync(B6:C10)</f>
        <v>ExLibris.Core.WebAPIs.WebAPIHeaders:6D21A553-B5A3-4AAE-95D7-CF8B8DEA2C16</v>
      </c>
      <c r="H5" t="str" cm="1">
        <f t="array" ref="H5">_xll.ExLibris.Json.CreateJsonObjectAsync(H6:I11)</f>
        <v>JsonObject:CC773D14-6DA7-4AE4-96D3-C02C76114111</v>
      </c>
    </row>
    <row r="6" spans="2:11" x14ac:dyDescent="0.4">
      <c r="B6" t="s">
        <v>110</v>
      </c>
      <c r="C6" t="s">
        <v>111</v>
      </c>
      <c r="H6" t="s">
        <v>130</v>
      </c>
      <c r="I6" t="s">
        <v>132</v>
      </c>
    </row>
    <row r="7" spans="2:11" x14ac:dyDescent="0.4">
      <c r="B7" t="s">
        <v>112</v>
      </c>
      <c r="C7" t="s">
        <v>118</v>
      </c>
      <c r="H7" t="s">
        <v>131</v>
      </c>
      <c r="I7" t="s">
        <v>133</v>
      </c>
    </row>
    <row r="8" spans="2:11" x14ac:dyDescent="0.4">
      <c r="B8" t="s">
        <v>113</v>
      </c>
      <c r="C8" t="s">
        <v>119</v>
      </c>
      <c r="H8" t="s">
        <v>121</v>
      </c>
      <c r="I8">
        <v>108.5</v>
      </c>
    </row>
    <row r="9" spans="2:11" x14ac:dyDescent="0.4">
      <c r="B9" t="s">
        <v>114</v>
      </c>
      <c r="C9" t="s">
        <v>115</v>
      </c>
      <c r="H9" t="s">
        <v>122</v>
      </c>
      <c r="I9" t="s">
        <v>123</v>
      </c>
    </row>
    <row r="10" spans="2:11" x14ac:dyDescent="0.4">
      <c r="B10" t="s">
        <v>116</v>
      </c>
      <c r="C10" t="s">
        <v>117</v>
      </c>
      <c r="H10" t="s">
        <v>124</v>
      </c>
      <c r="I10" t="s">
        <v>125</v>
      </c>
    </row>
    <row r="11" spans="2:11" x14ac:dyDescent="0.4">
      <c r="H11" t="s">
        <v>126</v>
      </c>
      <c r="I11" s="1">
        <v>44463</v>
      </c>
    </row>
    <row r="12" spans="2:11" x14ac:dyDescent="0.4">
      <c r="B12" s="8">
        <f>COUNTIF(E14:E52,FALSE)</f>
        <v>0</v>
      </c>
      <c r="I12" s="1"/>
    </row>
    <row r="13" spans="2:11" x14ac:dyDescent="0.4">
      <c r="D13" t="s">
        <v>60</v>
      </c>
      <c r="E13" t="s">
        <v>167</v>
      </c>
      <c r="F13" s="1" t="s">
        <v>61</v>
      </c>
    </row>
    <row r="14" spans="2:11" x14ac:dyDescent="0.4">
      <c r="B14" t="s">
        <v>105</v>
      </c>
      <c r="C14" t="s">
        <v>104</v>
      </c>
      <c r="D14" t="str">
        <f>$C$2&amp;"get"</f>
        <v>http://localhost:80/get</v>
      </c>
      <c r="E14" t="b">
        <f t="shared" ref="E14:E52" si="0">D14=F14</f>
        <v>1</v>
      </c>
      <c r="F14" t="s">
        <v>148</v>
      </c>
    </row>
    <row r="15" spans="2:11" x14ac:dyDescent="0.4">
      <c r="C15" t="s">
        <v>102</v>
      </c>
      <c r="D15" t="e" cm="1">
        <f t="array" ref="D15">_xll.ExLibris.WebAPIs.GET(D14)</f>
        <v>#N/A</v>
      </c>
      <c r="F15" t="s">
        <v>149</v>
      </c>
    </row>
    <row r="16" spans="2:11" x14ac:dyDescent="0.4">
      <c r="C16" t="s">
        <v>93</v>
      </c>
      <c r="D16" t="e" cm="1">
        <f t="array" ref="D16">_xll.ExLibris.WebAPIs.WebAPIResponseStatus(D15,TRUE)</f>
        <v>#VALUE!</v>
      </c>
      <c r="E16" t="e">
        <f t="shared" si="0"/>
        <v>#VALUE!</v>
      </c>
      <c r="F16">
        <v>200</v>
      </c>
    </row>
    <row r="17" spans="2:6" x14ac:dyDescent="0.4">
      <c r="C17" t="s">
        <v>103</v>
      </c>
      <c r="D17" t="e" cm="1">
        <f t="array" ref="D17">_xll.ExLibris.WebAPIs.WebAPIResponseContent(D15)</f>
        <v>#VALUE!</v>
      </c>
      <c r="E17" t="e">
        <f t="shared" si="0"/>
        <v>#VALUE!</v>
      </c>
      <c r="F17" t="s">
        <v>168</v>
      </c>
    </row>
    <row r="19" spans="2:6" x14ac:dyDescent="0.4">
      <c r="B19" t="s">
        <v>108</v>
      </c>
      <c r="C19" t="s">
        <v>104</v>
      </c>
      <c r="D19" t="str">
        <f>$C$2&amp;"post"</f>
        <v>http://localhost:80/post</v>
      </c>
      <c r="E19" t="b">
        <f t="shared" si="0"/>
        <v>1</v>
      </c>
      <c r="F19" t="s">
        <v>150</v>
      </c>
    </row>
    <row r="20" spans="2:6" x14ac:dyDescent="0.4">
      <c r="C20" t="s">
        <v>102</v>
      </c>
      <c r="D20" t="e" cm="1">
        <f t="array" ref="D20">_xll.ExLibris.WebAPIs.POST(D19)</f>
        <v>#N/A</v>
      </c>
      <c r="F20" t="s">
        <v>151</v>
      </c>
    </row>
    <row r="21" spans="2:6" x14ac:dyDescent="0.4">
      <c r="C21" t="s">
        <v>93</v>
      </c>
      <c r="D21" t="e" cm="1">
        <f t="array" ref="D21">_xll.ExLibris.WebAPIs.WebAPIResponseStatus(D20,TRUE)</f>
        <v>#VALUE!</v>
      </c>
      <c r="E21" t="e">
        <f t="shared" si="0"/>
        <v>#VALUE!</v>
      </c>
      <c r="F21">
        <v>200</v>
      </c>
    </row>
    <row r="22" spans="2:6" x14ac:dyDescent="0.4">
      <c r="C22" t="s">
        <v>103</v>
      </c>
      <c r="D22" t="e" cm="1">
        <f t="array" ref="D22">_xll.ExLibris.WebAPIs.WebAPIResponseContent(D20)</f>
        <v>#VALUE!</v>
      </c>
      <c r="E22" t="e">
        <f t="shared" si="0"/>
        <v>#VALUE!</v>
      </c>
      <c r="F22" t="s">
        <v>170</v>
      </c>
    </row>
    <row r="24" spans="2:6" x14ac:dyDescent="0.4">
      <c r="B24" t="s">
        <v>120</v>
      </c>
      <c r="C24" t="s">
        <v>104</v>
      </c>
      <c r="D24" t="str">
        <f>$C$2&amp;"bearer"</f>
        <v>http://localhost:80/bearer</v>
      </c>
      <c r="E24" t="b">
        <f t="shared" si="0"/>
        <v>1</v>
      </c>
      <c r="F24" t="s">
        <v>152</v>
      </c>
    </row>
    <row r="25" spans="2:6" x14ac:dyDescent="0.4">
      <c r="C25" t="s">
        <v>102</v>
      </c>
      <c r="D25" t="e" cm="1">
        <f t="array" ref="D25">_xll.ExLibris.WebAPIs.GET(D24,$B$5)</f>
        <v>#N/A</v>
      </c>
      <c r="F25" t="s">
        <v>153</v>
      </c>
    </row>
    <row r="26" spans="2:6" x14ac:dyDescent="0.4">
      <c r="C26" t="s">
        <v>93</v>
      </c>
      <c r="D26" t="e" cm="1">
        <f t="array" ref="D26">_xll.ExLibris.WebAPIs.WebAPIResponseStatus(D25,TRUE)</f>
        <v>#VALUE!</v>
      </c>
      <c r="E26" t="e">
        <f t="shared" si="0"/>
        <v>#VALUE!</v>
      </c>
      <c r="F26">
        <v>200</v>
      </c>
    </row>
    <row r="27" spans="2:6" x14ac:dyDescent="0.4">
      <c r="C27" t="s">
        <v>103</v>
      </c>
      <c r="D27" t="e" cm="1">
        <f t="array" ref="D27">_xll.ExLibris.WebAPIs.WebAPIResponseContent(D25)</f>
        <v>#VALUE!</v>
      </c>
      <c r="E27" t="e">
        <f t="shared" si="0"/>
        <v>#VALUE!</v>
      </c>
      <c r="F27" t="s">
        <v>154</v>
      </c>
    </row>
    <row r="29" spans="2:6" x14ac:dyDescent="0.4">
      <c r="B29" t="s">
        <v>127</v>
      </c>
      <c r="C29" t="s">
        <v>104</v>
      </c>
      <c r="D29" t="str">
        <f>$C$2&amp;"post"</f>
        <v>http://localhost:80/post</v>
      </c>
      <c r="E29" t="b">
        <f t="shared" si="0"/>
        <v>1</v>
      </c>
      <c r="F29" t="s">
        <v>150</v>
      </c>
    </row>
    <row r="30" spans="2:6" x14ac:dyDescent="0.4">
      <c r="C30" t="s">
        <v>102</v>
      </c>
      <c r="D30" t="e" cm="1">
        <f t="array" ref="D30">_xll.ExLibris.WebAPIs.POST(D29,_xll.ExLibris.Json.ShowJsonText(H5),,$B$5)</f>
        <v>#N/A</v>
      </c>
      <c r="F30" t="s">
        <v>155</v>
      </c>
    </row>
    <row r="31" spans="2:6" x14ac:dyDescent="0.4">
      <c r="C31" t="s">
        <v>93</v>
      </c>
      <c r="D31" t="e" cm="1">
        <f t="array" ref="D31">_xll.ExLibris.WebAPIs.WebAPIResponseStatus(D30,TRUE)</f>
        <v>#VALUE!</v>
      </c>
      <c r="E31" t="e">
        <f t="shared" si="0"/>
        <v>#VALUE!</v>
      </c>
      <c r="F31">
        <v>200</v>
      </c>
    </row>
    <row r="32" spans="2:6" x14ac:dyDescent="0.4">
      <c r="C32" t="s">
        <v>103</v>
      </c>
      <c r="D32" t="e" cm="1">
        <f t="array" ref="D32">_xll.ExLibris.WebAPIs.WebAPIResponseContent(D30)</f>
        <v>#VALUE!</v>
      </c>
      <c r="E32" t="e">
        <f t="shared" si="0"/>
        <v>#VALUE!</v>
      </c>
      <c r="F32" t="s">
        <v>156</v>
      </c>
    </row>
    <row r="34" spans="2:6" x14ac:dyDescent="0.4">
      <c r="B34" t="s">
        <v>128</v>
      </c>
      <c r="C34" t="s">
        <v>104</v>
      </c>
      <c r="D34" t="str">
        <f>$C$2&amp;"post"</f>
        <v>http://localhost:80/post</v>
      </c>
      <c r="E34" t="b">
        <f t="shared" si="0"/>
        <v>1</v>
      </c>
      <c r="F34" t="s">
        <v>150</v>
      </c>
    </row>
    <row r="35" spans="2:6" x14ac:dyDescent="0.4">
      <c r="C35" t="s">
        <v>102</v>
      </c>
      <c r="D35" t="e" cm="1">
        <f t="array" ref="D35">_xll.ExLibris.WebAPIs.POST(D34,H5,TRUE,$B$5)</f>
        <v>#N/A</v>
      </c>
      <c r="F35" t="s">
        <v>157</v>
      </c>
    </row>
    <row r="36" spans="2:6" x14ac:dyDescent="0.4">
      <c r="C36" t="s">
        <v>93</v>
      </c>
      <c r="D36" t="e" cm="1">
        <f t="array" ref="D36">_xll.ExLibris.WebAPIs.WebAPIResponseStatus(D35,TRUE)</f>
        <v>#VALUE!</v>
      </c>
      <c r="E36" t="e">
        <f t="shared" si="0"/>
        <v>#VALUE!</v>
      </c>
      <c r="F36">
        <v>200</v>
      </c>
    </row>
    <row r="37" spans="2:6" x14ac:dyDescent="0.4">
      <c r="C37" t="s">
        <v>103</v>
      </c>
      <c r="D37" t="e" cm="1">
        <f t="array" ref="D37">_xll.ExLibris.WebAPIs.WebAPIResponseContent(D35)</f>
        <v>#VALUE!</v>
      </c>
      <c r="E37" t="e">
        <f t="shared" si="0"/>
        <v>#VALUE!</v>
      </c>
      <c r="F37" t="s">
        <v>158</v>
      </c>
    </row>
    <row r="39" spans="2:6" x14ac:dyDescent="0.4">
      <c r="B39" t="s">
        <v>129</v>
      </c>
      <c r="C39" t="s">
        <v>104</v>
      </c>
      <c r="D39" t="str" cm="1">
        <f t="array" ref="D39">_xll.ExLibris.WebAPIs.BuildUri($C$2&amp;"post",H6:I11)</f>
        <v>http://localhost:80/post?currency_pair.left=USD&amp;currency_pair.right=JPY&amp;strike=108.5&amp;call_or_put=CALL&amp;buy_or_sell=SELL&amp;date=44463</v>
      </c>
      <c r="E39" t="b">
        <f t="shared" si="0"/>
        <v>1</v>
      </c>
      <c r="F39" t="s">
        <v>159</v>
      </c>
    </row>
    <row r="40" spans="2:6" x14ac:dyDescent="0.4">
      <c r="C40" t="s">
        <v>102</v>
      </c>
      <c r="D40" t="e" cm="1">
        <f t="array" ref="D40">_xll.ExLibris.WebAPIs.POST(D39,H6:I11,TRUE,$B$5)</f>
        <v>#N/A</v>
      </c>
      <c r="F40" t="s">
        <v>160</v>
      </c>
    </row>
    <row r="41" spans="2:6" x14ac:dyDescent="0.4">
      <c r="C41" t="s">
        <v>93</v>
      </c>
      <c r="D41" t="e" cm="1">
        <f t="array" ref="D41">_xll.ExLibris.WebAPIs.WebAPIResponseStatus(D40,TRUE)</f>
        <v>#VALUE!</v>
      </c>
      <c r="E41" t="e">
        <f t="shared" si="0"/>
        <v>#VALUE!</v>
      </c>
      <c r="F41">
        <v>200</v>
      </c>
    </row>
    <row r="42" spans="2:6" x14ac:dyDescent="0.4">
      <c r="C42" t="s">
        <v>103</v>
      </c>
      <c r="D42" t="e" cm="1">
        <f t="array" ref="D42">_xll.ExLibris.WebAPIs.WebAPIResponseContent(D40)</f>
        <v>#VALUE!</v>
      </c>
      <c r="E42" t="e">
        <f t="shared" si="0"/>
        <v>#VALUE!</v>
      </c>
      <c r="F42" t="s">
        <v>161</v>
      </c>
    </row>
    <row r="44" spans="2:6" x14ac:dyDescent="0.4">
      <c r="B44" t="s">
        <v>134</v>
      </c>
      <c r="C44" t="s">
        <v>104</v>
      </c>
      <c r="D44" t="str" cm="1">
        <f t="array" ref="D44">_xll.ExLibris.WebAPIs.BuildUri($C$2&amp;"get",H6:I11)</f>
        <v>http://localhost:80/get?currency_pair.left=USD&amp;currency_pair.right=JPY&amp;strike=108.5&amp;call_or_put=CALL&amp;buy_or_sell=SELL&amp;date=44463</v>
      </c>
      <c r="E44" t="b">
        <f t="shared" si="0"/>
        <v>1</v>
      </c>
      <c r="F44" t="s">
        <v>162</v>
      </c>
    </row>
    <row r="45" spans="2:6" x14ac:dyDescent="0.4">
      <c r="C45" t="s">
        <v>102</v>
      </c>
      <c r="D45" t="e" cm="1">
        <f t="array" ref="D45">_xll.ExLibris.WebAPIs.GET(D44)</f>
        <v>#N/A</v>
      </c>
      <c r="F45" t="s">
        <v>163</v>
      </c>
    </row>
    <row r="46" spans="2:6" x14ac:dyDescent="0.4">
      <c r="C46" t="s">
        <v>93</v>
      </c>
      <c r="D46" t="e" cm="1">
        <f t="array" ref="D46">_xll.ExLibris.WebAPIs.WebAPIResponseStatus(D45,TRUE)</f>
        <v>#VALUE!</v>
      </c>
      <c r="E46" t="e">
        <f t="shared" si="0"/>
        <v>#VALUE!</v>
      </c>
      <c r="F46">
        <v>200</v>
      </c>
    </row>
    <row r="47" spans="2:6" x14ac:dyDescent="0.4">
      <c r="C47" t="s">
        <v>103</v>
      </c>
      <c r="D47" t="e" cm="1">
        <f t="array" ref="D47">_xll.ExLibris.WebAPIs.WebAPIResponseContent(D45)</f>
        <v>#VALUE!</v>
      </c>
      <c r="E47" t="e">
        <f t="shared" si="0"/>
        <v>#VALUE!</v>
      </c>
      <c r="F47" t="s">
        <v>164</v>
      </c>
    </row>
    <row r="49" spans="2:6" x14ac:dyDescent="0.4">
      <c r="B49" t="s">
        <v>136</v>
      </c>
      <c r="C49" t="s">
        <v>104</v>
      </c>
      <c r="D49" t="str">
        <f>$C$2&amp;"delay/10"</f>
        <v>http://localhost:80/delay/10</v>
      </c>
      <c r="E49" t="b">
        <f t="shared" si="0"/>
        <v>1</v>
      </c>
      <c r="F49" t="s">
        <v>165</v>
      </c>
    </row>
    <row r="50" spans="2:6" x14ac:dyDescent="0.4">
      <c r="C50" t="s">
        <v>102</v>
      </c>
      <c r="D50" t="e" cm="1">
        <f t="array" ref="D50">_xll.ExLibris.WebAPIs.GET(D49)</f>
        <v>#N/A</v>
      </c>
      <c r="F50" t="s">
        <v>166</v>
      </c>
    </row>
    <row r="51" spans="2:6" x14ac:dyDescent="0.4">
      <c r="C51" t="s">
        <v>93</v>
      </c>
      <c r="D51" t="e" cm="1">
        <f t="array" ref="D51">_xll.ExLibris.WebAPIs.WebAPIResponseStatus(D50,TRUE)</f>
        <v>#VALUE!</v>
      </c>
      <c r="E51" t="e">
        <f t="shared" si="0"/>
        <v>#VALUE!</v>
      </c>
      <c r="F51">
        <v>200</v>
      </c>
    </row>
    <row r="52" spans="2:6" x14ac:dyDescent="0.4">
      <c r="C52" t="s">
        <v>103</v>
      </c>
      <c r="D52" t="e" cm="1">
        <f t="array" ref="D52">_xll.ExLibris.WebAPIs.WebAPIResponseContent(D50)</f>
        <v>#VALUE!</v>
      </c>
      <c r="E52" t="e">
        <f t="shared" si="0"/>
        <v>#VALUE!</v>
      </c>
      <c r="F52" t="s">
        <v>169</v>
      </c>
    </row>
  </sheetData>
  <phoneticPr fontId="1"/>
  <hyperlinks>
    <hyperlink ref="C2" r:id="rId1" xr:uid="{1F584646-A45A-426F-9C4B-AC5B12FEC0AF}"/>
  </hyperlinks>
  <pageMargins left="0.7" right="0.7" top="0.75" bottom="0.75" header="0.3" footer="0.3"/>
  <pageSetup paperSize="9"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FB27FE-ED52-468A-9A6B-F83674C52684}">
  <dimension ref="B2:D42"/>
  <sheetViews>
    <sheetView workbookViewId="0"/>
  </sheetViews>
  <sheetFormatPr defaultRowHeight="18.75" x14ac:dyDescent="0.4"/>
  <cols>
    <col min="2" max="2" width="20.625" customWidth="1"/>
    <col min="3" max="3" width="18.25" customWidth="1"/>
  </cols>
  <sheetData>
    <row r="2" spans="2:4" x14ac:dyDescent="0.4">
      <c r="B2" t="str" cm="1">
        <f t="array" ref="B2">_xll.ExLibris.WebAPIs.CreateHeadersAsync(B3:C3)</f>
        <v>ExLibris.Core.WebAPIs.WebAPIHeaders:A0A27A5E-8C97-4C45-967C-B54F4B58A126</v>
      </c>
    </row>
    <row r="3" spans="2:4" x14ac:dyDescent="0.4">
      <c r="B3" t="s">
        <v>110</v>
      </c>
      <c r="C3" t="s">
        <v>135</v>
      </c>
    </row>
    <row r="5" spans="2:4" x14ac:dyDescent="0.4">
      <c r="B5" t="s">
        <v>104</v>
      </c>
      <c r="C5" t="str">
        <f>"https://api.github.com/users/"&amp;C3</f>
        <v>https://api.github.com/users/defunkt</v>
      </c>
    </row>
    <row r="6" spans="2:4" x14ac:dyDescent="0.4">
      <c r="B6" t="s">
        <v>102</v>
      </c>
      <c r="C6" t="str" cm="1">
        <f t="array" ref="C6">_xll.ExLibris.WebAPIs.GET(C5,B2)</f>
        <v>ExLibris.Core.WebAPIs.Response:F72CC60D-61BA-42C7-89E1-5231EA610786</v>
      </c>
    </row>
    <row r="7" spans="2:4" x14ac:dyDescent="0.4">
      <c r="B7" t="s">
        <v>93</v>
      </c>
      <c r="C7" t="str" cm="1">
        <f t="array" ref="C7">_xll.ExLibris.WebAPIs.WebAPIResponseStatus(C6)</f>
        <v>OK(200)</v>
      </c>
    </row>
    <row r="8" spans="2:4" x14ac:dyDescent="0.4">
      <c r="B8" t="s">
        <v>103</v>
      </c>
      <c r="C8" t="str" cm="1">
        <f t="array" ref="C8">_xll.ExLibris.WebAPIs.WebAPIResponseContent(C6)</f>
        <v>{"login":"defunkt","id":2,"node_id":"MDQ6VXNlcjI=","avatar_url":"https://avatars.githubusercontent.com/u/2?v=4","gravatar_id":"","url":"https://api.github.com/users/defunkt","html_url":"https://github.com/defunkt","followers_url":"https://api.github.com/users/defunkt/followers","following_url":"https://api.github.com/users/defunkt/following{/other_user}","gists_url":"https://api.github.com/users/defunkt/gists{/gist_id}","starred_url":"https://api.github.com/users/defunkt/starred{/owner}{/repo}","subscriptions_url":"https://api.github.com/users/defunkt/subscriptions","organizations_url":"https://api.github.com/users/defunkt/orgs","repos_url":"https://api.github.com/users/defunkt/repos","events_url":"https://api.github.com/users/defunkt/events{/privacy}","received_events_url":"https://api.github.com/users/defunkt/received_events","type":"User","site_admin":false,"name":"Chris Wanstrath","company":null,"blog":"http://chriswanstrath.com/","location":null,"email":null,"hireable":null,"bio":"🍔","twitter_username":null,"public_repos":107,"public_gists":273,"followers":21402,"following":210,"created_at":"2007-10-20T05:24:19Z","updated_at":"2022-03-29T01:48:36Z"}</v>
      </c>
    </row>
    <row r="10" spans="2:4" x14ac:dyDescent="0.4">
      <c r="C10" t="str" cm="1">
        <f t="array" ref="C10">_xll.ExLibris.Json.CreateJsonObjectAsync(C8)</f>
        <v>JsonObject:FB80924F-3D29-4993-A6F3-A4AE5BBF05AC</v>
      </c>
    </row>
    <row r="11" spans="2:4" x14ac:dyDescent="0.4">
      <c r="C11" t="str" cm="1">
        <f t="array" ref="C11:D42">_xll.ExLibris.Json.GetJsonKeyValuesAsync(C10)</f>
        <v>login</v>
      </c>
      <c r="D11" t="str">
        <v>defunkt</v>
      </c>
    </row>
    <row r="12" spans="2:4" x14ac:dyDescent="0.4">
      <c r="C12" t="str">
        <v>id</v>
      </c>
      <c r="D12">
        <v>2</v>
      </c>
    </row>
    <row r="13" spans="2:4" x14ac:dyDescent="0.4">
      <c r="C13" t="str">
        <v>node_id</v>
      </c>
      <c r="D13" t="str">
        <v>MDQ6VXNlcjI=</v>
      </c>
    </row>
    <row r="14" spans="2:4" x14ac:dyDescent="0.4">
      <c r="C14" t="str">
        <v>avatar_url</v>
      </c>
      <c r="D14" t="str">
        <v>https://avatars.githubusercontent.com/u/2?v=4</v>
      </c>
    </row>
    <row r="15" spans="2:4" x14ac:dyDescent="0.4">
      <c r="C15" t="str">
        <v>gravatar_id</v>
      </c>
      <c r="D15">
        <v>0</v>
      </c>
    </row>
    <row r="16" spans="2:4" x14ac:dyDescent="0.4">
      <c r="C16" t="str">
        <v>url</v>
      </c>
      <c r="D16" t="str">
        <v>https://api.github.com/users/defunkt</v>
      </c>
    </row>
    <row r="17" spans="3:4" x14ac:dyDescent="0.4">
      <c r="C17" t="str">
        <v>html_url</v>
      </c>
      <c r="D17" t="str">
        <v>https://github.com/defunkt</v>
      </c>
    </row>
    <row r="18" spans="3:4" x14ac:dyDescent="0.4">
      <c r="C18" t="str">
        <v>followers_url</v>
      </c>
      <c r="D18" t="str">
        <v>https://api.github.com/users/defunkt/followers</v>
      </c>
    </row>
    <row r="19" spans="3:4" x14ac:dyDescent="0.4">
      <c r="C19" t="str">
        <v>following_url</v>
      </c>
      <c r="D19" t="str">
        <v>https://api.github.com/users/defunkt/following{/other_user}</v>
      </c>
    </row>
    <row r="20" spans="3:4" x14ac:dyDescent="0.4">
      <c r="C20" t="str">
        <v>gists_url</v>
      </c>
      <c r="D20" t="str">
        <v>https://api.github.com/users/defunkt/gists{/gist_id}</v>
      </c>
    </row>
    <row r="21" spans="3:4" x14ac:dyDescent="0.4">
      <c r="C21" t="str">
        <v>starred_url</v>
      </c>
      <c r="D21" t="str">
        <v>https://api.github.com/users/defunkt/starred{/owner}{/repo}</v>
      </c>
    </row>
    <row r="22" spans="3:4" x14ac:dyDescent="0.4">
      <c r="C22" t="str">
        <v>subscriptions_url</v>
      </c>
      <c r="D22" t="str">
        <v>https://api.github.com/users/defunkt/subscriptions</v>
      </c>
    </row>
    <row r="23" spans="3:4" x14ac:dyDescent="0.4">
      <c r="C23" t="str">
        <v>organizations_url</v>
      </c>
      <c r="D23" t="str">
        <v>https://api.github.com/users/defunkt/orgs</v>
      </c>
    </row>
    <row r="24" spans="3:4" x14ac:dyDescent="0.4">
      <c r="C24" t="str">
        <v>repos_url</v>
      </c>
      <c r="D24" t="str">
        <v>https://api.github.com/users/defunkt/repos</v>
      </c>
    </row>
    <row r="25" spans="3:4" x14ac:dyDescent="0.4">
      <c r="C25" t="str">
        <v>events_url</v>
      </c>
      <c r="D25" t="str">
        <v>https://api.github.com/users/defunkt/events{/privacy}</v>
      </c>
    </row>
    <row r="26" spans="3:4" x14ac:dyDescent="0.4">
      <c r="C26" t="str">
        <v>received_events_url</v>
      </c>
      <c r="D26" t="str">
        <v>https://api.github.com/users/defunkt/received_events</v>
      </c>
    </row>
    <row r="27" spans="3:4" x14ac:dyDescent="0.4">
      <c r="C27" t="str">
        <v>type</v>
      </c>
      <c r="D27" t="str">
        <v>User</v>
      </c>
    </row>
    <row r="28" spans="3:4" x14ac:dyDescent="0.4">
      <c r="C28" t="str">
        <v>site_admin</v>
      </c>
      <c r="D28" t="b">
        <v>0</v>
      </c>
    </row>
    <row r="29" spans="3:4" x14ac:dyDescent="0.4">
      <c r="C29" t="str">
        <v>name</v>
      </c>
      <c r="D29" t="str">
        <v>Chris Wanstrath</v>
      </c>
    </row>
    <row r="30" spans="3:4" x14ac:dyDescent="0.4">
      <c r="C30" t="str">
        <v>company</v>
      </c>
      <c r="D30">
        <v>0</v>
      </c>
    </row>
    <row r="31" spans="3:4" x14ac:dyDescent="0.4">
      <c r="C31" t="str">
        <v>blog</v>
      </c>
      <c r="D31" t="str">
        <v>http://chriswanstrath.com/</v>
      </c>
    </row>
    <row r="32" spans="3:4" x14ac:dyDescent="0.4">
      <c r="C32" t="str">
        <v>location</v>
      </c>
      <c r="D32">
        <v>0</v>
      </c>
    </row>
    <row r="33" spans="3:4" x14ac:dyDescent="0.4">
      <c r="C33" t="str">
        <v>email</v>
      </c>
      <c r="D33">
        <v>0</v>
      </c>
    </row>
    <row r="34" spans="3:4" x14ac:dyDescent="0.4">
      <c r="C34" t="str">
        <v>hireable</v>
      </c>
      <c r="D34">
        <v>0</v>
      </c>
    </row>
    <row r="35" spans="3:4" x14ac:dyDescent="0.4">
      <c r="C35" t="str">
        <v>bio</v>
      </c>
      <c r="D35" t="str">
        <v>🍔</v>
      </c>
    </row>
    <row r="36" spans="3:4" x14ac:dyDescent="0.4">
      <c r="C36" t="str">
        <v>twitter_username</v>
      </c>
      <c r="D36">
        <v>0</v>
      </c>
    </row>
    <row r="37" spans="3:4" x14ac:dyDescent="0.4">
      <c r="C37" t="str">
        <v>public_repos</v>
      </c>
      <c r="D37">
        <v>107</v>
      </c>
    </row>
    <row r="38" spans="3:4" x14ac:dyDescent="0.4">
      <c r="C38" t="str">
        <v>public_gists</v>
      </c>
      <c r="D38">
        <v>273</v>
      </c>
    </row>
    <row r="39" spans="3:4" x14ac:dyDescent="0.4">
      <c r="C39" t="str">
        <v>followers</v>
      </c>
      <c r="D39">
        <v>21402</v>
      </c>
    </row>
    <row r="40" spans="3:4" x14ac:dyDescent="0.4">
      <c r="C40" t="str">
        <v>following</v>
      </c>
      <c r="D40">
        <v>210</v>
      </c>
    </row>
    <row r="41" spans="3:4" x14ac:dyDescent="0.4">
      <c r="C41" t="str">
        <v>created_at</v>
      </c>
      <c r="D41" t="str">
        <v>2007-10-20T05:24:19Z</v>
      </c>
    </row>
    <row r="42" spans="3:4" x14ac:dyDescent="0.4">
      <c r="C42" t="str">
        <v>updated_at</v>
      </c>
      <c r="D42" t="str">
        <v>2022-03-29T01:48:36Z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7</vt:i4>
      </vt:variant>
      <vt:variant>
        <vt:lpstr>名前付き一覧</vt:lpstr>
      </vt:variant>
      <vt:variant>
        <vt:i4>1</vt:i4>
      </vt:variant>
    </vt:vector>
  </HeadingPairs>
  <TitlesOfParts>
    <vt:vector size="8" baseType="lpstr">
      <vt:lpstr>json_test</vt:lpstr>
      <vt:lpstr>json_test_async</vt:lpstr>
      <vt:lpstr>json_w_conf_test_async</vt:lpstr>
      <vt:lpstr>configuration</vt:lpstr>
      <vt:lpstr>websocket</vt:lpstr>
      <vt:lpstr>webapi</vt:lpstr>
      <vt:lpstr>webapi github</vt:lpstr>
      <vt:lpstr>EXLIBRIS_CONFIGURATION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mugen fugafuga</dc:creator>
  <cp:lastModifiedBy>mugen fugafuga</cp:lastModifiedBy>
  <dcterms:created xsi:type="dcterms:W3CDTF">2021-09-12T06:00:20Z</dcterms:created>
  <dcterms:modified xsi:type="dcterms:W3CDTF">2022-05-01T06:10:25Z</dcterms:modified>
</cp:coreProperties>
</file>