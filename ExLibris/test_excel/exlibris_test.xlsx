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FEC451CF-104B-4CD8-87F2-FB1B73583768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8" i="5" l="1"/>
  <c r="N66" i="5"/>
  <c r="D23" i="5"/>
  <c r="N54" i="5"/>
  <c r="N42" i="5"/>
  <c r="N30" i="5"/>
  <c r="D18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30" i="5" a="1"/>
  <c r="D35" i="5" a="1"/>
  <c r="B84" i="5" a="1"/>
  <c r="N41" i="5" a="1"/>
  <c r="N77" i="5" a="1"/>
  <c r="N53" i="5" a="1"/>
  <c r="N65" i="5" a="1"/>
  <c r="H6" i="2" a="1"/>
  <c r="E17" i="3" a="1"/>
  <c r="E4" i="3" a="1"/>
  <c r="C41" i="5" a="1"/>
  <c r="C29" i="5" a="1"/>
  <c r="C17" i="5" a="1"/>
  <c r="C5" i="5" a="1"/>
  <c r="C2" i="2" a="1"/>
  <c r="B84" i="5" l="1"/>
  <c r="N77" i="5"/>
  <c r="C41" i="5"/>
  <c r="C29" i="5"/>
  <c r="C17" i="5"/>
  <c r="C5" i="5"/>
  <c r="N65" i="5"/>
  <c r="D35" i="5"/>
  <c r="D30" i="5"/>
  <c r="N53" i="5"/>
  <c r="N41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D19" i="5" a="1"/>
  <c r="D66" i="5" a="1"/>
  <c r="E20" i="3" a="1"/>
  <c r="E6" i="3" a="1"/>
  <c r="D7" i="5" a="1"/>
  <c r="D47" i="5" a="1"/>
  <c r="E7" i="3" a="1"/>
  <c r="D12" i="5" a="1"/>
  <c r="E6" i="2" a="1"/>
  <c r="D71" i="5" a="1"/>
  <c r="D36" i="5" a="1"/>
  <c r="D42" i="5" a="1"/>
  <c r="D24" i="5" a="1"/>
  <c r="D31" i="5" a="1"/>
  <c r="D78" i="5" a="1"/>
  <c r="D59" i="5" a="1"/>
  <c r="D54" i="5" a="1"/>
  <c r="E19" i="3" a="1"/>
  <c r="D78" i="5" l="1"/>
  <c r="D71" i="5"/>
  <c r="D66" i="5"/>
  <c r="D59" i="5"/>
  <c r="D47" i="5"/>
  <c r="D36" i="5"/>
  <c r="D12" i="5"/>
  <c r="D24" i="5"/>
  <c r="D7" i="5"/>
  <c r="D19" i="5"/>
  <c r="D31" i="5"/>
  <c r="D42" i="5"/>
  <c r="D5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9" i="5" a="1"/>
  <c r="D32" i="5" a="1"/>
  <c r="D14" i="5" a="1"/>
  <c r="D8" i="5" a="1"/>
  <c r="D38" i="5" a="1"/>
  <c r="C77" i="5" a="1"/>
  <c r="D34" i="5" a="1"/>
  <c r="D10" i="5" a="1"/>
  <c r="D33" i="5" a="1"/>
  <c r="D43" i="5" a="1"/>
  <c r="D39" i="5" a="1"/>
  <c r="D13" i="5" a="1"/>
  <c r="D20" i="5" a="1"/>
  <c r="D37" i="5" a="1"/>
  <c r="C65" i="5" a="1"/>
  <c r="C53" i="5" a="1"/>
  <c r="D27" i="5" a="1"/>
  <c r="D25" i="5" a="1"/>
  <c r="D15" i="5" a="1"/>
  <c r="D48" i="5" a="1"/>
  <c r="D21" i="5" a="1"/>
  <c r="D22" i="5" a="1"/>
  <c r="D26" i="5" a="1"/>
  <c r="E9" i="3" a="1"/>
  <c r="E22" i="3" a="1"/>
  <c r="C77" i="5" l="1"/>
  <c r="C53" i="5"/>
  <c r="C65" i="5"/>
  <c r="D48" i="5"/>
  <c r="D39" i="5"/>
  <c r="D38" i="5"/>
  <c r="D37" i="5"/>
  <c r="D14" i="5"/>
  <c r="D13" i="5"/>
  <c r="D15" i="5"/>
  <c r="D26" i="5"/>
  <c r="D25" i="5"/>
  <c r="D27" i="5"/>
  <c r="D43" i="5"/>
  <c r="D34" i="5"/>
  <c r="D10" i="5"/>
  <c r="D22" i="5"/>
  <c r="D9" i="5"/>
  <c r="D33" i="5"/>
  <c r="D21" i="5"/>
  <c r="D32" i="5"/>
  <c r="D20" i="5"/>
  <c r="D8" i="5"/>
  <c r="E22" i="3"/>
  <c r="E11" i="4"/>
  <c r="F12" i="4"/>
  <c r="G12" i="4" s="1"/>
  <c r="E9" i="3"/>
  <c r="E13" i="1"/>
  <c r="D50" i="5" a="1"/>
  <c r="D46" i="5" a="1"/>
  <c r="D44" i="5" a="1"/>
  <c r="D55" i="5" a="1"/>
  <c r="D60" i="5" a="1"/>
  <c r="D51" i="5" a="1"/>
  <c r="D49" i="5" a="1"/>
  <c r="D72" i="5" a="1"/>
  <c r="D45" i="5" a="1"/>
  <c r="D79" i="5" a="1"/>
  <c r="E10" i="3" a="1"/>
  <c r="E23" i="3" a="1"/>
  <c r="D67" i="5" a="1"/>
  <c r="F6" i="1" a="1"/>
  <c r="D79" i="5" l="1"/>
  <c r="D60" i="5"/>
  <c r="D72" i="5"/>
  <c r="D67" i="5"/>
  <c r="D49" i="5"/>
  <c r="D50" i="5"/>
  <c r="D51" i="5"/>
  <c r="D46" i="5"/>
  <c r="D45" i="5"/>
  <c r="D44" i="5"/>
  <c r="D55" i="5"/>
  <c r="F6" i="1"/>
  <c r="E23" i="3"/>
  <c r="F13" i="4"/>
  <c r="G13" i="4" s="1"/>
  <c r="E12" i="4"/>
  <c r="E10" i="3"/>
  <c r="D68" i="5" a="1"/>
  <c r="D73" i="5" a="1"/>
  <c r="D75" i="5" a="1"/>
  <c r="D74" i="5" a="1"/>
  <c r="D56" i="5" a="1"/>
  <c r="D80" i="5" a="1"/>
  <c r="F1" i="1" a="1"/>
  <c r="D70" i="5" a="1"/>
  <c r="D82" i="5" a="1"/>
  <c r="E24" i="3" a="1"/>
  <c r="D57" i="5" a="1"/>
  <c r="D63" i="5" a="1"/>
  <c r="E11" i="3" a="1"/>
  <c r="D62" i="5" a="1"/>
  <c r="D58" i="5" a="1"/>
  <c r="D81" i="5" a="1"/>
  <c r="D69" i="5" a="1"/>
  <c r="D61" i="5" a="1"/>
  <c r="D82" i="5" l="1"/>
  <c r="D81" i="5"/>
  <c r="D80" i="5"/>
  <c r="D68" i="5"/>
  <c r="D69" i="5"/>
  <c r="D70" i="5"/>
  <c r="D73" i="5"/>
  <c r="D74" i="5"/>
  <c r="D75" i="5"/>
  <c r="D58" i="5"/>
  <c r="D63" i="5"/>
  <c r="D61" i="5"/>
  <c r="D62" i="5"/>
  <c r="D56" i="5"/>
  <c r="D57" i="5"/>
  <c r="F1" i="1"/>
  <c r="E24" i="3"/>
  <c r="E13" i="4"/>
  <c r="F14" i="4"/>
  <c r="G14" i="4" s="1"/>
  <c r="E14" i="4" s="1"/>
  <c r="E11" i="3"/>
  <c r="I19" i="1" a="1"/>
  <c r="E25" i="3" a="1"/>
  <c r="M6" i="1" a="1"/>
  <c r="E12" i="3" a="1"/>
  <c r="P19" i="1" a="1"/>
  <c r="F6" i="4" a="1"/>
  <c r="E19" i="1" a="1"/>
  <c r="G46" i="1" a="1"/>
  <c r="G43" i="1" a="1"/>
  <c r="G47" i="1" a="1"/>
  <c r="G31" i="1" a="1"/>
  <c r="G40" i="1" a="1"/>
  <c r="G42" i="1" a="1"/>
  <c r="G22" i="1" a="1"/>
  <c r="G27" i="1" a="1"/>
  <c r="G51" i="1" a="1"/>
  <c r="G26" i="1" a="1"/>
  <c r="G55" i="1" a="1"/>
  <c r="G48" i="1" a="1"/>
  <c r="G39" i="1" a="1"/>
  <c r="G41" i="1" a="1"/>
  <c r="G44" i="1" a="1"/>
  <c r="G21" i="1" a="1"/>
  <c r="G20" i="1" a="1"/>
  <c r="G53" i="1" a="1"/>
  <c r="G34" i="1" a="1"/>
  <c r="G33" i="1" a="1"/>
  <c r="G30" i="1" a="1"/>
  <c r="G35" i="1" a="1"/>
  <c r="G56" i="1" a="1"/>
  <c r="G29" i="1" a="1"/>
  <c r="G45" i="1" a="1"/>
  <c r="G52" i="1" a="1"/>
  <c r="G38" i="1" a="1"/>
  <c r="G54" i="1" a="1"/>
  <c r="G25" i="1" a="1"/>
  <c r="G36" i="1" a="1"/>
  <c r="G37" i="1" a="1"/>
  <c r="G49" i="1" a="1"/>
  <c r="G32" i="1" a="1"/>
  <c r="G57" i="1" a="1"/>
  <c r="G23" i="1" a="1"/>
  <c r="G24" i="1" a="1"/>
  <c r="G28" i="1" a="1"/>
  <c r="G50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F1" i="4" a="1"/>
  <c r="P29" i="1" a="1"/>
  <c r="E26" i="3" a="1"/>
  <c r="G19" i="1" a="1"/>
  <c r="I28" i="1" a="1"/>
  <c r="E13" i="3" a="1"/>
  <c r="I20" i="1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32" i="4" a="1"/>
  <c r="I29" i="1" a="1"/>
  <c r="P30" i="1" a="1"/>
  <c r="E27" i="3" a="1"/>
  <c r="E14" i="3" a="1"/>
  <c r="E19" i="4" a="1"/>
  <c r="M6" i="4" a="1"/>
  <c r="I19" i="4" a="1"/>
  <c r="G31" i="4" a="1"/>
  <c r="G39" i="4" a="1"/>
  <c r="G32" i="4" a="1"/>
  <c r="G44" i="4" a="1"/>
  <c r="G24" i="4" a="1"/>
  <c r="G34" i="4" a="1"/>
  <c r="G48" i="4" a="1"/>
  <c r="G56" i="4" a="1"/>
  <c r="G23" i="4" a="1"/>
  <c r="G41" i="4" a="1"/>
  <c r="G26" i="4" a="1"/>
  <c r="G30" i="4" a="1"/>
  <c r="G22" i="4" a="1"/>
  <c r="G29" i="4" a="1"/>
  <c r="G20" i="4" a="1"/>
  <c r="G45" i="4" a="1"/>
  <c r="G50" i="4" a="1"/>
  <c r="G36" i="4" a="1"/>
  <c r="G49" i="4" a="1"/>
  <c r="G35" i="4" a="1"/>
  <c r="G40" i="4" a="1"/>
  <c r="G33" i="4" a="1"/>
  <c r="G27" i="4" a="1"/>
  <c r="G25" i="4" a="1"/>
  <c r="G46" i="4" a="1"/>
  <c r="G51" i="4" a="1"/>
  <c r="G57" i="4" a="1"/>
  <c r="G43" i="4" a="1"/>
  <c r="G38" i="4" a="1"/>
  <c r="G37" i="4" a="1"/>
  <c r="G42" i="4" a="1"/>
  <c r="G28" i="4" a="1"/>
  <c r="G52" i="4" a="1"/>
  <c r="G53" i="4" a="1"/>
  <c r="G55" i="4" a="1"/>
  <c r="G54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33" i="4" a="1"/>
  <c r="I42" i="4" a="1"/>
  <c r="I38" i="4" a="1"/>
  <c r="E28" i="3" a="1"/>
  <c r="I20" i="4" a="1"/>
  <c r="I28" i="4" a="1"/>
  <c r="G21" i="4" a="1"/>
  <c r="G19" i="4" a="1"/>
  <c r="G47" i="4" a="1"/>
  <c r="E15" i="3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9" i="4" a="1"/>
  <c r="I43" i="4" a="1"/>
  <c r="I29" i="4" a="1"/>
  <c r="I34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<sst xmlns="http://schemas.openxmlformats.org/spreadsheetml/2006/main" count="537" uniqueCount="157">
  <si>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</si>
  <si>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</si>
  <si>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</si>
  <si>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</si>
  <si>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</si>
  <si>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</si>
  <si>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</si>
  <si>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</si>
  <si>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</si>
  <si>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</si>
  <si>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</si>
  <si>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</si>
  <si>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</si>
  <si>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</si>
  <si>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</si>
  <si>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</si>
  <si>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</si>
  <si>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</si>
  <si>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</si>
  <si>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</si>
  <si>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</si>
  <si>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</si>
  <si>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</si>
  <si>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</si>
  <si>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</si>
  <si>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</si>
  <si>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</si>
  <si>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</si>
  <si>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</si>
  <si>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</si>
  <si>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</si>
  <si>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</si>
  <si>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</si>
  <si>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</si>
  <si>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</si>
  <si>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</si>
  <si>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</si>
  <si>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</si>
  <si>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</si>
  <si>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</si>
  <si>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</si>
  <si>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</si>
  <si>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</si>
  <si>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</si>
  <si>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</si>
  <si>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</si>
  <si>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</si>
  <si>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</si>
  <si>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</si>
  <si>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</si>
  <si>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</si>
  <si>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</si>
  <si>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</si>
  <si>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</si>
  <si>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</si>
  <si>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</si>
  <si>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</si>
  <si>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</si>
  <si>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</si>
  <si>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</si>
  <si>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</si>
  <si>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</si>
  <si>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</si>
  <si>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</si>
  <si>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</si>
  <si>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</si>
  <si>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</si>
  <si>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</si>
  <si>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</si>
  <si>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</si>
  <si>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</si>
  <si>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</si>
  <si>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</si>
  <si>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</si>
  <si>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</si>
  <si>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</si>
  <si>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</si>
  <si>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</si>
  <si>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</si>
  <si>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</si>
  <si>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</si>
  <si>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</si>
  <si>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</si>
  <si>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</si>
  <si>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</si>
  <si>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</si>
  <si>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</si>
  <si>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</si>
  <si>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</si>
  <si>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</si>
  <si>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</si>
  <si>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</si>
  <si>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</si>
  <si>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</si>
  <si>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</si>
  <si>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</si>
  <si>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</si>
  <si>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</si>
  <si>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</si>
  <si>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</si>
  <si>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</si>
  <si>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</si>
  <si>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</si>
  <si>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</si>
  <si>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</si>
  <si>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</si>
  <si>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</si>
  <si>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</si>
  <si>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</si>
  <si>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</si>
  <si>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</si>
  <si>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</si>
  <si>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</si>
  <si>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</si>
  <si>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</si>
  <si>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</si>
  <si>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</si>
  <si>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</si>
  <si>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</si>
  <si>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</si>
  <si>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</si>
  <si>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</si>
  <si>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</si>
  <si>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</si>
  <si>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</si>
  <si>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</si>
  <si>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</si>
  <si>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</si>
  <si>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WebAPI1</t>
    <phoneticPr fontId="1"/>
  </si>
  <si>
    <t>WebAPI0</t>
    <phoneticPr fontId="1"/>
  </si>
  <si>
    <t>WebAPI2</t>
    <phoneticPr fontId="1"/>
  </si>
  <si>
    <t>key0</t>
    <phoneticPr fontId="1"/>
  </si>
  <si>
    <t>key1.int</t>
    <phoneticPr fontId="1"/>
  </si>
  <si>
    <t>key1.string</t>
    <phoneticPr fontId="1"/>
  </si>
  <si>
    <t>value1</t>
    <phoneticPr fontId="1"/>
  </si>
  <si>
    <t>parameters</t>
    <phoneticPr fontId="1"/>
  </si>
  <si>
    <t>WebAPI3</t>
    <phoneticPr fontId="1"/>
  </si>
  <si>
    <t>WebAPI4</t>
    <phoneticPr fontId="1"/>
  </si>
  <si>
    <t>header</t>
    <phoneticPr fontId="1"/>
  </si>
  <si>
    <t>POST</t>
    <phoneticPr fontId="1"/>
  </si>
  <si>
    <t>post</t>
    <phoneticPr fontId="1"/>
  </si>
  <si>
    <t>form</t>
    <phoneticPr fontId="1"/>
  </si>
  <si>
    <t>string</t>
    <phoneticPr fontId="1"/>
  </si>
  <si>
    <t>WebAPI5</t>
    <phoneticPr fontId="1"/>
  </si>
  <si>
    <t>sss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</si>
  <si>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</si>
  <si>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</si>
  <si>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</si>
  <si>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</si>
  <si>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</si>
  <si>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</si>
  <si>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</si>
  <si>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</si>
  <si>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</si>
  <si>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WebAPI6</t>
    <phoneticPr fontId="1"/>
  </si>
  <si>
    <t>Bearer</t>
    <phoneticPr fontId="1"/>
  </si>
  <si>
    <t>XXX11111222223333444444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</si>
</sst>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3ff54a3ff4cd43f08f0a85689da72f9a">
      <tp>
        <v>1</v>
        <stp/>
        <stp>a23af6a2-de73-404b-a91b-f987678a0b67</stp>
        <tr r="G50" s="1"/>
      </tp>
      <tp>
        <v>1</v>
        <stp/>
        <stp>87256c96-a9c2-4b01-a087-ca0fa0a9924e</stp>
        <tr r="G21" s="1"/>
      </tp>
      <tp>
        <v>1</v>
        <stp/>
        <stp>2aef62ea-7fd8-4af3-8896-67c0ecd8de7f</stp>
        <tr r="G43" s="4"/>
      </tp>
      <tp>
        <v>1</v>
        <stp/>
        <stp>2f2642cb-4f3a-4626-bf5f-996aba1a9d17</stp>
        <tr r="D48" s="5"/>
      </tp>
      <tp>
        <v>1</v>
        <stp/>
        <stp>0d24c23f-8e57-4096-9cd8-01cb3634fdae</stp>
        <tr r="G44" s="4"/>
      </tp>
    </main>
    <main first="rtdsrv.3ff54a3ff4cd43f08f0a85689da72f9a">
      <tp>
        <v>1</v>
        <stp/>
        <stp>fa5b3532-816c-47aa-903a-ef96bdb8fbf0</stp>
        <tr r="G56" s="4"/>
      </tp>
      <tp>
        <v>1</v>
        <stp/>
        <stp>29c7a35d-e5aa-47e8-bb98-6f5f746d7b3c</stp>
        <tr r="G20" s="1"/>
      </tp>
    </main>
    <main first="rtdsrv.3ff54a3ff4cd43f08f0a85689da72f9a">
      <tp>
        <v>1</v>
        <stp/>
        <stp>ef6a5e2b-571c-4aa8-a03a-42a156e8edbc</stp>
        <tr r="G21" s="4"/>
      </tp>
      <tp>
        <v>1</v>
        <stp/>
        <stp>e3802d2c-53cf-460b-9da0-87660315885c</stp>
        <tr r="G30" s="1"/>
      </tp>
      <tp>
        <v>1</v>
        <stp/>
        <stp>456d1ab6-e8b3-4689-b0a6-3aeb04858a8a</stp>
        <tr r="G52" s="1"/>
      </tp>
      <tp>
        <v>1</v>
        <stp/>
        <stp>b391ed1a-ba37-4b77-a3a7-b4dec81d2279</stp>
        <tr r="G26" s="4"/>
      </tp>
    </main>
    <main first="rtdsrv.3ff54a3ff4cd43f08f0a85689da72f9a">
      <tp>
        <v>1</v>
        <stp/>
        <stp>04ec8913-ec3b-418d-b16b-5559dd588657</stp>
        <tr r="G30" s="4"/>
      </tp>
      <tp>
        <v>1</v>
        <stp/>
        <stp>4482b87b-3b76-4e9b-b29e-e88f6b9bfcc3</stp>
        <tr r="G24" s="4"/>
      </tp>
    </main>
    <main first="rtdsrv.3ff54a3ff4cd43f08f0a85689da72f9a">
      <tp>
        <v>1</v>
        <stp/>
        <stp>9fbbe661-a915-4ac6-b291-ce56cda64bd5</stp>
        <tr r="D31" s="5"/>
      </tp>
      <tp>
        <v>1</v>
        <stp/>
        <stp>3bf581a3-2b92-4978-9f03-0cd1c6f73a83</stp>
        <tr r="G39" s="1"/>
      </tp>
      <tp>
        <v>1</v>
        <stp/>
        <stp>e3711678-82c3-44a3-a487-2914ae4e362c</stp>
        <tr r="G34" s="1"/>
      </tp>
      <tp>
        <v>1</v>
        <stp/>
        <stp>ad8a100c-7a73-42e9-98a7-bedf6287600b</stp>
        <tr r="G53" s="1"/>
      </tp>
    </main>
    <main first="rtdsrv.3ff54a3ff4cd43f08f0a85689da72f9a">
      <tp>
        <v>1</v>
        <stp/>
        <stp>b9c69604-70ec-4f71-9efa-5ec90fb4b0da</stp>
        <tr r="G27" s="1"/>
      </tp>
      <tp>
        <v>1</v>
        <stp/>
        <stp>d8ca6b23-083b-49d4-a3f8-4ac613ae167f</stp>
        <tr r="G23" s="4"/>
      </tp>
    </main>
    <main first="rtdsrv.3ff54a3ff4cd43f08f0a85689da72f9a">
      <tp>
        <v>1</v>
        <stp/>
        <stp>d5d3623c-e3d9-4ae8-a610-5c758d5657dd</stp>
        <tr r="G28" s="1"/>
      </tp>
    </main>
    <main first="rtdsrv.3ff54a3ff4cd43f08f0a85689da72f9a">
      <tp>
        <v>1</v>
        <stp/>
        <stp>c36799f9-a337-485b-ad6a-8ad2bfb42c80</stp>
        <tr r="F6" s="4"/>
      </tp>
      <tp>
        <v>1</v>
        <stp/>
        <stp>cefae762-cd9d-49b4-830f-832e5e62c84f</stp>
        <tr r="G31" s="1"/>
      </tp>
    </main>
    <main first="rtdsrv.3ff54a3ff4cd43f08f0a85689da72f9a">
      <tp>
        <v>1</v>
        <stp/>
        <stp>449c82ab-4c07-4b9c-9212-7e7788eeaf71</stp>
        <tr r="G38" s="1"/>
      </tp>
    </main>
    <main first="rtdsrv.3ff54a3ff4cd43f08f0a85689da72f9a">
      <tp>
        <v>1</v>
        <stp/>
        <stp>61d52fda-e46f-4e00-bc41-db0df65338d7</stp>
        <tr r="G32" s="4"/>
      </tp>
      <tp>
        <v>1</v>
        <stp/>
        <stp>d4bf9ca5-3331-4fb3-a5ae-1428e9b1cb2c</stp>
        <tr r="F6" s="1"/>
      </tp>
      <tp>
        <v>1</v>
        <stp/>
        <stp>db6a36f5-3df6-45ad-aae0-e53968a082b3</stp>
        <tr r="G50" s="4"/>
      </tp>
      <tp>
        <v>1</v>
        <stp/>
        <stp>461069ab-633d-4ff6-a593-85df695b7c5a</stp>
        <tr r="C65" s="5"/>
      </tp>
    </main>
    <main first="rtdsrv.3ff54a3ff4cd43f08f0a85689da72f9a">
      <tp>
        <v>1</v>
        <stp/>
        <stp>801db10d-a956-419a-88c3-d60604116931</stp>
        <tr r="G37" s="1"/>
      </tp>
      <tp>
        <v>1</v>
        <stp/>
        <stp>8d658062-eb36-4b94-bd9d-1e50369ae675</stp>
        <tr r="G41" s="1"/>
      </tp>
      <tp>
        <v>1</v>
        <stp/>
        <stp>9827904b-52c2-4d50-8caf-255b4ac3da95</stp>
        <tr r="G33" s="4"/>
      </tp>
      <tp>
        <v>1</v>
        <stp/>
        <stp>c35d8c36-7560-4a4b-9c56-e973cf12e6a9</stp>
        <tr r="D36" s="5"/>
      </tp>
      <tp>
        <v>1</v>
        <stp/>
        <stp>fa208ca8-4ce9-4f14-8d84-6c909de3ed65</stp>
        <tr r="G55" s="4"/>
      </tp>
      <tp>
        <v>1</v>
        <stp/>
        <stp>e5fdfdcd-bf7a-4eb2-836d-97982a63d933</stp>
        <tr r="G29" s="4"/>
      </tp>
    </main>
    <main first="rtdsrv.3ff54a3ff4cd43f08f0a85689da72f9a">
      <tp>
        <v>1</v>
        <stp/>
        <stp>d79c9cde-969f-4c02-a0c2-261307c9fe20</stp>
        <tr r="D79" s="5"/>
      </tp>
      <tp>
        <v>1</v>
        <stp/>
        <stp>59d4d1ec-7ccf-4dfe-b5d7-de2ad09e63ad</stp>
        <tr r="G48" s="4"/>
      </tp>
      <tp>
        <v>1</v>
        <stp/>
        <stp>2077e5cb-df80-4ff3-840d-98c6af43ddf6</stp>
        <tr r="C5" s="5"/>
      </tp>
    </main>
    <main first="rtdsrv.3ff54a3ff4cd43f08f0a85689da72f9a">
      <tp>
        <v>1</v>
        <stp/>
        <stp>24edf8cc-b2c3-4bbd-a5d5-88a67d73cec7</stp>
        <tr r="G22" s="4"/>
      </tp>
    </main>
    <main first="rtdsrv.3ff54a3ff4cd43f08f0a85689da72f9a">
      <tp>
        <v>1</v>
        <stp/>
        <stp>7d6dc2c7-f781-48a4-8fa3-17308bbc1f29</stp>
        <tr r="C17" s="5"/>
      </tp>
    </main>
    <main first="rtdsrv.3ff54a3ff4cd43f08f0a85689da72f9a">
      <tp>
        <v>1</v>
        <stp/>
        <stp>e340dd71-922f-4e6b-80c2-794b924dc2c3</stp>
        <tr r="G36" s="1"/>
      </tp>
      <tp>
        <v>1</v>
        <stp/>
        <stp>00fa0a6e-5622-4838-ba36-775287e059f3</stp>
        <tr r="G24" s="1"/>
      </tp>
    </main>
    <main first="rtdsrv.3ff54a3ff4cd43f08f0a85689da72f9a">
      <tp>
        <v>1</v>
        <stp/>
        <stp>c7d55742-4d3c-4f3c-88cf-0057148f2f14</stp>
        <tr r="G36" s="4"/>
      </tp>
    </main>
    <main first="rtdsrv.3ff54a3ff4cd43f08f0a85689da72f9a">
      <tp>
        <v>1</v>
        <stp/>
        <stp>a8f30947-2810-4cfd-9e3a-b0386db52e99</stp>
        <tr r="G47" s="1"/>
      </tp>
      <tp>
        <v>1</v>
        <stp/>
        <stp>3dad9229-ac66-4bff-9017-ad21b7e50f1b</stp>
        <tr r="G47" s="4"/>
      </tp>
    </main>
    <main first="rtdsrv.3ff54a3ff4cd43f08f0a85689da72f9a">
      <tp>
        <v>1</v>
        <stp/>
        <stp>1a49effd-4438-463a-9bab-0569e6db7e61</stp>
        <tr r="G29" s="1"/>
      </tp>
    </main>
    <main first="rtdsrv.3ff54a3ff4cd43f08f0a85689da72f9a">
      <tp>
        <v>2</v>
        <stp/>
        <stp>10702922-898e-4155-a582-88d6af5cf74e</stp>
        <tr r="H6" s="2"/>
      </tp>
      <tp>
        <v>1</v>
        <stp/>
        <stp>cb199008-3635-4be6-9105-059fe10946cb</stp>
        <tr r="G35" s="4"/>
      </tp>
    </main>
    <main first="rtdsrv.3ff54a3ff4cd43f08f0a85689da72f9a">
      <tp>
        <v>1</v>
        <stp/>
        <stp>8315898e-6267-42c2-8145-01971f5c1994</stp>
        <tr r="E20" s="3"/>
      </tp>
    </main>
    <main first="rtdsrv.3ff54a3ff4cd43f08f0a85689da72f9a">
      <tp>
        <v>1</v>
        <stp/>
        <stp>54d300ed-cb92-4f56-bd5d-61a9c2a923e3</stp>
        <tr r="D60" s="5"/>
      </tp>
      <tp>
        <v>1</v>
        <stp/>
        <stp>883fd166-9082-4801-921e-8db375cbe2de</stp>
        <tr r="G22" s="1"/>
      </tp>
      <tp>
        <v>1</v>
        <stp/>
        <stp>65a4ed9f-7dec-4fcb-ab0a-ce4ba7df3561</stp>
        <tr r="E17" s="3"/>
      </tp>
    </main>
    <main first="rtdsrv.3ff54a3ff4cd43f08f0a85689da72f9a">
      <tp>
        <v>1</v>
        <stp/>
        <stp>704b9c4f-0172-4530-811d-36403edf8bf1</stp>
        <tr r="G23" s="1"/>
      </tp>
    </main>
    <main first="rtdsrv.3ff54a3ff4cd43f08f0a85689da72f9a">
      <tp>
        <v>1</v>
        <stp/>
        <stp>f4e0e93d-a244-4e98-b0fc-f58c9d14b0fc</stp>
        <tr r="G34" s="4"/>
      </tp>
    </main>
    <main first="rtdsrv.3ff54a3ff4cd43f08f0a85689da72f9a">
      <tp>
        <v>1</v>
        <stp/>
        <stp>d47e75bb-d609-4083-a117-c4fba60de777</stp>
        <tr r="G57" s="4"/>
      </tp>
      <tp>
        <v>1</v>
        <stp/>
        <stp>19633e4a-1d15-437f-8023-253658bdbf0a</stp>
        <tr r="G49" s="4"/>
      </tp>
    </main>
    <main first="rtdsrv.3ff54a3ff4cd43f08f0a85689da72f9a">
      <tp>
        <v>1</v>
        <stp/>
        <stp>c0939f68-733f-44f2-931d-fad4f5bf6dcc</stp>
        <tr r="P29" s="1"/>
      </tp>
      <tp>
        <v>1</v>
        <stp/>
        <stp>9823be46-5a24-4df6-a59e-032d1d3aba09</stp>
        <tr r="G54" s="4"/>
      </tp>
    </main>
    <main first="rtdsrv.3ff54a3ff4cd43f08f0a85689da72f9a">
      <tp>
        <v>1</v>
        <stp/>
        <stp>94d71dde-fa5d-43e0-a6ac-bfe19bf0c219</stp>
        <tr r="G57" s="1"/>
      </tp>
    </main>
    <main first="rtdsrv.3ff54a3ff4cd43f08f0a85689da72f9a">
      <tp>
        <v>1</v>
        <stp/>
        <stp>419d7540-1ffc-44f2-a221-40d1afdb22cc</stp>
        <tr r="G48" s="1"/>
      </tp>
    </main>
    <main first="rtdsrv.3ff54a3ff4cd43f08f0a85689da72f9a">
      <tp>
        <v>1</v>
        <stp/>
        <stp>c6a73fd0-5797-4f2f-9d7f-aeaa556625bf</stp>
        <tr r="G28" s="4"/>
      </tp>
      <tp>
        <v>1</v>
        <stp/>
        <stp>9ed9d4bb-61ea-4bb1-b360-f9fb3020483e</stp>
        <tr r="C77" s="5"/>
      </tp>
    </main>
    <main first="rtdsrv.3ff54a3ff4cd43f08f0a85689da72f9a">
      <tp>
        <v>1</v>
        <stp/>
        <stp>ae80f13c-b640-41f7-8b42-1a002290c624</stp>
        <tr r="G35" s="1"/>
      </tp>
      <tp>
        <v>1</v>
        <stp/>
        <stp>8832aac2-119d-43ee-be99-0770daac826f</stp>
        <tr r="E4" s="3"/>
      </tp>
    </main>
    <main first="rtdsrv.3ff54a3ff4cd43f08f0a85689da72f9a">
      <tp>
        <v>1</v>
        <stp/>
        <stp>715013d7-6a6c-4d81-a821-44ab49e38552</stp>
        <tr r="G40" s="4"/>
      </tp>
      <tp>
        <v>1</v>
        <stp/>
        <stp>df75cbb7-a5fe-4d2e-8b85-e65d503541e0</stp>
        <tr r="F1" s="4"/>
      </tp>
    </main>
    <main first="rtdsrv.3ff54a3ff4cd43f08f0a85689da72f9a">
      <tp>
        <v>1</v>
        <stp/>
        <stp>c34d169f-6e6f-44c7-9a92-be76ba84e7f2</stp>
        <tr r="G19" s="1"/>
      </tp>
      <tp>
        <v>1</v>
        <stp/>
        <stp>7229782e-d629-492b-b01d-7ebbbc00a513</stp>
        <tr r="G46" s="4"/>
      </tp>
    </main>
    <main first="rtdsrv.3ff54a3ff4cd43f08f0a85689da72f9a">
      <tp>
        <v>1</v>
        <stp/>
        <stp>26406f5a-79fc-4f34-b185-86ccea4771b6</stp>
        <tr r="I28" s="1"/>
      </tp>
      <tp>
        <v>1</v>
        <stp/>
        <stp>856bfd45-f21c-491e-b160-5cbcc899a2e9</stp>
        <tr r="G32" s="1"/>
      </tp>
    </main>
    <main first="rtdsrv.3ff54a3ff4cd43f08f0a85689da72f9a">
      <tp>
        <v>1</v>
        <stp/>
        <stp>98792017-e142-46b5-8626-33738c0b66fb</stp>
        <tr r="G43" s="1"/>
      </tp>
      <tp>
        <v>1</v>
        <stp/>
        <stp>469c8696-a37d-4265-9f84-50132dcbc42c</stp>
        <tr r="I38" s="4"/>
      </tp>
      <tp>
        <v>3</v>
        <stp/>
        <stp>17643d67-78ac-4789-89da-829e7428f347</stp>
        <tr r="E6" s="3"/>
      </tp>
    </main>
    <main first="rtdsrv.3ff54a3ff4cd43f08f0a85689da72f9a">
      <tp>
        <v>1</v>
        <stp/>
        <stp>befb0fd6-b610-4a0c-a187-90f0e32ff2f3</stp>
        <tr r="G33" s="1"/>
      </tp>
      <tp>
        <v>1</v>
        <stp/>
        <stp>0f854e32-c357-4258-8a1f-e031e661cda4</stp>
        <tr r="G52" s="4"/>
      </tp>
    </main>
    <main first="rtdsrv.3ff54a3ff4cd43f08f0a85689da72f9a">
      <tp>
        <v>1</v>
        <stp/>
        <stp>57567e77-4779-4802-b2d0-78c46ff75ec7</stp>
        <tr r="G25" s="1"/>
      </tp>
      <tp>
        <v>1</v>
        <stp/>
        <stp>ddb9acaa-3395-488b-9735-b6f069a1dac5</stp>
        <tr r="G27" s="4"/>
      </tp>
    </main>
    <main first="rtdsrv.3ff54a3ff4cd43f08f0a85689da72f9a">
      <tp>
        <v>1</v>
        <stp/>
        <stp>2160c7a1-dd1e-4e89-8376-de220625d4ee</stp>
        <tr r="G39" s="4"/>
      </tp>
    </main>
    <main first="rtdsrv.3ff54a3ff4cd43f08f0a85689da72f9a">
      <tp>
        <v>1</v>
        <stp/>
        <stp>43a956f1-7c47-4b9d-8052-0851ea393022</stp>
        <tr r="G55" s="1"/>
      </tp>
    </main>
    <main first="rtdsrv.3ff54a3ff4cd43f08f0a85689da72f9a">
      <tp>
        <v>1</v>
        <stp/>
        <stp>49221a2f-8469-4e5f-8460-580d643a250c</stp>
        <tr r="D43" s="5"/>
      </tp>
      <tp>
        <v>1</v>
        <stp/>
        <stp>8a8163db-200c-4037-a094-6f9eb23543fc</stp>
        <tr r="G41" s="4"/>
      </tp>
    </main>
    <main first="rtdsrv.3ff54a3ff4cd43f08f0a85689da72f9a">
      <tp>
        <v>1</v>
        <stp/>
        <stp>e38a32ec-2623-4e43-b466-11b90824864f</stp>
        <tr r="G45" s="4"/>
      </tp>
    </main>
    <main first="rtdsrv.3ff54a3ff4cd43f08f0a85689da72f9a">
      <tp>
        <v>1</v>
        <stp/>
        <stp>b9ca65c7-92e6-4d42-a31b-c090762a2987</stp>
        <tr r="I42" s="4"/>
      </tp>
    </main>
    <main first="rtdsrv.3ff54a3ff4cd43f08f0a85689da72f9a">
      <tp>
        <v>1</v>
        <stp/>
        <stp>2877b510-3b94-4b18-9643-8805ef98ce40</stp>
        <tr r="I33" s="4"/>
      </tp>
      <tp>
        <v>1</v>
        <stp/>
        <stp>046f5c84-d727-4d2f-b594-1215d5e50b11</stp>
        <tr r="C41" s="5"/>
      </tp>
    </main>
    <main first="rtdsrv.3ff54a3ff4cd43f08f0a85689da72f9a">
      <tp>
        <v>1</v>
        <stp/>
        <stp>f90bfe98-da1c-466f-8d39-5ea6019801c8</stp>
        <tr r="C29" s="5"/>
      </tp>
      <tp>
        <v>1</v>
        <stp/>
        <stp>9559d28a-7760-49e4-b1a3-296e156aeafb</stp>
        <tr r="D67" s="5"/>
      </tp>
    </main>
    <main first="rtdsrv.3ff54a3ff4cd43f08f0a85689da72f9a">
      <tp>
        <v>1</v>
        <stp/>
        <stp>0677c4a6-d757-4ac4-b61e-3eadae8bbdec</stp>
        <tr r="F1" s="1"/>
      </tp>
      <tp>
        <v>1</v>
        <stp/>
        <stp>4dbb7899-490e-4c5e-af42-b1a42855d7f5</stp>
        <tr r="P19" s="1"/>
      </tp>
      <tp>
        <v>1</v>
        <stp/>
        <stp>45a83191-abf4-4b68-9f72-fe22498881e4</stp>
        <tr r="G44" s="1"/>
      </tp>
      <tp>
        <v>1</v>
        <stp/>
        <stp>6c17ffeb-0228-42b4-b862-3050afaf6ffa</stp>
        <tr r="B84" s="5"/>
      </tp>
      <tp>
        <v>1</v>
        <stp/>
        <stp>4d71f2e3-be2b-4927-99f0-9dceecb51ec8</stp>
        <tr r="G49" s="1"/>
      </tp>
      <tp>
        <v>1</v>
        <stp/>
        <stp>61f85e88-349f-4de4-a050-bff31f994aa5</stp>
        <tr r="G25" s="4"/>
      </tp>
      <tp>
        <v>1</v>
        <stp/>
        <stp>d69aeef9-5dae-4373-b7d6-5ac4b24ffe6d</stp>
        <tr r="G56" s="1"/>
      </tp>
      <tp>
        <v>1</v>
        <stp/>
        <stp>38526cc2-ac79-4d36-ba6c-833b185bf7c1</stp>
        <tr r="G19" s="4"/>
      </tp>
    </main>
    <main first="rtdsrv.3ff54a3ff4cd43f08f0a85689da72f9a">
      <tp>
        <v>1</v>
        <stp/>
        <stp>495bddf4-4012-4daa-aa73-3d450e18c8cb</stp>
        <tr r="D12" s="5"/>
      </tp>
    </main>
    <main first="rtdsrv.3ff54a3ff4cd43f08f0a85689da72f9a">
      <tp>
        <v>1</v>
        <stp/>
        <stp>f8e6f0f2-5749-4215-ad24-9664221b68b0</stp>
        <tr r="G42" s="4"/>
      </tp>
    </main>
    <main first="rtdsrv.3ff54a3ff4cd43f08f0a85689da72f9a">
      <tp>
        <v>1</v>
        <stp/>
        <stp>9cb0672c-b400-41d5-80ff-d113ad9796e4</stp>
        <tr r="N41" s="5"/>
      </tp>
      <tp>
        <v>1</v>
        <stp/>
        <stp>8b34644b-016b-45e0-9c7b-5cae70c89493</stp>
        <tr r="I28" s="4"/>
      </tp>
    </main>
    <main first="rtdsrv.3ff54a3ff4cd43f08f0a85689da72f9a">
      <tp>
        <v>1</v>
        <stp/>
        <stp>795cc86d-df4c-45d1-8f15-ce38249f41c9</stp>
        <tr r="D55" s="5"/>
      </tp>
    </main>
    <main first="rtdsrv.3ff54a3ff4cd43f08f0a85689da72f9a">
      <tp>
        <v>1</v>
        <stp/>
        <stp>54f102c4-2b5f-46da-b3b1-53da54829561</stp>
        <tr r="G54" s="1"/>
      </tp>
    </main>
    <main first="rtdsrv.3ff54a3ff4cd43f08f0a85689da72f9a">
      <tp>
        <v>1</v>
        <stp/>
        <stp>a7181bd7-c70f-4c63-a165-d3423325f674</stp>
        <tr r="G51" s="4"/>
      </tp>
    </main>
    <main first="rtdsrv.3ff54a3ff4cd43f08f0a85689da72f9a">
      <tp>
        <v>1</v>
        <stp/>
        <stp>97a09e7b-5a61-4a7c-b8e5-e41851fc8a91</stp>
        <tr r="C53" s="5"/>
      </tp>
    </main>
    <main first="rtdsrv.3ff54a3ff4cd43f08f0a85689da72f9a">
      <tp>
        <v>1</v>
        <stp/>
        <stp>7802ab0b-b538-4798-a12c-07d8b589b422</stp>
        <tr r="D19" s="5"/>
      </tp>
    </main>
    <main first="rtdsrv.3ff54a3ff4cd43f08f0a85689da72f9a">
      <tp>
        <v>1</v>
        <stp/>
        <stp>9834228a-0a72-4479-863b-316fe12c4405</stp>
        <tr r="N77" s="5"/>
      </tp>
      <tp>
        <v>1</v>
        <stp/>
        <stp>11862e62-c135-4365-a8a9-7a56725bd4fa</stp>
        <tr r="C2" s="2"/>
      </tp>
    </main>
    <main first="rtdsrv.3ff54a3ff4cd43f08f0a85689da72f9a">
      <tp>
        <v>2</v>
        <stp/>
        <stp>bdf0974e-638b-4b92-802d-c1186f4406fa</stp>
        <tr r="E19" s="3"/>
      </tp>
    </main>
    <main first="rtdsrv.3ff54a3ff4cd43f08f0a85689da72f9a">
      <tp>
        <v>1</v>
        <stp/>
        <stp>9602c7f7-0a8c-4215-8c42-b6461743a25d</stp>
        <tr r="G40" s="1"/>
      </tp>
    </main>
    <main first="rtdsrv.3ff54a3ff4cd43f08f0a85689da72f9a">
      <tp>
        <v>1</v>
        <stp/>
        <stp>29afff32-650e-4da9-8d42-c072b34bedb7</stp>
        <tr r="G46" s="1"/>
      </tp>
    </main>
    <main first="rtdsrv.3ff54a3ff4cd43f08f0a85689da72f9a">
      <tp>
        <v>1</v>
        <stp/>
        <stp>29f472bf-26f1-470a-b382-9b465b677ca5</stp>
        <tr r="D72" s="5"/>
      </tp>
    </main>
    <main first="rtdsrv.3ff54a3ff4cd43f08f0a85689da72f9a">
      <tp>
        <v>1</v>
        <stp/>
        <stp>8a832a31-ad35-4c46-8b8c-d5c61861ca2b</stp>
        <tr r="N65" s="5"/>
      </tp>
      <tp>
        <v>1</v>
        <stp/>
        <stp>e5e00ccb-c65f-4865-bcb4-3085c329ebe0</stp>
        <tr r="I19" s="4"/>
        <tr r="I32" s="4"/>
      </tp>
      <tp>
        <v>1</v>
        <stp/>
        <stp>091c7240-26ae-41ea-9279-f9acfa674453</stp>
        <tr r="G31" s="4"/>
      </tp>
    </main>
    <main first="rtdsrv.3ff54a3ff4cd43f08f0a85689da72f9a">
      <tp>
        <v>1</v>
        <stp/>
        <stp>8cf1db44-18e6-427f-aa09-2008773f6c3f</stp>
        <tr r="G37" s="4"/>
      </tp>
      <tp>
        <v>1</v>
        <stp/>
        <stp>bfeadb43-33a8-4467-85f2-a11cb01e6e63</stp>
        <tr r="D24" s="5"/>
      </tp>
    </main>
    <main first="rtdsrv.3ff54a3ff4cd43f08f0a85689da72f9a">
      <tp>
        <v>1</v>
        <stp/>
        <stp>21fd1820-fc24-4a7f-a99d-7c0703edda50</stp>
        <tr r="G53" s="4"/>
      </tp>
      <tp>
        <v>1</v>
        <stp/>
        <stp>e16ae379-b73c-4aab-bb0f-32a76d9dde99</stp>
        <tr r="N53" s="5"/>
      </tp>
      <tp>
        <v>1</v>
        <stp/>
        <stp>dc7465fb-c937-454b-8845-fbef14ad148c</stp>
        <tr r="E7" s="3"/>
      </tp>
      <tp>
        <v>1</v>
        <stp/>
        <stp>6596d7f4-bb88-4eb4-9973-66d97b8e1675</stp>
        <tr r="G51" s="1"/>
      </tp>
      <tp>
        <v>1</v>
        <stp/>
        <stp>3c014975-a769-4628-bde3-63d6dbf3e6db</stp>
        <tr r="G45" s="1"/>
      </tp>
      <tp>
        <v>1</v>
        <stp/>
        <stp>0ed58a94-1668-4b1e-b361-5da096c9a534</stp>
        <tr r="D7" s="5"/>
      </tp>
    </main>
    <main first="rtdsrv.3ff54a3ff4cd43f08f0a85689da72f9a">
      <tp>
        <v>1</v>
        <stp/>
        <stp>cd56ca39-3b0d-438f-a240-e2c2ba9c26a4</stp>
        <tr r="G26" s="1"/>
      </tp>
      <tp>
        <v>1</v>
        <stp/>
        <stp>16e160b0-eb8f-4d5b-957a-d5af301bc29d</stp>
        <tr r="G38" s="4"/>
      </tp>
    </main>
    <main first="rtdsrv.3ff54a3ff4cd43f08f0a85689da72f9a">
      <tp>
        <v>1</v>
        <stp/>
        <stp>a59dee09-10f7-4011-b3f1-16964ec15e09</stp>
        <tr r="I19" s="1"/>
      </tp>
      <tp>
        <v>1</v>
        <stp/>
        <stp>039318ad-2e1b-4738-aa18-86f57169773a</stp>
        <tr r="G42" s="1"/>
      </tp>
      <tp>
        <v>1</v>
        <stp/>
        <stp>07bdb88c-810a-4be4-b13f-85f292e447c1</stp>
        <tr r="G20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>
      <selection activeCell="M6" sqref="M6"/>
    </sheetView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JsonObject:CFF73BFC-3AEC-4AC3-B66E-51E342071B05</v>
      </c>
      <c r="K1" t="str">
        <f>EXLIBRIS_CONFIGURATION</f>
        <v>ExLibris.Core.ExLibrisConfiguration:A3AB8CF1-AA45-4E75-AC45-1E8B9EF698A6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JsonObject:28F72C35-95A8-404C-B2AF-8034369A78D4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JsonObject:63C62ECE-A459-486F-A80A-33EF3BEC7F32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JsonObject:27126386-570C-4F06-8053-11FC53FC3CFD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JsonObject:16659389-754A-489B-9C73-3957225098F2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JsonObject:42BAF538-E225-4247-A421-18F0A2A20FD9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JsonObject:AE85FD4A-B12D-49A2-8062-4AF35E58C3AA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JsonObject:97C2FADC-96AF-4ACC-A85B-D9F45BC50320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JsonObject:CA540D0E-EBD0-4A52-8142-54DFD60CEF8C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JsonObject:B63747C3-CAB0-4067-ADCC-9E3767EB8318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JsonObject:B34FA8D0-0624-424D-B363-8892045C9D47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JsonObject:22CC6AEF-8B6D-4EC4-BA45-4D8FF82FDF84</v>
      </c>
      <c r="K1" t="str">
        <f>EXLIBRIS_CONFIGURATION</f>
        <v>ExLibris.Core.ExLibrisConfiguration:A3AB8CF1-AA45-4E75-AC45-1E8B9EF698A6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JsonObject:12AC84EF-57A5-4ADF-A024-FF2375DD0D92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JsonObject:BA3A30F9-FE1B-47D1-AEE1-DBD56BEB5A0E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JsonObject:3846F882-0C99-4F3C-B451-674D4CF4BE11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JsonObject:BA3A30F9-FE1B-47D1-AEE1-DBD56BEB5A0E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JsonObject:544DB186-3B21-48A6-A038-127F5062724C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JsonObject:65DE047D-EB37-4BEC-AEB4-77753ECA8D5A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JsonObject:57869CD1-21B7-4F5D-B23B-AA2F5B487525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ExLibris.Core.ExLibrisConfiguration:A3AB8CF1-AA45-4E75-AC45-1E8B9EF698A6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9">_xll.ExLibris.ObserveRegisteredObjects()</f>
        <v>JsonObject:F94E39ED-100E-4DC3-A120-636DC7E47FD9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JsonObject:E1DE4333-4334-4578-86C0-90A91BBB4921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JsonObject:F5B1F39D-C8ED-41AC-BF6D-EF8E222430A4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JsonObject:E4252C86-D303-487A-BF93-137C4B708203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ExLibris.Core.WebSockets.WebsocketClient:72C39C14-228A-4C13-A3C8-84198419D181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ExLibris.Core.WebSockets.WebsocketClient:05855212-CF1A-43B2-9F80-1DFB23C21A5A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N89"/>
  <sheetViews>
    <sheetView tabSelected="1" workbookViewId="0"/>
  </sheetViews>
  <sheetFormatPr defaultRowHeight="18.75" x14ac:dyDescent="0.4"/>
  <cols>
    <col min="4" max="4" width="9.375" bestFit="1" customWidth="1"/>
  </cols>
  <sheetData>
    <row r="2" spans="2:5" x14ac:dyDescent="0.4">
      <c r="B2" t="s">
        <v>120</v>
      </c>
      <c r="C2" s="7" t="s">
        <v>127</v>
      </c>
      <c r="E2" t="s">
        <v>145</v>
      </c>
    </row>
    <row r="3" spans="2:5" x14ac:dyDescent="0.4">
      <c r="C3" t="s">
        <v>126</v>
      </c>
    </row>
    <row r="5" spans="2:5" x14ac:dyDescent="0.4">
      <c r="B5" t="s">
        <v>129</v>
      </c>
      <c r="C5" t="str" cm="1">
        <f t="array" ref="C5">_xll.ExLibris.WebAPIs.OpenWebSocket($C$2,,B5)</f>
        <v>ExLibris.Core.WebAPIs.WebAPI:773D103A-5209-4D67-8755-9D2B38A01F82</v>
      </c>
    </row>
    <row r="6" spans="2:5" x14ac:dyDescent="0.4">
      <c r="B6" t="s">
        <v>125</v>
      </c>
      <c r="C6" t="s">
        <v>124</v>
      </c>
      <c r="D6" t="s">
        <v>121</v>
      </c>
    </row>
    <row r="7" spans="2:5" x14ac:dyDescent="0.4">
      <c r="C7" t="s">
        <v>122</v>
      </c>
      <c r="D7" t="str" cm="1">
        <f t="array" ref="D7">_xll.ExLibris.WebAPIs.WebAPIGet(C5,D6)</f>
        <v>ExLibris.Core.WebAPIs.Response:1C6F6215-2CEC-4940-B936-CC9DE88E9FC6</v>
      </c>
    </row>
    <row r="8" spans="2:5" x14ac:dyDescent="0.4">
      <c r="C8" t="s">
        <v>123</v>
      </c>
      <c r="D8" t="str" cm="1">
        <f t="array" ref="D8">_xll.ExLibris.WebAPIs.WebAPIRequestContent(D7)</f>
        <v xml:space="preserve">{
  "args": {}, 
  "headers": {
    "Host": "localhost"
  }, 
  "origin": "172.17.0.1", 
  "url": "http://localhost/get"
}
</v>
      </c>
    </row>
    <row r="9" spans="2:5" x14ac:dyDescent="0.4">
      <c r="C9" t="s">
        <v>101</v>
      </c>
      <c r="D9" t="str" cm="1">
        <f t="array" ref="D9">_xll.ExLibris.WebAPIs.WebAPIResponseStatus(D7)</f>
        <v>OK(200)</v>
      </c>
    </row>
    <row r="10" spans="2:5" x14ac:dyDescent="0.4">
      <c r="C10" t="s">
        <v>138</v>
      </c>
      <c r="D10" t="str" cm="1">
        <f t="array" ref="D10">_xll.ExLibris.WebAPIs.WebAPIResponseHeader(D7)</f>
        <v xml:space="preserve">Connection: keep-alive_x000D_
Access-Control-Allow-Origin: *_x000D_
Access-Control-Allow-Credentials: true_x000D_
Date: Thu, 23 Sep 2021 15:57:26 GMT_x000D_
Server: gunicorn/19.9.0_x000D_
</v>
      </c>
    </row>
    <row r="11" spans="2:5" x14ac:dyDescent="0.4">
      <c r="B11" t="s">
        <v>139</v>
      </c>
      <c r="C11" t="s">
        <v>124</v>
      </c>
      <c r="D11" t="s">
        <v>140</v>
      </c>
    </row>
    <row r="12" spans="2:5" x14ac:dyDescent="0.4">
      <c r="C12" t="s">
        <v>122</v>
      </c>
      <c r="D12" t="str" cm="1">
        <f t="array" ref="D12">_xll.ExLibris.WebAPIs.WebAPIPost(C5,D11)</f>
        <v>ExLibris.Core.WebAPIs.Response:8C2CFC09-BF8A-4191-9894-ADC6E1CB725B</v>
      </c>
    </row>
    <row r="13" spans="2:5" x14ac:dyDescent="0.4">
      <c r="C13" t="s">
        <v>123</v>
      </c>
      <c r="D13" t="str" cm="1">
        <f t="array" ref="D13">_xll.ExLibris.WebAPIs.WebAPIRequestContent(D12)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14" spans="2:5" x14ac:dyDescent="0.4">
      <c r="C14" t="s">
        <v>101</v>
      </c>
      <c r="D14" t="str" cm="1">
        <f t="array" ref="D14">_xll.ExLibris.WebAPIs.WebAPIResponseStatus(D12)</f>
        <v>OK(200)</v>
      </c>
    </row>
    <row r="15" spans="2:5" x14ac:dyDescent="0.4">
      <c r="C15" t="s">
        <v>138</v>
      </c>
      <c r="D15" t="str" cm="1">
        <f t="array" ref="D15">_xll.ExLibris.WebAPIs.WebAPIResponseHeader(D12)</f>
        <v xml:space="preserve">Connection: keep-alive_x000D_
Access-Control-Allow-Origin: *_x000D_
Access-Control-Allow-Credentials: true_x000D_
Date: Thu, 23 Sep 2021 15:57:26 GMT_x000D_
Server: gunicorn/19.9.0_x000D_
</v>
      </c>
    </row>
    <row r="17" spans="2:14" x14ac:dyDescent="0.4">
      <c r="B17" t="s">
        <v>128</v>
      </c>
      <c r="C17" t="str" cm="1">
        <f t="array" ref="C17">_xll.ExLibris.WebAPIs.OpenWebSocket(,,B17)</f>
        <v>ExLibris.Core.WebAPIs.WebAPI:A27C671C-D7CF-4175-96F6-74051C6A42F4</v>
      </c>
    </row>
    <row r="18" spans="2:14" x14ac:dyDescent="0.4">
      <c r="B18" t="s">
        <v>125</v>
      </c>
      <c r="C18" t="s">
        <v>124</v>
      </c>
      <c r="D18" t="str">
        <f>$C$2&amp;"get"</f>
        <v>http://localhost:80/get</v>
      </c>
    </row>
    <row r="19" spans="2:14" x14ac:dyDescent="0.4">
      <c r="C19" t="s">
        <v>122</v>
      </c>
      <c r="D19" t="str" cm="1">
        <f t="array" ref="D19">_xll.ExLibris.WebAPIs.WebAPIGet(C17,D18,C17)</f>
        <v>ExLibris.Core.WebAPIs.Response:4BA1919D-D9B8-446C-85FC-6F81CBC38242</v>
      </c>
    </row>
    <row r="20" spans="2:14" x14ac:dyDescent="0.4">
      <c r="C20" t="s">
        <v>123</v>
      </c>
      <c r="D20" t="str" cm="1">
        <f t="array" ref="D20">_xll.ExLibris.WebAPIs.WebAPIRequestContent(D19)</f>
        <v xml:space="preserve">{
  "args": {}, 
  "headers": {
    "Connection": "Keep-Alive", 
    "Host": "localhost"
  }, 
  "origin": "172.17.0.1", 
  "url": "http://localhost/get"
}
</v>
      </c>
    </row>
    <row r="21" spans="2:14" x14ac:dyDescent="0.4">
      <c r="C21" t="s">
        <v>101</v>
      </c>
      <c r="D21" t="str" cm="1">
        <f t="array" ref="D21">_xll.ExLibris.WebAPIs.WebAPIResponseStatus(D19)</f>
        <v>OK(200)</v>
      </c>
    </row>
    <row r="22" spans="2:14" x14ac:dyDescent="0.4">
      <c r="C22" t="s">
        <v>138</v>
      </c>
      <c r="D22" t="str" cm="1">
        <f t="array" ref="D22">_xll.ExLibris.WebAPIs.WebAPIResponseHeader(D19)</f>
        <v xml:space="preserve">Connection: keep-alive_x000D_
Access-Control-Allow-Origin: *_x000D_
Access-Control-Allow-Credentials: true_x000D_
Date: Thu, 23 Sep 2021 15:57:26 GMT_x000D_
Server: gunicorn/19.9.0_x000D_
</v>
      </c>
    </row>
    <row r="23" spans="2:14" x14ac:dyDescent="0.4">
      <c r="B23" t="s">
        <v>139</v>
      </c>
      <c r="C23" t="s">
        <v>124</v>
      </c>
      <c r="D23" t="str">
        <f>$C$2&amp;"post"</f>
        <v>http://localhost:80/post</v>
      </c>
    </row>
    <row r="24" spans="2:14" x14ac:dyDescent="0.4">
      <c r="C24" t="s">
        <v>122</v>
      </c>
      <c r="D24" t="str" cm="1">
        <f t="array" ref="D24">_xll.ExLibris.WebAPIs.WebAPIPost(C17,D23)</f>
        <v>ExLibris.Core.WebAPIs.Response:4AF2943B-8A69-4E41-A918-FEB7A1FACF1C</v>
      </c>
    </row>
    <row r="25" spans="2:14" x14ac:dyDescent="0.4">
      <c r="C25" t="s">
        <v>123</v>
      </c>
      <c r="D25" t="str" cm="1">
        <f t="array" ref="D25">_xll.ExLibris.WebAPIs.WebAPIRequestContent(D24)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26" spans="2:14" x14ac:dyDescent="0.4">
      <c r="C26" t="s">
        <v>101</v>
      </c>
      <c r="D26" t="str" cm="1">
        <f t="array" ref="D26">_xll.ExLibris.WebAPIs.WebAPIResponseStatus(D24)</f>
        <v>OK(200)</v>
      </c>
    </row>
    <row r="27" spans="2:14" x14ac:dyDescent="0.4">
      <c r="C27" t="s">
        <v>138</v>
      </c>
      <c r="D27" t="str" cm="1">
        <f t="array" ref="D27">_xll.ExLibris.WebAPIs.WebAPIResponseHeader(D24)</f>
        <v xml:space="preserve">Connection: keep-alive_x000D_
Access-Control-Allow-Origin: *_x000D_
Access-Control-Allow-Credentials: true_x000D_
Date: Thu, 23 Sep 2021 15:57:26 GMT_x000D_
Server: gunicorn/19.9.0_x000D_
</v>
      </c>
    </row>
    <row r="29" spans="2:14" x14ac:dyDescent="0.4">
      <c r="B29" t="s">
        <v>130</v>
      </c>
      <c r="C29" t="str" cm="1">
        <f t="array" ref="C29">_xll.ExLibris.WebAPIs.OpenWebSocket(,,B29)</f>
        <v>ExLibris.Core.WebAPIs.WebAPI:3FF1489C-5228-48D4-BF27-C8AEA783E344</v>
      </c>
      <c r="M29" t="s">
        <v>135</v>
      </c>
    </row>
    <row r="30" spans="2:14" x14ac:dyDescent="0.4">
      <c r="B30" t="s">
        <v>125</v>
      </c>
      <c r="C30" t="s">
        <v>124</v>
      </c>
      <c r="D30" t="str" cm="1">
        <f t="array" ref="D30">_xll.ExLibris.WebAPIs.BuildUri($C$2&amp;"get",M30:N32)</f>
        <v>http://localhost:80/get?key0=WebAPI2&amp;key1.int=1&amp;key1.string=value1</v>
      </c>
      <c r="M30" t="s">
        <v>131</v>
      </c>
      <c r="N30" t="str">
        <f>B29</f>
        <v>WebAPI2</v>
      </c>
    </row>
    <row r="31" spans="2:14" x14ac:dyDescent="0.4">
      <c r="C31" t="s">
        <v>122</v>
      </c>
      <c r="D31" t="str" cm="1">
        <f t="array" ref="D31">_xll.ExLibris.WebAPIs.WebAPIGet(C29,D30,C29)</f>
        <v>ExLibris.Core.WebAPIs.Response:30EB8196-FBB6-4EF2-AC05-8C9CA1DDDC5B</v>
      </c>
      <c r="M31" t="s">
        <v>132</v>
      </c>
      <c r="N31">
        <v>1</v>
      </c>
    </row>
    <row r="32" spans="2:14" x14ac:dyDescent="0.4">
      <c r="C32" t="s">
        <v>123</v>
      </c>
      <c r="D32" t="str" cm="1">
        <f t="array" ref="D32">_xll.ExLibris.WebAPIs.WebAPIRequestContent(D31)</f>
        <v xml:space="preserve">{
  "args": {
    "key0": "WebAPI2", 
    "key1.int": "1", 
    "key1.string": "value1"
  }, 
  "headers": {
    "Host": "localhost"
  }, 
  "origin": "172.17.0.1", 
  "url": "http://localhost/get?key0=WebAPI2&amp;key1.int=1&amp;key1.string=value1"
}
</v>
      </c>
      <c r="M32" t="s">
        <v>133</v>
      </c>
      <c r="N32" t="s">
        <v>134</v>
      </c>
    </row>
    <row r="33" spans="2:14" x14ac:dyDescent="0.4">
      <c r="C33" t="s">
        <v>101</v>
      </c>
      <c r="D33" t="str" cm="1">
        <f t="array" ref="D33">_xll.ExLibris.WebAPIs.WebAPIResponseStatus(D31)</f>
        <v>OK(200)</v>
      </c>
    </row>
    <row r="34" spans="2:14" x14ac:dyDescent="0.4">
      <c r="C34" t="s">
        <v>138</v>
      </c>
      <c r="D34" t="str" cm="1">
        <f t="array" ref="D34">_xll.ExLibris.WebAPIs.WebAPIResponseHeader(D31)</f>
        <v xml:space="preserve">Connection: keep-alive_x000D_
Access-Control-Allow-Origin: *_x000D_
Access-Control-Allow-Credentials: true_x000D_
Date: Thu, 23 Sep 2021 15:57:26 GMT_x000D_
Server: gunicorn/19.9.0_x000D_
</v>
      </c>
    </row>
    <row r="35" spans="2:14" x14ac:dyDescent="0.4">
      <c r="B35" t="s">
        <v>139</v>
      </c>
      <c r="C35" t="s">
        <v>124</v>
      </c>
      <c r="D35" t="str" cm="1">
        <f t="array" ref="D35">_xll.ExLibris.WebAPIs.BuildUri($C$2&amp;"post",M30:N32)</f>
        <v>http://localhost:80/post?key0=WebAPI2&amp;key1.int=1&amp;key1.string=value1</v>
      </c>
    </row>
    <row r="36" spans="2:14" x14ac:dyDescent="0.4">
      <c r="B36" t="s">
        <v>141</v>
      </c>
      <c r="C36" t="s">
        <v>122</v>
      </c>
      <c r="D36" t="str" cm="1">
        <f t="array" ref="D36">_xll.ExLibris.WebAPIs.WebAPIPost(C29,D35,M30:N32,TRUE)</f>
        <v>ExLibris.Core.WebAPIs.Response:D94B7EAA-1DE6-4786-9416-959CAF961CA4</v>
      </c>
    </row>
    <row r="37" spans="2:14" x14ac:dyDescent="0.4">
      <c r="C37" t="s">
        <v>123</v>
      </c>
      <c r="D37" t="str" cm="1">
        <f t="array" ref="D37">_xll.ExLibris.WebAPIs.WebAPIRequestContent(D36)</f>
        <v xml:space="preserve">{
  "args": {
    "key0": "WebAPI2", 
    "key1.int": "1", 
    "key1.string": "value1"
  }, 
  "data": "", 
  "files": {}, 
  "form": {
    "key0": "WebAPI2", 
    "key1.int": "1", 
    "key1.string": "value1"
  }, 
  "headers": {
    "Content-Length": "42", 
    "Content-Type": "application/x-www-form-urlencoded", 
    "Expect": "100-continue", 
    "Host": "localhost"
  }, 
  "json": null, 
  "origin": "172.17.0.1", 
  "url": "http://localhost/post?key0=WebAPI2&amp;key1.int=1&amp;key1.string=value1"
}
</v>
      </c>
    </row>
    <row r="38" spans="2:14" x14ac:dyDescent="0.4">
      <c r="C38" t="s">
        <v>101</v>
      </c>
      <c r="D38" t="str" cm="1">
        <f t="array" ref="D38">_xll.ExLibris.WebAPIs.WebAPIResponseStatus(D36)</f>
        <v>OK(200)</v>
      </c>
    </row>
    <row r="39" spans="2:14" x14ac:dyDescent="0.4">
      <c r="C39" t="s">
        <v>138</v>
      </c>
      <c r="D39" t="str" cm="1">
        <f t="array" ref="D39">_xll.ExLibris.WebAPIs.WebAPIResponseHeader(D36)</f>
        <v xml:space="preserve">Connection: keep-alive_x000D_
Access-Control-Allow-Origin: *_x000D_
Access-Control-Allow-Credentials: true_x000D_
Date: Thu, 23 Sep 2021 15:57:26 GMT_x000D_
Server: gunicorn/19.9.0_x000D_
</v>
      </c>
    </row>
    <row r="41" spans="2:14" x14ac:dyDescent="0.4">
      <c r="B41" t="s">
        <v>136</v>
      </c>
      <c r="C41" t="str" cm="1">
        <f t="array" ref="C41">_xll.ExLibris.WebAPIs.OpenWebSocket(,,B41)</f>
        <v>ExLibris.Core.WebAPIs.WebAPI:B6470CB9-A175-4D9A-9302-C8914DF1CEC9</v>
      </c>
      <c r="M41" t="s">
        <v>135</v>
      </c>
      <c r="N41" t="str" cm="1">
        <f t="array" ref="N41">_xll.ExLibris.Json.CreateJsonObject(M42:N44)</f>
        <v>JsonObject:F5B1F39D-C8ED-41AC-BF6D-EF8E222430A4</v>
      </c>
    </row>
    <row r="42" spans="2:14" x14ac:dyDescent="0.4">
      <c r="B42" t="s">
        <v>125</v>
      </c>
      <c r="C42" t="s">
        <v>124</v>
      </c>
      <c r="D42" t="str" cm="1">
        <f t="array" ref="D42">_xll.ExLibris.WebAPIs.BuildUri($C$2&amp;"get",N41)</f>
        <v>http://localhost:80/get?key0=WebAPI3&amp;key1.int=1&amp;key1.string=value1</v>
      </c>
      <c r="M42" t="s">
        <v>131</v>
      </c>
      <c r="N42" t="str">
        <f>B41</f>
        <v>WebAPI3</v>
      </c>
    </row>
    <row r="43" spans="2:14" x14ac:dyDescent="0.4">
      <c r="C43" t="s">
        <v>122</v>
      </c>
      <c r="D43" t="str" cm="1">
        <f t="array" ref="D43">_xll.ExLibris.WebAPIs.WebAPIGet(C41,D42,C41)</f>
        <v>ExLibris.Core.WebAPIs.Response:D57FA221-1A4C-4DC1-9F4E-E1066AB79200</v>
      </c>
      <c r="M43" t="s">
        <v>132</v>
      </c>
      <c r="N43">
        <v>1</v>
      </c>
    </row>
    <row r="44" spans="2:14" x14ac:dyDescent="0.4">
      <c r="C44" t="s">
        <v>123</v>
      </c>
      <c r="D44" t="str" cm="1">
        <f t="array" ref="D44">_xll.ExLibris.WebAPIs.WebAPIRequestContent(D43)</f>
        <v xml:space="preserve">{
  "args": {
    "key0": "WebAPI3", 
    "key1.int": "1", 
    "key1.string": "value1"
  }, 
  "headers": {
    "Host": "localhost"
  }, 
  "origin": "172.17.0.1", 
  "url": "http://localhost/get?key0=WebAPI3&amp;key1.int=1&amp;key1.string=value1"
}
</v>
      </c>
      <c r="M44" t="s">
        <v>133</v>
      </c>
      <c r="N44" t="s">
        <v>134</v>
      </c>
    </row>
    <row r="45" spans="2:14" x14ac:dyDescent="0.4">
      <c r="C45" t="s">
        <v>101</v>
      </c>
      <c r="D45" t="str" cm="1">
        <f t="array" ref="D45">_xll.ExLibris.WebAPIs.WebAPIResponseStatus(D43)</f>
        <v>OK(200)</v>
      </c>
    </row>
    <row r="46" spans="2:14" x14ac:dyDescent="0.4">
      <c r="C46" t="s">
        <v>138</v>
      </c>
      <c r="D46" t="str" cm="1">
        <f t="array" ref="D46">_xll.ExLibris.WebAPIs.WebAPIResponseHeader(D43)</f>
        <v xml:space="preserve">Connection: keep-alive_x000D_
Access-Control-Allow-Origin: *_x000D_
Access-Control-Allow-Credentials: true_x000D_
Date: Thu, 23 Sep 2021 15:57:26 GMT_x000D_
Server: gunicorn/19.9.0_x000D_
</v>
      </c>
    </row>
    <row r="47" spans="2:14" x14ac:dyDescent="0.4">
      <c r="B47" t="s">
        <v>139</v>
      </c>
      <c r="C47" t="s">
        <v>124</v>
      </c>
      <c r="D47" t="str" cm="1">
        <f t="array" ref="D47">_xll.ExLibris.WebAPIs.BuildUri($C$2&amp;"post",N41)</f>
        <v>http://localhost:80/post?key0=WebAPI3&amp;key1.int=1&amp;key1.string=value1</v>
      </c>
    </row>
    <row r="48" spans="2:14" x14ac:dyDescent="0.4">
      <c r="B48" t="s">
        <v>141</v>
      </c>
      <c r="C48" t="s">
        <v>122</v>
      </c>
      <c r="D48" t="str" cm="1">
        <f t="array" ref="D48">_xll.ExLibris.WebAPIs.WebAPIPost(C41,D47,N41,TRUE)</f>
        <v>ExLibris.Core.WebAPIs.Response:043F9B81-6057-47B0-9D22-903533B8388C</v>
      </c>
    </row>
    <row r="49" spans="2:14" x14ac:dyDescent="0.4">
      <c r="C49" t="s">
        <v>123</v>
      </c>
      <c r="D49" t="str" cm="1">
        <f t="array" ref="D49">_xll.ExLibris.WebAPIs.WebAPIRequestContent(D48)</f>
        <v xml:space="preserve">{
  "args": {
    "key0": "WebAPI3", 
    "key1.int": "1", 
    "key1.string": "value1"
  }, 
  "data": "", 
  "files": {}, 
  "form": {
    "key0": "WebAPI3", 
    "key1.int": "1", 
    "key1.string": "value1"
  }, 
  "headers": {
    "Content-Length": "42", 
    "Content-Type": "application/x-www-form-urlencoded", 
    "Expect": "100-continue", 
    "Host": "localhost"
  }, 
  "json": null, 
  "origin": "172.17.0.1", 
  "url": "http://localhost/post?key0=WebAPI3&amp;key1.int=1&amp;key1.string=value1"
}
</v>
      </c>
    </row>
    <row r="50" spans="2:14" x14ac:dyDescent="0.4">
      <c r="C50" t="s">
        <v>101</v>
      </c>
      <c r="D50" t="str" cm="1">
        <f t="array" ref="D50">_xll.ExLibris.WebAPIs.WebAPIResponseStatus(D48)</f>
        <v>OK(200)</v>
      </c>
    </row>
    <row r="51" spans="2:14" x14ac:dyDescent="0.4">
      <c r="C51" t="s">
        <v>138</v>
      </c>
      <c r="D51" t="str" cm="1">
        <f t="array" ref="D51">_xll.ExLibris.WebAPIs.WebAPIResponseHeader(D48)</f>
        <v xml:space="preserve">Connection: keep-alive_x000D_
Access-Control-Allow-Origin: *_x000D_
Access-Control-Allow-Credentials: true_x000D_
Date: Thu, 23 Sep 2021 15:57:26 GMT_x000D_
Server: gunicorn/19.9.0_x000D_
</v>
      </c>
    </row>
    <row r="53" spans="2:14" x14ac:dyDescent="0.4">
      <c r="B53" t="s">
        <v>137</v>
      </c>
      <c r="C53" t="str" cm="1">
        <f t="array" ref="C53">_xll.ExLibris.WebAPIs.OpenWebSocket(D54,,B53)</f>
        <v>ExLibris.Core.WebAPIs.WebAPI:E07877AB-1E21-4B0E-8A2F-3916155C6487</v>
      </c>
      <c r="M53" t="s">
        <v>135</v>
      </c>
      <c r="N53" t="str" cm="1">
        <f t="array" ref="N53">_xll.ExLibris.Json.CreateJsonObject(M54:N56)</f>
        <v>JsonObject:E4252C86-D303-487A-BF93-137C4B708203</v>
      </c>
    </row>
    <row r="54" spans="2:14" x14ac:dyDescent="0.4">
      <c r="B54" t="s">
        <v>125</v>
      </c>
      <c r="C54" t="s">
        <v>124</v>
      </c>
      <c r="D54" t="str" cm="1">
        <f t="array" ref="D54">_xll.ExLibris.WebAPIs.BuildUri($C$2&amp;"get",N53)</f>
        <v>http://localhost:80/get?key0=WebAPI4&amp;key1.int=1&amp;key1.string=value1</v>
      </c>
      <c r="M54" t="s">
        <v>131</v>
      </c>
      <c r="N54" t="str">
        <f>B53</f>
        <v>WebAPI4</v>
      </c>
    </row>
    <row r="55" spans="2:14" x14ac:dyDescent="0.4">
      <c r="C55" t="s">
        <v>122</v>
      </c>
      <c r="D55" t="str" cm="1">
        <f t="array" ref="D55">_xll.ExLibris.WebAPIs.WebAPIGet(C53,,C53)</f>
        <v>ExLibris.Core.WebAPIs.Response:0C210FBE-C2E8-44D1-A91B-223F3EE80E95</v>
      </c>
      <c r="M55" t="s">
        <v>132</v>
      </c>
      <c r="N55">
        <v>1</v>
      </c>
    </row>
    <row r="56" spans="2:14" x14ac:dyDescent="0.4">
      <c r="C56" t="s">
        <v>123</v>
      </c>
      <c r="D56" t="str" cm="1">
        <f t="array" ref="D56">_xll.ExLibris.WebAPIs.WebAPIRequestContent(D55)</f>
        <v xml:space="preserve">{
  "args": {
    "key0": "WebAPI4", 
    "key1.int": "1", 
    "key1.string": "value1"
  }, 
  "headers": {
    "Host": "localhost"
  }, 
  "origin": "172.17.0.1", 
  "url": "http://localhost/get?key0=WebAPI4&amp;key1.int=1&amp;key1.string=value1"
}
</v>
      </c>
      <c r="M56" t="s">
        <v>133</v>
      </c>
      <c r="N56" t="s">
        <v>134</v>
      </c>
    </row>
    <row r="57" spans="2:14" x14ac:dyDescent="0.4">
      <c r="C57" t="s">
        <v>101</v>
      </c>
      <c r="D57" t="str" cm="1">
        <f t="array" ref="D57">_xll.ExLibris.WebAPIs.WebAPIResponseStatus(D55)</f>
        <v>OK(200)</v>
      </c>
    </row>
    <row r="58" spans="2:14" x14ac:dyDescent="0.4">
      <c r="C58" t="s">
        <v>138</v>
      </c>
      <c r="D58" t="str" cm="1">
        <f t="array" ref="D58">_xll.ExLibris.WebAPIs.WebAPIResponseHeader(D55)</f>
        <v xml:space="preserve">Connection: keep-alive_x000D_
Access-Control-Allow-Origin: *_x000D_
Access-Control-Allow-Credentials: true_x000D_
Date: Thu, 23 Sep 2021 15:57:26 GMT_x000D_
Server: gunicorn/19.9.0_x000D_
</v>
      </c>
    </row>
    <row r="59" spans="2:14" x14ac:dyDescent="0.4">
      <c r="B59" t="s">
        <v>139</v>
      </c>
      <c r="C59" t="s">
        <v>124</v>
      </c>
      <c r="D59" t="str" cm="1">
        <f t="array" ref="D59">_xll.ExLibris.WebAPIs.BuildUri($C$2&amp;"post",N53)</f>
        <v>http://localhost:80/post?key0=WebAPI4&amp;key1.int=1&amp;key1.string=value1</v>
      </c>
    </row>
    <row r="60" spans="2:14" x14ac:dyDescent="0.4">
      <c r="B60" t="s">
        <v>142</v>
      </c>
      <c r="C60" t="s">
        <v>122</v>
      </c>
      <c r="D60" t="str" cm="1">
        <f t="array" ref="D60">_xll.ExLibris.WebAPIs.WebAPIPost(C53,D59,_xll.ExLibris.Json.ShowJsonText(N53,FALSE,TRUE))</f>
        <v>ExLibris.Core.WebAPIs.Response:7DCA1D38-AEC8-4662-8077-AB5F4729D981</v>
      </c>
    </row>
    <row r="61" spans="2:14" x14ac:dyDescent="0.4">
      <c r="C61" t="s">
        <v>123</v>
      </c>
      <c r="D61" t="str" cm="1">
        <f t="array" ref="D61">_xll.ExLibris.WebAPIs.WebAPIRequestContent(D60)</f>
        <v xml:space="preserve">{
  "args": {
    "key0": "WebAPI4", 
    "key1.int": "1", 
    "key1.string": "value1"
  }, 
  "data": "{\"key0\":\"WebAPI4\",\"key1\":{\"int\":1,\"string\":\"value1\"}}", 
  "files": {}, 
  "form": {}, 
  "headers": {
    "Content-Length": "53", 
    "Content-Type": "text/plain; charset=utf-8", 
    "Expect": "100-continue", 
    "Host": "localhost"
  }, 
  "json": {
    "key0": "WebAPI4", 
    "key1": {
      "int": 1, 
      "string": "value1"
    }
  }, 
  "origin": "172.17.0.1", 
  "url": "http://localhost/post?key0=WebAPI4&amp;key1.int=1&amp;key1.string=value1"
}
</v>
      </c>
    </row>
    <row r="62" spans="2:14" x14ac:dyDescent="0.4">
      <c r="C62" t="s">
        <v>101</v>
      </c>
      <c r="D62" t="str" cm="1">
        <f t="array" ref="D62">_xll.ExLibris.WebAPIs.WebAPIResponseStatus(D60)</f>
        <v>OK(200)</v>
      </c>
    </row>
    <row r="63" spans="2:14" x14ac:dyDescent="0.4">
      <c r="C63" t="s">
        <v>138</v>
      </c>
      <c r="D63" t="str" cm="1">
        <f t="array" ref="D63">_xll.ExLibris.WebAPIs.WebAPIResponseHeader(D60)</f>
        <v xml:space="preserve">Connection: keep-alive_x000D_
Access-Control-Allow-Origin: *_x000D_
Access-Control-Allow-Credentials: true_x000D_
Date: Thu, 23 Sep 2021 15:57:26 GMT_x000D_
Server: gunicorn/19.9.0_x000D_
</v>
      </c>
    </row>
    <row r="65" spans="2:14" x14ac:dyDescent="0.4">
      <c r="B65" t="s">
        <v>143</v>
      </c>
      <c r="C65" t="str" cm="1">
        <f t="array" ref="C65">_xll.ExLibris.WebAPIs.OpenWebSocket(D66,,B65)</f>
        <v>ExLibris.Core.WebAPIs.WebAPI:BED960DE-809A-4FBF-9AFC-B011B26ED931</v>
      </c>
      <c r="M65" t="s">
        <v>135</v>
      </c>
      <c r="N65" t="str" cm="1">
        <f t="array" ref="N65">_xll.ExLibris.Json.CreateJsonObject(M66:N68)</f>
        <v>JsonObject:E1DE4333-4334-4578-86C0-90A91BBB4921</v>
      </c>
    </row>
    <row r="66" spans="2:14" x14ac:dyDescent="0.4">
      <c r="B66" t="s">
        <v>125</v>
      </c>
      <c r="C66" t="s">
        <v>124</v>
      </c>
      <c r="D66" t="str" cm="1">
        <f t="array" ref="D66">_xll.ExLibris.WebAPIs.BuildUri($C$2&amp;"delay/3",N65)</f>
        <v>http://localhost:80/delay/3?key0=WebAPI5&amp;key1.int=1&amp;key1.string=sss</v>
      </c>
      <c r="M66" t="s">
        <v>131</v>
      </c>
      <c r="N66" t="str">
        <f>B65</f>
        <v>WebAPI5</v>
      </c>
    </row>
    <row r="67" spans="2:14" x14ac:dyDescent="0.4">
      <c r="C67" t="s">
        <v>122</v>
      </c>
      <c r="D67" t="str" cm="1">
        <f t="array" ref="D67">_xll.ExLibris.WebAPIs.WebAPIGet(C65,,C65)</f>
        <v>ExLibris.Core.WebAPIs.Response:5F2B23E0-5437-4DFE-A465-126FFF0FB848</v>
      </c>
      <c r="M67" t="s">
        <v>132</v>
      </c>
      <c r="N67">
        <v>1</v>
      </c>
    </row>
    <row r="68" spans="2:14" x14ac:dyDescent="0.4">
      <c r="C68" t="s">
        <v>123</v>
      </c>
      <c r="D68" t="str" cm="1">
        <f t="array" ref="D68">_xll.ExLibris.WebAPIs.WebAPIRequestContent(D67)</f>
        <v xml:space="preserve">{
  "args": {
    "key0": "WebAPI5", 
    "key1.int": "1", 
    "key1.string": "sss"
  }, 
  "data": "", 
  "files": {}, 
  "form": {}, 
  "headers": {
    "Host": "localhost"
  }, 
  "origin": "172.17.0.1", 
  "url": "http://localhost/delay/3?key0=WebAPI5&amp;key1.int=1&amp;key1.string=sss"
}
</v>
      </c>
      <c r="M68" t="s">
        <v>133</v>
      </c>
      <c r="N68" t="s">
        <v>144</v>
      </c>
    </row>
    <row r="69" spans="2:14" x14ac:dyDescent="0.4">
      <c r="C69" t="s">
        <v>101</v>
      </c>
      <c r="D69" t="str" cm="1">
        <f t="array" ref="D69">_xll.ExLibris.WebAPIs.WebAPIResponseStatus(D67)</f>
        <v>OK(200)</v>
      </c>
    </row>
    <row r="70" spans="2:14" x14ac:dyDescent="0.4">
      <c r="C70" t="s">
        <v>138</v>
      </c>
      <c r="D70" t="str" cm="1">
        <f t="array" ref="D70">_xll.ExLibris.WebAPIs.WebAPIResponseHeader(D67)</f>
        <v xml:space="preserve">Connection: keep-alive_x000D_
Access-Control-Allow-Origin: *_x000D_
Access-Control-Allow-Credentials: true_x000D_
Date: Thu, 23 Sep 2021 15:57:32 GMT_x000D_
Server: gunicorn/19.9.0_x000D_
</v>
      </c>
    </row>
    <row r="71" spans="2:14" x14ac:dyDescent="0.4">
      <c r="B71" t="s">
        <v>139</v>
      </c>
      <c r="C71" t="s">
        <v>124</v>
      </c>
      <c r="D71" t="str" cm="1">
        <f t="array" ref="D71">_xll.ExLibris.WebAPIs.BuildUri($C$2&amp;"delay/3",N65)</f>
        <v>http://localhost:80/delay/3?key0=WebAPI5&amp;key1.int=1&amp;key1.string=sss</v>
      </c>
    </row>
    <row r="72" spans="2:14" x14ac:dyDescent="0.4">
      <c r="B72" t="s">
        <v>142</v>
      </c>
      <c r="C72" t="s">
        <v>122</v>
      </c>
      <c r="D72" t="str" cm="1">
        <f t="array" ref="D72">_xll.ExLibris.WebAPIs.WebAPIPost(C65,D71,_xll.ExLibris.Json.ShowJsonText(N65,FALSE,TRUE))</f>
        <v>ExLibris.Core.WebAPIs.Response:E0E4DF8D-FC7F-45F5-B784-62C801025591</v>
      </c>
    </row>
    <row r="73" spans="2:14" x14ac:dyDescent="0.4">
      <c r="C73" t="s">
        <v>123</v>
      </c>
      <c r="D73" t="str" cm="1">
        <f t="array" ref="D73">_xll.ExLibris.WebAPIs.WebAPIRequestContent(D72)</f>
        <v xml:space="preserve">{
  "args": {
    "key0": "WebAPI5", 
    "key1.int": "1", 
    "key1.string": "sss"
  }, 
  "data": "{\"key0\":\"WebAPI5\",\"key1\":{\"int\":1,\"string\":\"sss\"}}", 
  "files": {}, 
  "form": {}, 
  "headers": {
    "Content-Length": "50", 
    "Content-Type": "text/plain; charset=utf-8", 
    "Expect": "100-continue", 
    "Host": "localhost"
  }, 
  "origin": "172.17.0.1", 
  "url": "http://localhost/delay/3?key0=WebAPI5&amp;key1.int=1&amp;key1.string=sss"
}
</v>
      </c>
    </row>
    <row r="74" spans="2:14" x14ac:dyDescent="0.4">
      <c r="C74" t="s">
        <v>101</v>
      </c>
      <c r="D74" t="str" cm="1">
        <f t="array" ref="D74">_xll.ExLibris.WebAPIs.WebAPIResponseStatus(D72)</f>
        <v>OK(200)</v>
      </c>
    </row>
    <row r="75" spans="2:14" x14ac:dyDescent="0.4">
      <c r="C75" t="s">
        <v>138</v>
      </c>
      <c r="D75" t="str" cm="1">
        <f t="array" ref="D75">_xll.ExLibris.WebAPIs.WebAPIResponseHeader(D72)</f>
        <v xml:space="preserve">Connection: keep-alive_x000D_
Access-Control-Allow-Origin: *_x000D_
Access-Control-Allow-Credentials: true_x000D_
Date: Thu, 23 Sep 2021 15:57:29 GMT_x000D_
Server: gunicorn/19.9.0_x000D_
</v>
      </c>
    </row>
    <row r="77" spans="2:14" x14ac:dyDescent="0.4">
      <c r="B77" t="s">
        <v>154</v>
      </c>
      <c r="C77" t="str" cm="1">
        <f t="array" ref="C77">_xll.ExLibris.WebAPIs.OpenWebSocket(D78,B84,B77)</f>
        <v>ExLibris.Core.WebAPIs.WebAPI:4D3F9D37-2DC3-43AD-A02C-AC785EAB4AF0</v>
      </c>
      <c r="M77" t="s">
        <v>135</v>
      </c>
      <c r="N77" t="str" cm="1">
        <f t="array" ref="N77">_xll.ExLibris.Json.CreateJsonObject(M78:N80)</f>
        <v>JsonObject:F94E39ED-100E-4DC3-A120-636DC7E47FD9</v>
      </c>
    </row>
    <row r="78" spans="2:14" x14ac:dyDescent="0.4">
      <c r="B78" t="s">
        <v>125</v>
      </c>
      <c r="C78" t="s">
        <v>124</v>
      </c>
      <c r="D78" t="str" cm="1">
        <f t="array" ref="D78">_xll.ExLibris.WebAPIs.BuildUri($C$2&amp;"/bearer",N77)</f>
        <v>http://localhost:80//bearer?key0=WebAPI6&amp;key1.int=1&amp;key1.string=sss</v>
      </c>
      <c r="M78" t="s">
        <v>131</v>
      </c>
      <c r="N78" t="str">
        <f>B77</f>
        <v>WebAPI6</v>
      </c>
    </row>
    <row r="79" spans="2:14" x14ac:dyDescent="0.4">
      <c r="C79" t="s">
        <v>122</v>
      </c>
      <c r="D79" t="str" cm="1">
        <f t="array" ref="D79">_xll.ExLibris.WebAPIs.WebAPIGet(C77,,C77)</f>
        <v>ExLibris.Core.WebAPIs.Response:C944974A-7E1E-400C-A6AD-C64C094C4CC5</v>
      </c>
      <c r="M79" t="s">
        <v>132</v>
      </c>
      <c r="N79">
        <v>1</v>
      </c>
    </row>
    <row r="80" spans="2:14" x14ac:dyDescent="0.4">
      <c r="C80" t="s">
        <v>123</v>
      </c>
      <c r="D80" t="str" cm="1">
        <f t="array" ref="D80">_xll.ExLibris.WebAPIs.WebAPIRequestContent(D79)</f>
        <v xml:space="preserve">{
  "authenticated": true, 
  "token": "XXX11111222223333444444"
}
</v>
      </c>
      <c r="M80" t="s">
        <v>133</v>
      </c>
      <c r="N80" t="s">
        <v>144</v>
      </c>
    </row>
    <row r="81" spans="2:4" x14ac:dyDescent="0.4">
      <c r="C81" t="s">
        <v>101</v>
      </c>
      <c r="D81" t="str" cm="1">
        <f t="array" ref="D81">_xll.ExLibris.WebAPIs.WebAPIResponseStatus(D79)</f>
        <v>OK(200)</v>
      </c>
    </row>
    <row r="82" spans="2:4" x14ac:dyDescent="0.4">
      <c r="C82" t="s">
        <v>138</v>
      </c>
      <c r="D82" t="str" cm="1">
        <f t="array" ref="D82">_xll.ExLibris.WebAPIs.WebAPIResponseHeader(D79)</f>
        <v xml:space="preserve">Connection: keep-alive_x000D_
Access-Control-Allow-Origin: *_x000D_
Access-Control-Allow-Credentials: true_x000D_
Date: Thu, 23 Sep 2021 15:57:54 GMT_x000D_
Server: gunicorn/19.9.0_x000D_
</v>
      </c>
    </row>
    <row r="84" spans="2:4" x14ac:dyDescent="0.4">
      <c r="B84" t="str" cm="1">
        <f t="array" ref="B84">_xll.ExLibris.WebAPIs.CreateHeaders(B85:C89)</f>
        <v>ExLibris.Core.WebAPIs.WebAPIHeaders:E86133A9-5922-4E28-8AA5-16A61BF25753</v>
      </c>
    </row>
    <row r="85" spans="2:4" x14ac:dyDescent="0.4">
      <c r="B85" t="s">
        <v>146</v>
      </c>
      <c r="C85" t="s">
        <v>147</v>
      </c>
    </row>
    <row r="86" spans="2:4" x14ac:dyDescent="0.4">
      <c r="B86" t="s">
        <v>148</v>
      </c>
      <c r="C86" t="s">
        <v>155</v>
      </c>
    </row>
    <row r="87" spans="2:4" x14ac:dyDescent="0.4">
      <c r="B87" t="s">
        <v>149</v>
      </c>
      <c r="C87" t="s">
        <v>156</v>
      </c>
    </row>
    <row r="88" spans="2:4" x14ac:dyDescent="0.4">
      <c r="B88" t="s">
        <v>150</v>
      </c>
      <c r="C88" t="s">
        <v>151</v>
      </c>
    </row>
    <row r="89" spans="2:4" x14ac:dyDescent="0.4">
      <c r="B89" t="s">
        <v>152</v>
      </c>
      <c r="C89" t="s">
        <v>153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2021-09-23T15:58:02Z</dcterms:modified>
</cp:coreProperties>
</file>