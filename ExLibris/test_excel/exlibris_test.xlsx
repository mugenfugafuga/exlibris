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1EC2873F-5E94-4754-9542-2E2FFC115C15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1" r:id="rId1"/>
    <sheet name="json_w_conf_test" sheetId="4" r:id="rId2"/>
    <sheet name="websocket" sheetId="3" r:id="rId3"/>
    <sheet name="configuration" sheetId="2" r:id="rId4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4" l="1"/>
  <c r="I12" i="4" s="1"/>
  <c r="I13" i="4" s="1"/>
  <c r="I14" i="4" s="1"/>
  <c r="I10" i="4"/>
  <c r="G9" i="4"/>
  <c r="E9" i="4" s="1"/>
  <c r="K1" i="4"/>
  <c r="I10" i="1"/>
  <c r="I11" i="1" s="1"/>
  <c r="I12" i="1" s="1"/>
  <c r="I13" i="1" s="1"/>
  <c r="I14" i="1" s="1"/>
  <c r="G9" i="1"/>
  <c r="E9" i="1" s="1"/>
  <c r="I29" i="1" a="1"/>
  <c r="I28" i="1" a="1"/>
  <c r="I20" i="1" a="1"/>
  <c r="I19" i="1" a="1"/>
  <c r="G53" i="1" a="1"/>
  <c r="G41" i="1" a="1"/>
  <c r="G33" i="1" a="1"/>
  <c r="G25" i="1" a="1"/>
  <c r="G48" i="1" a="1"/>
  <c r="G36" i="1" a="1"/>
  <c r="G24" i="1" a="1"/>
  <c r="G20" i="1" a="1"/>
  <c r="G31" i="1" a="1"/>
  <c r="G42" i="1" a="1"/>
  <c r="G22" i="1" a="1"/>
  <c r="G57" i="1" a="1"/>
  <c r="G49" i="1" a="1"/>
  <c r="G45" i="1" a="1"/>
  <c r="G37" i="1" a="1"/>
  <c r="G29" i="1" a="1"/>
  <c r="G21" i="1" a="1"/>
  <c r="G40" i="1" a="1"/>
  <c r="G23" i="1" a="1"/>
  <c r="G50" i="1" a="1"/>
  <c r="G52" i="1" a="1"/>
  <c r="G32" i="1" a="1"/>
  <c r="G39" i="1" a="1"/>
  <c r="G38" i="1" a="1"/>
  <c r="G56" i="1" a="1"/>
  <c r="G44" i="1" a="1"/>
  <c r="G28" i="1" a="1"/>
  <c r="G35" i="1" a="1"/>
  <c r="G34" i="1" a="1"/>
  <c r="G55" i="1" a="1"/>
  <c r="G51" i="1" a="1"/>
  <c r="G47" i="1" a="1"/>
  <c r="G43" i="1" a="1"/>
  <c r="G27" i="1" a="1"/>
  <c r="G46" i="1" a="1"/>
  <c r="G26" i="1" a="1"/>
  <c r="G54" i="1" a="1"/>
  <c r="G30" i="1" a="1"/>
  <c r="G19" i="1" a="1"/>
  <c r="E19" i="1" a="1"/>
  <c r="F6" i="1" a="1"/>
  <c r="E4" i="3" a="1"/>
  <c r="C2" i="2" a="1"/>
  <c r="I29" i="1" l="1"/>
  <c r="I28" i="1"/>
  <c r="I20" i="1"/>
  <c r="I19" i="1"/>
  <c r="G30" i="1"/>
  <c r="G54" i="1"/>
  <c r="G26" i="1"/>
  <c r="G46" i="1"/>
  <c r="G27" i="1"/>
  <c r="G43" i="1"/>
  <c r="G47" i="1"/>
  <c r="G51" i="1"/>
  <c r="G55" i="1"/>
  <c r="G34" i="1"/>
  <c r="G35" i="1"/>
  <c r="G28" i="1"/>
  <c r="G44" i="1"/>
  <c r="G56" i="1"/>
  <c r="G38" i="1"/>
  <c r="G39" i="1"/>
  <c r="G32" i="1"/>
  <c r="G52" i="1"/>
  <c r="G50" i="1"/>
  <c r="G23" i="1"/>
  <c r="G40" i="1"/>
  <c r="G21" i="1"/>
  <c r="G29" i="1"/>
  <c r="G37" i="1"/>
  <c r="G45" i="1"/>
  <c r="G49" i="1"/>
  <c r="G57" i="1"/>
  <c r="G22" i="1"/>
  <c r="G42" i="1"/>
  <c r="G31" i="1"/>
  <c r="G20" i="1"/>
  <c r="G24" i="1"/>
  <c r="G36" i="1"/>
  <c r="G48" i="1"/>
  <c r="G25" i="1"/>
  <c r="G33" i="1"/>
  <c r="G41" i="1"/>
  <c r="G53" i="1"/>
  <c r="G19" i="1"/>
  <c r="E19" i="1"/>
  <c r="F6" i="1"/>
  <c r="F10" i="4"/>
  <c r="G10" i="4" s="1"/>
  <c r="E4" i="3"/>
  <c r="C2" i="2"/>
  <c r="K1" i="1" s="1"/>
  <c r="F10" i="1"/>
  <c r="G10" i="1" s="1"/>
  <c r="F11" i="1" s="1"/>
  <c r="G11" i="1" s="1"/>
  <c r="F12" i="1" s="1"/>
  <c r="G12" i="1" s="1"/>
  <c r="E12" i="1" s="1"/>
  <c r="F1" i="1" a="1"/>
  <c r="E6" i="3" a="1"/>
  <c r="E6" i="2" a="1"/>
  <c r="E7" i="3" a="1"/>
  <c r="F1" i="1" l="1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E6" i="2"/>
  <c r="E9" i="3" a="1"/>
  <c r="E11" i="4" l="1"/>
  <c r="F12" i="4"/>
  <c r="G12" i="4" s="1"/>
  <c r="E9" i="3"/>
  <c r="E13" i="1"/>
  <c r="E10" i="3" a="1"/>
  <c r="F13" i="4" l="1"/>
  <c r="G13" i="4" s="1"/>
  <c r="E12" i="4"/>
  <c r="E10" i="3"/>
  <c r="E11" i="3" a="1"/>
  <c r="E13" i="4" l="1"/>
  <c r="F14" i="4"/>
  <c r="G14" i="4" s="1"/>
  <c r="E14" i="4" s="1"/>
  <c r="E11" i="3"/>
  <c r="F6" i="4" a="1"/>
  <c r="E12" i="3" a="1"/>
  <c r="M6" i="1" a="1"/>
  <c r="F6" i="4" l="1"/>
  <c r="E12" i="3"/>
  <c r="AA27" i="1"/>
  <c r="AB42" i="1"/>
  <c r="AB46" i="1"/>
  <c r="AC55" i="1"/>
  <c r="AB51" i="1"/>
  <c r="AB22" i="1"/>
  <c r="AB28" i="1"/>
  <c r="AA39" i="1"/>
  <c r="AA24" i="1"/>
  <c r="AB57" i="1"/>
  <c r="AB45" i="1"/>
  <c r="AC28" i="1"/>
  <c r="AB26" i="1"/>
  <c r="AA44" i="1"/>
  <c r="AC21" i="1"/>
  <c r="AB55" i="1"/>
  <c r="AA53" i="1"/>
  <c r="AA51" i="1"/>
  <c r="AA29" i="1"/>
  <c r="AA46" i="1"/>
  <c r="AB48" i="1"/>
  <c r="AC26" i="1"/>
  <c r="AC45" i="1"/>
  <c r="AA41" i="1"/>
  <c r="AB30" i="1"/>
  <c r="AB35" i="1"/>
  <c r="AA36" i="1"/>
  <c r="AA56" i="1"/>
  <c r="AC22" i="1"/>
  <c r="AA21" i="1"/>
  <c r="AB43" i="1"/>
  <c r="AB20" i="1"/>
  <c r="AA28" i="1"/>
  <c r="AC40" i="1"/>
  <c r="AA32" i="1"/>
  <c r="AC57" i="1"/>
  <c r="AC52" i="1"/>
  <c r="AA43" i="1"/>
  <c r="AC49" i="1"/>
  <c r="AC36" i="1"/>
  <c r="AC43" i="1"/>
  <c r="AB32" i="1"/>
  <c r="AB33" i="1"/>
  <c r="AB27" i="1"/>
  <c r="AA34" i="1"/>
  <c r="AA48" i="1"/>
  <c r="AC32" i="1"/>
  <c r="AC42" i="1"/>
  <c r="AA50" i="1"/>
  <c r="AC41" i="1"/>
  <c r="AC20" i="1"/>
  <c r="AC30" i="1"/>
  <c r="AC19" i="1"/>
  <c r="AB34" i="1"/>
  <c r="AB53" i="1"/>
  <c r="AA23" i="1"/>
  <c r="AA55" i="1"/>
  <c r="AC37" i="1"/>
  <c r="AB23" i="1"/>
  <c r="AA54" i="1"/>
  <c r="AA42" i="1"/>
  <c r="AC48" i="1"/>
  <c r="AA45" i="1"/>
  <c r="AB31" i="1"/>
  <c r="AC46" i="1"/>
  <c r="AB50" i="1"/>
  <c r="AC47" i="1"/>
  <c r="AA37" i="1"/>
  <c r="AB47" i="1"/>
  <c r="AA49" i="1"/>
  <c r="AB41" i="1"/>
  <c r="AA25" i="1"/>
  <c r="AC51" i="1"/>
  <c r="AB52" i="1"/>
  <c r="AB25" i="1"/>
  <c r="AB56" i="1"/>
  <c r="AA26" i="1"/>
  <c r="AB37" i="1"/>
  <c r="AC29" i="1"/>
  <c r="AC38" i="1"/>
  <c r="AA35" i="1"/>
  <c r="AA57" i="1"/>
  <c r="AB38" i="1"/>
  <c r="AC34" i="1"/>
  <c r="AB54" i="1"/>
  <c r="AB21" i="1"/>
  <c r="AC44" i="1"/>
  <c r="AC31" i="1"/>
  <c r="AC39" i="1"/>
  <c r="AC54" i="1"/>
  <c r="AB29" i="1"/>
  <c r="AB39" i="1"/>
  <c r="AC27" i="1"/>
  <c r="AA40" i="1"/>
  <c r="AB40" i="1"/>
  <c r="AA33" i="1"/>
  <c r="AC35" i="1"/>
  <c r="AC33" i="1"/>
  <c r="AA30" i="1"/>
  <c r="AB36" i="1"/>
  <c r="AB49" i="1"/>
  <c r="AA47" i="1"/>
  <c r="AC53" i="1"/>
  <c r="AC23" i="1"/>
  <c r="AA31" i="1"/>
  <c r="AC56" i="1"/>
  <c r="AC25" i="1"/>
  <c r="AA38" i="1"/>
  <c r="AC24" i="1"/>
  <c r="AA22" i="1"/>
  <c r="AB44" i="1"/>
  <c r="AB24" i="1"/>
  <c r="AA52" i="1"/>
  <c r="AA20" i="1"/>
  <c r="AC50" i="1"/>
  <c r="M6" i="1"/>
  <c r="C5" i="1" s="1"/>
  <c r="F1" i="4" a="1"/>
  <c r="E13" i="3" a="1"/>
  <c r="F1" i="4" l="1"/>
  <c r="E13" i="3"/>
  <c r="AJ22" i="1"/>
  <c r="AI23" i="1"/>
  <c r="AG24" i="1"/>
  <c r="AJ26" i="1"/>
  <c r="AJ24" i="1"/>
  <c r="AH26" i="1"/>
  <c r="AF24" i="1"/>
  <c r="AF26" i="1"/>
  <c r="AE21" i="1"/>
  <c r="AF23" i="1"/>
  <c r="AI24" i="1"/>
  <c r="AJ20" i="1"/>
  <c r="AG26" i="1"/>
  <c r="AI22" i="1"/>
  <c r="AJ25" i="1"/>
  <c r="AH21" i="1"/>
  <c r="AJ21" i="1"/>
  <c r="AE26" i="1"/>
  <c r="AG23" i="1"/>
  <c r="AE24" i="1"/>
  <c r="AH23" i="1"/>
  <c r="AH24" i="1"/>
  <c r="AF21" i="1"/>
  <c r="AF22" i="1"/>
  <c r="AF20" i="1"/>
  <c r="AE23" i="1"/>
  <c r="AI20" i="1"/>
  <c r="AH25" i="1"/>
  <c r="AI26" i="1"/>
  <c r="AE20" i="1"/>
  <c r="AH20" i="1"/>
  <c r="AH22" i="1"/>
  <c r="AE22" i="1"/>
  <c r="AJ23" i="1"/>
  <c r="AI25" i="1"/>
  <c r="AI21" i="1"/>
  <c r="AG20" i="1"/>
  <c r="AG22" i="1"/>
  <c r="AF25" i="1"/>
  <c r="AG21" i="1"/>
  <c r="AG25" i="1"/>
  <c r="AE25" i="1"/>
  <c r="AB19" i="1"/>
  <c r="AA19" i="1"/>
  <c r="C3" i="1" s="1"/>
  <c r="I19" i="4" a="1"/>
  <c r="M6" i="4" a="1"/>
  <c r="E19" i="4" a="1"/>
  <c r="G27" i="4" a="1"/>
  <c r="G35" i="4" a="1"/>
  <c r="G43" i="4" a="1"/>
  <c r="G51" i="4" a="1"/>
  <c r="G20" i="4" a="1"/>
  <c r="G22" i="4" a="1"/>
  <c r="G30" i="4" a="1"/>
  <c r="G32" i="4" a="1"/>
  <c r="G40" i="4" a="1"/>
  <c r="G48" i="4" a="1"/>
  <c r="G56" i="4" a="1"/>
  <c r="G25" i="4" a="1"/>
  <c r="G37" i="4" a="1"/>
  <c r="G45" i="4" a="1"/>
  <c r="G53" i="4" a="1"/>
  <c r="E14" i="3" a="1"/>
  <c r="G42" i="4" a="1"/>
  <c r="G54" i="4" a="1"/>
  <c r="G46" i="4" a="1"/>
  <c r="G38" i="4" a="1"/>
  <c r="G24" i="4" a="1"/>
  <c r="G57" i="4" a="1"/>
  <c r="G49" i="4" a="1"/>
  <c r="G41" i="4" a="1"/>
  <c r="G33" i="4" a="1"/>
  <c r="G21" i="4" a="1"/>
  <c r="G34" i="4" a="1"/>
  <c r="G52" i="4" a="1"/>
  <c r="G44" i="4" a="1"/>
  <c r="G36" i="4" a="1"/>
  <c r="G28" i="4" a="1"/>
  <c r="G26" i="4" a="1"/>
  <c r="G55" i="4" a="1"/>
  <c r="G47" i="4" a="1"/>
  <c r="G39" i="4" a="1"/>
  <c r="G31" i="4" a="1"/>
  <c r="G29" i="4" a="1"/>
  <c r="G23" i="4" a="1"/>
  <c r="G50" i="4" a="1"/>
  <c r="C4" i="1" l="1"/>
  <c r="G50" i="4"/>
  <c r="G23" i="4"/>
  <c r="G29" i="4"/>
  <c r="G31" i="4"/>
  <c r="G39" i="4"/>
  <c r="G47" i="4"/>
  <c r="G55" i="4"/>
  <c r="G26" i="4"/>
  <c r="G28" i="4"/>
  <c r="G36" i="4"/>
  <c r="G44" i="4"/>
  <c r="G52" i="4"/>
  <c r="G34" i="4"/>
  <c r="G21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F29" i="1"/>
  <c r="AG30" i="1"/>
  <c r="AJ30" i="1"/>
  <c r="AG29" i="1"/>
  <c r="AH29" i="1"/>
  <c r="AI30" i="1"/>
  <c r="AJ29" i="1"/>
  <c r="AH30" i="1"/>
  <c r="AF30" i="1"/>
  <c r="AI29" i="1"/>
  <c r="AE29" i="1"/>
  <c r="AE30" i="1"/>
  <c r="I20" i="4" a="1"/>
  <c r="I28" i="4" a="1"/>
  <c r="G19" i="4" a="1"/>
  <c r="E15" i="3" a="1"/>
  <c r="G19" i="4" l="1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C3" i="4" s="1"/>
  <c r="E15" i="3"/>
  <c r="C6" i="1"/>
  <c r="I29" i="4" a="1"/>
  <c r="AI30" i="4" l="1"/>
  <c r="AH30" i="4"/>
  <c r="AG30" i="4"/>
  <c r="AJ29" i="4"/>
  <c r="AF30" i="4"/>
  <c r="AI29" i="4"/>
  <c r="I29" i="4"/>
  <c r="AE29" i="4" s="1"/>
  <c r="C6" i="4" s="1"/>
  <c r="AE30" i="4"/>
  <c r="AH29" i="4"/>
  <c r="AG29" i="4"/>
  <c r="AF29" i="4"/>
  <c r="AJ30" i="4"/>
  <c r="C4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<sst xmlns="http://schemas.openxmlformats.org/spreadsheetml/2006/main" count="319" uniqueCount="113">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</sst>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b8ef99e016b447da4df1f9adeb95e96">
      <tp>
        <v>1</v>
        <stp/>
        <stp>686bc1c5-323e-4744-b701-e3b327147ccf</stp>
        <tr r="G25" s="1"/>
      </tp>
      <tp>
        <v>1</v>
        <stp/>
        <stp>5762ea02-f98e-44f5-8af4-a01b12463914</stp>
        <tr r="G27" s="1"/>
      </tp>
      <tp>
        <v>1</v>
        <stp/>
        <stp>9e6fa9bf-d626-4b10-82fe-5ae1ccc2a423</stp>
        <tr r="F6" s="4"/>
      </tp>
      <tp>
        <v>1</v>
        <stp/>
        <stp>c66e509e-94f6-48c2-bb0c-af5f357b7664</stp>
        <tr r="G36" s="4"/>
      </tp>
    </main>
    <main first="rtdsrv.4b8ef99e016b447da4df1f9adeb95e96">
      <tp>
        <v>1</v>
        <stp/>
        <stp>4efd792c-b43e-4209-8e80-ae43236ba2e3</stp>
        <tr r="G25" s="4"/>
      </tp>
      <tp>
        <v>1</v>
        <stp/>
        <stp>f37079ca-e529-4b73-87fe-b232caac12c5</stp>
        <tr r="G52" s="1"/>
      </tp>
    </main>
    <main first="rtdsrv.4b8ef99e016b447da4df1f9adeb95e96">
      <tp>
        <v>1</v>
        <stp/>
        <stp>67012ff4-1270-4eaa-848e-a22e52fa8b2f</stp>
        <tr r="G57" s="1"/>
      </tp>
      <tp>
        <v>1</v>
        <stp/>
        <stp>52b667d1-6ce4-459f-a6a2-45793c0028d3</stp>
        <tr r="G27" s="4"/>
      </tp>
      <tp>
        <v>1</v>
        <stp/>
        <stp>89f8e619-fafb-409f-90e0-e43c009a0489</stp>
        <tr r="G21" s="1"/>
      </tp>
      <tp>
        <v>1</v>
        <stp/>
        <stp>caf4d30a-a402-4fc3-ab09-07cb89345da7</stp>
        <tr r="G31" s="1"/>
      </tp>
      <tp>
        <v>1</v>
        <stp/>
        <stp>e2b50a7f-c0b4-4e28-9c5c-063f6a32e76f</stp>
        <tr r="G56" s="1"/>
      </tp>
      <tp>
        <v>1</v>
        <stp/>
        <stp>cbcf9cab-f3ec-4461-93f7-4573f961aae4</stp>
        <tr r="G53" s="1"/>
      </tp>
      <tp>
        <v>1</v>
        <stp/>
        <stp>cee9e8aa-3e79-4832-985b-74cc2e842de4</stp>
        <tr r="G42" s="1"/>
      </tp>
      <tp>
        <v>1</v>
        <stp/>
        <stp>2af9c600-62cb-44c1-9d7b-384dc2c5a1af</stp>
        <tr r="C2" s="2"/>
      </tp>
      <tp>
        <v>1</v>
        <stp/>
        <stp>5dc5449c-285b-4969-ac73-7ffb4492dbf4</stp>
        <tr r="G40" s="4"/>
      </tp>
      <tp>
        <v>1</v>
        <stp/>
        <stp>5f6eacb5-697b-434b-86f6-2975cb268086</stp>
        <tr r="G31" s="4"/>
      </tp>
      <tp>
        <v>1</v>
        <stp/>
        <stp>d934f17e-44de-4792-82e5-5be9e73f9b4b</stp>
        <tr r="G33" s="4"/>
      </tp>
    </main>
    <main first="rtdsrv.4b8ef99e016b447da4df1f9adeb95e96">
      <tp>
        <v>1</v>
        <stp/>
        <stp>a2f0394e-7e61-43f9-89d0-d9d2373de0e2</stp>
        <tr r="G26" s="4"/>
      </tp>
    </main>
    <main first="rtdsrv.4b8ef99e016b447da4df1f9adeb95e96">
      <tp>
        <v>2</v>
        <stp/>
        <stp>f683902d-4f5d-4695-85c9-70a6227ad9a1</stp>
        <tr r="E6" s="3"/>
      </tp>
      <tp>
        <v>1</v>
        <stp/>
        <stp>5fa7ab49-a894-483f-8180-4a54afb86ba1</stp>
        <tr r="G38" s="1"/>
      </tp>
      <tp>
        <v>1</v>
        <stp/>
        <stp>35d80511-c89c-44f5-a8c7-c5d9f8158ffa</stp>
        <tr r="G20" s="1"/>
      </tp>
      <tp>
        <v>1</v>
        <stp/>
        <stp>3ab4ebe7-a21c-4702-a280-5211f04df4ba</stp>
        <tr r="G20" s="4"/>
      </tp>
    </main>
    <main first="rtdsrv.4b8ef99e016b447da4df1f9adeb95e96">
      <tp>
        <v>1</v>
        <stp/>
        <stp>07592be1-25ec-418a-ad74-727bdc56510f</stp>
        <tr r="G49" s="1"/>
      </tp>
    </main>
    <main first="rtdsrv.4b8ef99e016b447da4df1f9adeb95e96">
      <tp>
        <v>1</v>
        <stp/>
        <stp>60c987a5-d7f3-4535-afaa-606e762cead9</stp>
        <tr r="G32" s="1"/>
      </tp>
    </main>
    <main first="rtdsrv.4b8ef99e016b447da4df1f9adeb95e96">
      <tp>
        <v>1</v>
        <stp/>
        <stp>7f546308-9bd8-4b30-933e-3dbe38580c81</stp>
        <tr r="G19" s="1"/>
      </tp>
    </main>
    <main first="rtdsrv.4b8ef99e016b447da4df1f9adeb95e96">
      <tp>
        <v>1</v>
        <stp/>
        <stp>a7d76aee-c7f5-4013-9c34-80a4dc321638</stp>
        <tr r="G35" s="4"/>
      </tp>
      <tp>
        <v>1</v>
        <stp/>
        <stp>de0d9157-bea8-4204-b7dd-1e3c62770aa4</stp>
        <tr r="G24" s="1"/>
      </tp>
    </main>
    <main first="rtdsrv.4b8ef99e016b447da4df1f9adeb95e96">
      <tp>
        <v>1</v>
        <stp/>
        <stp>e3b96405-cf09-4807-ac9a-f910d3788301</stp>
        <tr r="G45" s="4"/>
      </tp>
      <tp>
        <v>1</v>
        <stp/>
        <stp>24e2d18f-48ce-4cf4-8914-9ef68226412e</stp>
        <tr r="G24" s="4"/>
      </tp>
    </main>
    <main first="rtdsrv.4b8ef99e016b447da4df1f9adeb95e96">
      <tp>
        <v>1</v>
        <stp/>
        <stp>a99f1cad-dbb1-4d0b-87d2-37a1ceb188fb</stp>
        <tr r="G47" s="4"/>
      </tp>
      <tp>
        <v>1</v>
        <stp/>
        <stp>dfe1bc29-d3b7-44be-a4ed-15290cd27b46</stp>
        <tr r="G41" s="4"/>
      </tp>
    </main>
    <main first="rtdsrv.4b8ef99e016b447da4df1f9adeb95e96">
      <tp>
        <v>1</v>
        <stp/>
        <stp>e2fb3df6-7928-4ed2-8d99-4288b8aa348e</stp>
        <tr r="G51" s="4"/>
      </tp>
      <tp>
        <v>1</v>
        <stp/>
        <stp>b06dd595-b7b5-404f-80bc-57d58bb87b99</stp>
        <tr r="G30" s="4"/>
      </tp>
    </main>
    <main first="rtdsrv.4b8ef99e016b447da4df1f9adeb95e96">
      <tp>
        <v>1</v>
        <stp/>
        <stp>75eb7dcb-1240-4813-b3cd-ef943785f6ce</stp>
        <tr r="G47" s="1"/>
      </tp>
      <tp>
        <v>1</v>
        <stp/>
        <stp>1fc5db0e-0951-487a-b35f-6615274cf683</stp>
        <tr r="G28" s="4"/>
      </tp>
      <tp>
        <v>1</v>
        <stp/>
        <stp>3f7b3da9-67a8-4255-b1be-ae7e3397cbab</stp>
        <tr r="G37" s="4"/>
      </tp>
      <tp>
        <v>1</v>
        <stp/>
        <stp>5f50dafc-460c-4064-833d-a02370dd9c49</stp>
        <tr r="G21" s="4"/>
      </tp>
      <tp>
        <v>1</v>
        <stp/>
        <stp>bcbafea3-e434-44bc-be00-e66713672c7e</stp>
        <tr r="G50" s="1"/>
      </tp>
      <tp>
        <v>1</v>
        <stp/>
        <stp>a1062289-db09-428b-8629-af3da22f05da</stp>
        <tr r="G54" s="1"/>
      </tp>
    </main>
    <main first="rtdsrv.4b8ef99e016b447da4df1f9adeb95e96">
      <tp>
        <v>1</v>
        <stp/>
        <stp>707587d9-6fc6-4bc9-9b16-c8ffd6afbafd</stp>
        <tr r="G43" s="4"/>
      </tp>
      <tp>
        <v>1</v>
        <stp/>
        <stp>e18d8c9e-c7ef-4783-8616-b9c95aaafb8b</stp>
        <tr r="G42" s="4"/>
      </tp>
      <tp>
        <v>1</v>
        <stp/>
        <stp>d6663a89-5a23-4a77-ab92-71ebb7412c5d</stp>
        <tr r="G49" s="4"/>
      </tp>
      <tp>
        <v>1</v>
        <stp/>
        <stp>286aafc8-7969-4e4a-8158-37f692fa413a</stp>
        <tr r="F6" s="1"/>
      </tp>
    </main>
    <main first="rtdsrv.4b8ef99e016b447da4df1f9adeb95e96">
      <tp>
        <v>1</v>
        <stp/>
        <stp>b422dca2-8e2c-4b43-9da5-ba427a1f059b</stp>
        <tr r="I19" s="1"/>
      </tp>
      <tp>
        <v>1</v>
        <stp/>
        <stp>973f232f-a5fe-4d22-87e0-492d5091f33a</stp>
        <tr r="G52" s="4"/>
      </tp>
      <tp>
        <v>1</v>
        <stp/>
        <stp>dfc230f6-10a5-4eda-aa34-c9b742da8661</stp>
        <tr r="G22" s="1"/>
      </tp>
      <tp>
        <v>1</v>
        <stp/>
        <stp>0168d52e-0b73-4b49-998d-c7f218970209</stp>
        <tr r="G48" s="1"/>
      </tp>
    </main>
    <main first="rtdsrv.4b8ef99e016b447da4df1f9adeb95e96">
      <tp>
        <v>1</v>
        <stp/>
        <stp>b4d8df59-58b8-4ca4-831e-c49829f09db5</stp>
        <tr r="G46" s="1"/>
      </tp>
      <tp>
        <v>1</v>
        <stp/>
        <stp>e86b73fe-6b46-4c47-8271-abf34dc84018</stp>
        <tr r="G30" s="1"/>
      </tp>
      <tp>
        <v>1</v>
        <stp/>
        <stp>417fc574-e091-4fdb-a48d-f67ad5e8c32e</stp>
        <tr r="G45" s="1"/>
      </tp>
      <tp>
        <v>1</v>
        <stp/>
        <stp>865af7e0-1550-485c-b1a5-218d1075a9da</stp>
        <tr r="G37" s="1"/>
      </tp>
      <tp>
        <v>1</v>
        <stp/>
        <stp>76b07320-f83c-4689-894b-6c28860fe15b</stp>
        <tr r="G36" s="1"/>
      </tp>
    </main>
    <main first="rtdsrv.4b8ef99e016b447da4df1f9adeb95e96">
      <tp>
        <v>1</v>
        <stp/>
        <stp>6b449903-bc31-4f60-95aa-7dc19c10ee4e</stp>
        <tr r="G57" s="4"/>
      </tp>
    </main>
    <main first="rtdsrv.4b8ef99e016b447da4df1f9adeb95e96">
      <tp>
        <v>1</v>
        <stp/>
        <stp>ea1c0135-b590-4337-8ab2-961da8091d6b</stp>
        <tr r="G39" s="1"/>
      </tp>
    </main>
    <main first="rtdsrv.4b8ef99e016b447da4df1f9adeb95e96">
      <tp>
        <v>1</v>
        <stp/>
        <stp>939e3515-f4df-4f0b-b75c-65eb29c357c5</stp>
        <tr r="I28" s="4"/>
      </tp>
    </main>
    <main first="rtdsrv.4b8ef99e016b447da4df1f9adeb95e96">
      <tp>
        <v>1</v>
        <stp/>
        <stp>fc7bacc0-7b10-4c5a-ac91-a0d0be715610</stp>
        <tr r="G46" s="4"/>
      </tp>
    </main>
    <main first="rtdsrv.4b8ef99e016b447da4df1f9adeb95e96">
      <tp>
        <v>1</v>
        <stp/>
        <stp>36e58f36-0b31-4d70-8478-59c7f352eb23</stp>
        <tr r="G19" s="4"/>
      </tp>
    </main>
    <main first="rtdsrv.4b8ef99e016b447da4df1f9adeb95e96">
      <tp>
        <v>1</v>
        <stp/>
        <stp>a27287b1-9ad8-4cdd-a84f-9163a71d1d9f</stp>
        <tr r="G56" s="4"/>
      </tp>
      <tp>
        <v>1</v>
        <stp/>
        <stp>4f4f6569-5531-4084-8239-b724ae377229</stp>
        <tr r="G35" s="1"/>
      </tp>
      <tp>
        <v>1</v>
        <stp/>
        <stp>d686cd8e-4bda-4864-a9a4-8fec273e7c27</stp>
        <tr r="G29" s="4"/>
      </tp>
      <tp>
        <v>1</v>
        <stp/>
        <stp>bb76ab39-1507-4cd5-8ffc-5a599d4b8f8e</stp>
        <tr r="G50" s="4"/>
      </tp>
      <tp>
        <v>1</v>
        <stp/>
        <stp>737fdd70-fa54-4068-bb99-a5a3dbd02f5a</stp>
        <tr r="G44" s="1"/>
      </tp>
      <tp>
        <v>1</v>
        <stp/>
        <stp>9319eabb-8ddd-43c6-9111-e02b98c07d5e</stp>
        <tr r="G44" s="4"/>
      </tp>
      <tp>
        <v>1</v>
        <stp/>
        <stp>bebc2de1-60ea-40bb-8a46-521efe0f458e</stp>
        <tr r="G41" s="1"/>
      </tp>
      <tp>
        <v>1</v>
        <stp/>
        <stp>29f95f6a-8c35-4d6b-9c18-f67c942ba582</stp>
        <tr r="G22" s="4"/>
      </tp>
      <tp>
        <v>1</v>
        <stp/>
        <stp>21f26eb4-332f-4579-a19f-7b05db019d10</stp>
        <tr r="E4" s="3"/>
      </tp>
      <tp>
        <v>1</v>
        <stp/>
        <stp>45f70452-a4c1-48af-8087-beebc9e9fa7e</stp>
        <tr r="G38" s="4"/>
      </tp>
      <tp>
        <v>1</v>
        <stp/>
        <stp>cb75bec1-4e61-4348-b7c1-7d0d579e9979</stp>
        <tr r="G26" s="1"/>
      </tp>
    </main>
    <main first="rtdsrv.4b8ef99e016b447da4df1f9adeb95e96">
      <tp>
        <v>1</v>
        <stp/>
        <stp>d40bbdc3-504c-43f0-a54d-e58652259d10</stp>
        <tr r="G34" s="1"/>
      </tp>
      <tp>
        <v>1</v>
        <stp/>
        <stp>000049d3-ca0c-4109-a973-0713aa7ad004</stp>
        <tr r="G23" s="1"/>
      </tp>
      <tp>
        <v>101</v>
        <stp/>
        <stp>a0770d64-0cc0-4d63-a9c0-72192be5bf75</stp>
        <tr r="E7" s="3"/>
      </tp>
      <tp>
        <v>1</v>
        <stp/>
        <stp>9f0b6f53-f245-405d-83f1-d57507822dbc</stp>
        <tr r="I19" s="4"/>
      </tp>
      <tp>
        <v>1</v>
        <stp/>
        <stp>6e91c3b5-e1e9-4efe-93bb-46c26a0a6a2c</stp>
        <tr r="G51" s="1"/>
      </tp>
      <tp>
        <v>1</v>
        <stp/>
        <stp>f91acaf9-ab77-44af-9389-6eef20a9a0ac</stp>
        <tr r="G53" s="4"/>
      </tp>
    </main>
    <main first="rtdsrv.4b8ef99e016b447da4df1f9adeb95e96">
      <tp>
        <v>1</v>
        <stp/>
        <stp>1e20d4de-2006-41bf-9f80-48b93da56c4b</stp>
        <tr r="G23" s="4"/>
      </tp>
      <tp>
        <v>1</v>
        <stp/>
        <stp>ce261162-24ce-4c6d-a0ab-2cd83d335a7c</stp>
        <tr r="G34" s="4"/>
      </tp>
      <tp>
        <v>1</v>
        <stp/>
        <stp>1fe8571a-1322-4957-a257-27722b06f2ec</stp>
        <tr r="F1" s="4"/>
      </tp>
      <tp>
        <v>1</v>
        <stp/>
        <stp>6ab7d9c1-044d-4c95-8eee-209aa8eda5dc</stp>
        <tr r="G32" s="4"/>
      </tp>
    </main>
    <main first="rtdsrv.4b8ef99e016b447da4df1f9adeb95e96">
      <tp>
        <v>1</v>
        <stp/>
        <stp>50a5dade-ed33-482e-a207-4ac937b8d260</stp>
        <tr r="G43" s="1"/>
      </tp>
      <tp>
        <v>1</v>
        <stp/>
        <stp>9b1b9ee4-4a7f-4a10-9faf-e205c6243c5a</stp>
        <tr r="G33" s="1"/>
      </tp>
      <tp>
        <v>1</v>
        <stp/>
        <stp>10487dcd-ca18-4168-91ef-9969c4be5c62</stp>
        <tr r="G29" s="1"/>
      </tp>
    </main>
    <main first="rtdsrv.4b8ef99e016b447da4df1f9adeb95e96">
      <tp>
        <v>1</v>
        <stp/>
        <stp>68817488-5a6f-4517-8f05-abe5eae029a3</stp>
        <tr r="G55" s="4"/>
      </tp>
    </main>
    <main first="rtdsrv.4b8ef99e016b447da4df1f9adeb95e96">
      <tp>
        <v>1</v>
        <stp/>
        <stp>5dd97d21-88d3-495d-a3ec-ab00bd0b884d</stp>
        <tr r="F1" s="1"/>
      </tp>
    </main>
    <main first="rtdsrv.4b8ef99e016b447da4df1f9adeb95e96">
      <tp>
        <v>1</v>
        <stp/>
        <stp>ec33074b-202c-4cda-8fd4-da68ad1c0a3f</stp>
        <tr r="I28" s="1"/>
      </tp>
    </main>
    <main first="rtdsrv.4b8ef99e016b447da4df1f9adeb95e96">
      <tp>
        <v>1</v>
        <stp/>
        <stp>2ed72686-3229-4c7b-9b5a-2dabef48625d</stp>
        <tr r="G28" s="1"/>
      </tp>
      <tp>
        <v>1</v>
        <stp/>
        <stp>ad36159f-d95a-408b-a01c-a0ad60f46a87</stp>
        <tr r="G40" s="1"/>
      </tp>
      <tp>
        <v>1</v>
        <stp/>
        <stp>3b855b64-7082-46e7-9617-789a87d58986</stp>
        <tr r="G54" s="4"/>
      </tp>
    </main>
    <main first="rtdsrv.4b8ef99e016b447da4df1f9adeb95e96">
      <tp>
        <v>1</v>
        <stp/>
        <stp>4fca72d5-313d-4a80-ac8b-cde084ac485b</stp>
        <tr r="G39" s="4"/>
      </tp>
    </main>
    <main first="rtdsrv.4b8ef99e016b447da4df1f9adeb95e96">
      <tp>
        <v>1</v>
        <stp/>
        <stp>a28a91ab-2972-417f-8575-1cd8af371c3f</stp>
        <tr r="G48" s="4"/>
      </tp>
    </main>
    <main first="rtdsrv.4b8ef99e016b447da4df1f9adeb95e96">
      <tp>
        <v>1</v>
        <stp/>
        <stp>ca9757e3-7740-4471-bd1f-59b2b8403f6c</stp>
        <tr r="G5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tabSelected="1" zoomScaleNormal="100" workbookViewId="0">
      <selection activeCell="B2" sqref="B2"/>
    </sheetView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_xll.ExLibris.Json.CreateJsonObject(E3:F6)</f>
        <v>JsonObject:BE1FC4FB-547E-4869-A7F0-521890319C3A</v>
      </c>
      <c r="K1" t="str">
        <f>EXLIBRIS_CONFIGURATION</f>
        <v>ExLibris.Core.ExLibrisConfiguration:78976E74-B484-403F-9AE1-F5D51D57D63F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_xll.ExLibris.Json.CreateJsonArray(E8:J14)</f>
        <v>JsonObject:7FD63C57-393E-49CA-A58E-C4F2225A9BAA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5" x14ac:dyDescent="0.4">
      <c r="L7" t="s">
        <v>74</v>
      </c>
      <c r="M7" t="s">
        <v>112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JsonObject:854737B1-0B9E-4F70-9A82-B16823CD8333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>
        <v>44632</v>
      </c>
      <c r="U21">
        <v>44452</v>
      </c>
      <c r="V21">
        <v>44632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">
        <v>32</v>
      </c>
      <c r="Q22">
        <v>44632</v>
      </c>
      <c r="R22">
        <v>44632</v>
      </c>
      <c r="T22">
        <v>44812</v>
      </c>
      <c r="U22">
        <v>44632</v>
      </c>
      <c r="V22">
        <v>44812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">
        <v>33</v>
      </c>
      <c r="Q23">
        <v>44452</v>
      </c>
      <c r="R23">
        <v>44452</v>
      </c>
      <c r="T23">
        <v>44992</v>
      </c>
      <c r="U23">
        <v>44812</v>
      </c>
      <c r="V23">
        <v>44992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">
        <v>34</v>
      </c>
      <c r="Q24">
        <v>44632</v>
      </c>
      <c r="R24">
        <v>44632</v>
      </c>
      <c r="T24">
        <v>45172</v>
      </c>
      <c r="U24">
        <v>44992</v>
      </c>
      <c r="V24">
        <v>45172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>
        <v>45352</v>
      </c>
      <c r="U25">
        <v>45172</v>
      </c>
      <c r="V25">
        <v>45352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>
        <v>45532</v>
      </c>
      <c r="U26">
        <v>45352</v>
      </c>
      <c r="V26">
        <v>45532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JsonObject:1676224C-EAA0-4A14-9F89-A758F8BDAE9D</v>
      </c>
      <c r="P28" t="s">
        <v>38</v>
      </c>
      <c r="Q28">
        <v>44812</v>
      </c>
      <c r="R28">
        <v>44812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>
        <v>44632</v>
      </c>
      <c r="R29">
        <v>44632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">
        <v>40</v>
      </c>
      <c r="Q30">
        <v>44812</v>
      </c>
      <c r="R30">
        <v>44812</v>
      </c>
      <c r="T30">
        <v>44992</v>
      </c>
      <c r="U30">
        <v>44812</v>
      </c>
      <c r="V30">
        <v>44992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">
        <v>44</v>
      </c>
      <c r="Q34">
        <v>44992</v>
      </c>
      <c r="R34">
        <v>44992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">
        <v>45</v>
      </c>
      <c r="Q35">
        <v>44812</v>
      </c>
      <c r="R35">
        <v>44812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">
        <v>46</v>
      </c>
      <c r="Q36">
        <v>44992</v>
      </c>
      <c r="R36">
        <v>44992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">
        <v>50</v>
      </c>
      <c r="Q40">
        <v>45172</v>
      </c>
      <c r="R40">
        <v>45172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">
        <v>51</v>
      </c>
      <c r="Q41">
        <v>44992</v>
      </c>
      <c r="R41">
        <v>44992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">
        <v>52</v>
      </c>
      <c r="Q42">
        <v>45172</v>
      </c>
      <c r="R42">
        <v>45172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">
        <v>56</v>
      </c>
      <c r="Q46">
        <v>45352</v>
      </c>
      <c r="R46">
        <v>45352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">
        <v>57</v>
      </c>
      <c r="Q47">
        <v>45172</v>
      </c>
      <c r="R47">
        <v>45172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">
        <v>58</v>
      </c>
      <c r="Q48">
        <v>45352</v>
      </c>
      <c r="R48">
        <v>45352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">
        <v>62</v>
      </c>
      <c r="Q52">
        <v>45532</v>
      </c>
      <c r="R52">
        <v>45532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">
        <v>63</v>
      </c>
      <c r="Q53">
        <v>45352</v>
      </c>
      <c r="R53">
        <v>45352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">
        <v>64</v>
      </c>
      <c r="Q54">
        <v>45532</v>
      </c>
      <c r="R54">
        <v>45532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>
      <selection activeCell="B2" sqref="B2"/>
    </sheetView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JsonObject:503E7613-4E07-4006-B2A7-CB6401DF8B02</v>
      </c>
      <c r="K1" t="str">
        <f>EXLIBRIS_CONFIGURATION</f>
        <v>ExLibris.Core.ExLibrisConfiguration:78976E74-B484-403F-9AE1-F5D51D57D63F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JsonObject:16334072-DD2A-4369-8330-48716197076D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JsonObject:CF6400C5-7AED-47FD-98B7-BD0CD6EEF736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C57" si="5">E19=P19</f>
        <v>1</v>
      </c>
      <c r="AC19" t="b">
        <f t="shared" si="5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5"/>
        <v>1</v>
      </c>
      <c r="AE20" t="b">
        <f t="shared" ref="AE20:AJ26" si="6">I20=T20</f>
        <v>1</v>
      </c>
      <c r="AF20" t="b">
        <f t="shared" si="6"/>
        <v>1</v>
      </c>
      <c r="AG20" t="b">
        <f t="shared" si="6"/>
        <v>1</v>
      </c>
      <c r="AH20" t="b">
        <f t="shared" si="6"/>
        <v>1</v>
      </c>
      <c r="AI20" t="b">
        <f t="shared" si="6"/>
        <v>1</v>
      </c>
      <c r="AJ20" t="b">
        <f t="shared" si="6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5"/>
        <v>1</v>
      </c>
      <c r="AE21" t="b">
        <f t="shared" si="6"/>
        <v>1</v>
      </c>
      <c r="AF21" t="b">
        <f t="shared" si="6"/>
        <v>1</v>
      </c>
      <c r="AG21" t="b">
        <f t="shared" si="6"/>
        <v>1</v>
      </c>
      <c r="AH21" t="b">
        <f t="shared" si="6"/>
        <v>1</v>
      </c>
      <c r="AI21" t="b">
        <f t="shared" si="6"/>
        <v>1</v>
      </c>
      <c r="AJ21" t="b">
        <f t="shared" si="6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5"/>
        <v>1</v>
      </c>
      <c r="AE22" t="b">
        <f t="shared" si="6"/>
        <v>1</v>
      </c>
      <c r="AF22" t="b">
        <f t="shared" si="6"/>
        <v>1</v>
      </c>
      <c r="AG22" t="b">
        <f t="shared" si="6"/>
        <v>1</v>
      </c>
      <c r="AH22" t="b">
        <f t="shared" si="6"/>
        <v>1</v>
      </c>
      <c r="AI22" t="b">
        <f t="shared" si="6"/>
        <v>1</v>
      </c>
      <c r="AJ22" t="b">
        <f t="shared" si="6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5"/>
        <v>1</v>
      </c>
      <c r="AE23" t="b">
        <f t="shared" si="6"/>
        <v>1</v>
      </c>
      <c r="AF23" t="b">
        <f t="shared" si="6"/>
        <v>1</v>
      </c>
      <c r="AG23" t="b">
        <f t="shared" si="6"/>
        <v>1</v>
      </c>
      <c r="AH23" t="b">
        <f t="shared" si="6"/>
        <v>1</v>
      </c>
      <c r="AI23" t="b">
        <f t="shared" si="6"/>
        <v>1</v>
      </c>
      <c r="AJ23" t="b">
        <f t="shared" si="6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5"/>
        <v>1</v>
      </c>
      <c r="AE24" t="b">
        <f t="shared" si="6"/>
        <v>1</v>
      </c>
      <c r="AF24" t="b">
        <f t="shared" si="6"/>
        <v>1</v>
      </c>
      <c r="AG24" t="b">
        <f t="shared" si="6"/>
        <v>1</v>
      </c>
      <c r="AH24" t="b">
        <f t="shared" si="6"/>
        <v>1</v>
      </c>
      <c r="AI24" t="b">
        <f t="shared" si="6"/>
        <v>1</v>
      </c>
      <c r="AJ24" t="b">
        <f t="shared" si="6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5"/>
        <v>1</v>
      </c>
      <c r="AE25" t="b">
        <f t="shared" si="6"/>
        <v>1</v>
      </c>
      <c r="AF25" t="b">
        <f t="shared" si="6"/>
        <v>1</v>
      </c>
      <c r="AG25" t="b">
        <f t="shared" si="6"/>
        <v>1</v>
      </c>
      <c r="AH25" t="b">
        <f t="shared" si="6"/>
        <v>1</v>
      </c>
      <c r="AI25" t="b">
        <f t="shared" si="6"/>
        <v>1</v>
      </c>
      <c r="AJ25" t="b">
        <f t="shared" si="6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5"/>
        <v>1</v>
      </c>
      <c r="AE26" t="b">
        <f t="shared" si="6"/>
        <v>1</v>
      </c>
      <c r="AF26" t="b">
        <f t="shared" si="6"/>
        <v>1</v>
      </c>
      <c r="AG26" t="b">
        <f t="shared" si="6"/>
        <v>1</v>
      </c>
      <c r="AH26" t="b">
        <f t="shared" si="6"/>
        <v>1</v>
      </c>
      <c r="AI26" t="b">
        <f t="shared" si="6"/>
        <v>1</v>
      </c>
      <c r="AJ26" t="b">
        <f t="shared" si="6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5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JsonObject:391EFAB2-D899-4E8E-B0E6-36E35FB16A7E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5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5"/>
        <v>1</v>
      </c>
      <c r="AE29" t="b">
        <f t="shared" ref="AE29:AJ30" si="7">I29=T29</f>
        <v>1</v>
      </c>
      <c r="AF29" t="b">
        <f t="shared" si="7"/>
        <v>1</v>
      </c>
      <c r="AG29" t="b">
        <f t="shared" si="7"/>
        <v>1</v>
      </c>
      <c r="AH29" t="b">
        <f t="shared" si="7"/>
        <v>1</v>
      </c>
      <c r="AI29" t="b">
        <f t="shared" si="7"/>
        <v>1</v>
      </c>
      <c r="AJ29" t="b">
        <f t="shared" si="7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5"/>
        <v>1</v>
      </c>
      <c r="AE30" t="b">
        <f t="shared" si="7"/>
        <v>1</v>
      </c>
      <c r="AF30" t="b">
        <f t="shared" si="7"/>
        <v>1</v>
      </c>
      <c r="AG30" t="b">
        <f t="shared" si="7"/>
        <v>1</v>
      </c>
      <c r="AH30" t="b">
        <f t="shared" si="7"/>
        <v>1</v>
      </c>
      <c r="AI30" t="b">
        <f t="shared" si="7"/>
        <v>1</v>
      </c>
      <c r="AJ30" t="b">
        <f t="shared" si="7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5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5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5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5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5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5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5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5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5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5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5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5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5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5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5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5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5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5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5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5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5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5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5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5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5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5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5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15"/>
  <sheetViews>
    <sheetView workbookViewId="0">
      <selection activeCell="B2" sqref="B2"/>
    </sheetView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101</v>
      </c>
    </row>
    <row r="4" spans="2:5" x14ac:dyDescent="0.4">
      <c r="D4" t="s">
        <v>111</v>
      </c>
      <c r="E4" t="str" cm="1">
        <f t="array" ref="E4">_xll.ExLibris.WebSockets.OpenWebSocket("ws://localhost:10101",D4)</f>
        <v>ExLibris.Core.WebSockets.WebsocketClient:AF651CF1-1F52-4171-B6DA-EE452997DBD2</v>
      </c>
    </row>
    <row r="6" spans="2:5" x14ac:dyDescent="0.4">
      <c r="D6" t="s">
        <v>102</v>
      </c>
      <c r="E6" t="str" cm="1">
        <f t="array" ref="E6">_xll.ExLibris.WebSockets.ObserveWebSocketStatus(E4,1000)</f>
        <v>Open</v>
      </c>
    </row>
    <row r="7" spans="2:5" x14ac:dyDescent="0.4">
      <c r="D7" t="s">
        <v>103</v>
      </c>
      <c r="E7" t="str" cm="1">
        <f t="array" ref="E7">_xll.ExLibris.WebSockets.ObserveWebSocketMessage(E4)</f>
        <v>push_event 22:04:25</v>
      </c>
    </row>
    <row r="9" spans="2:5" x14ac:dyDescent="0.4">
      <c r="D9" t="s">
        <v>104</v>
      </c>
      <c r="E9" t="str" cm="1">
        <f t="array" ref="E9">_xll.ExLibris.WebSockets.SendWebSocketMessage(E4,"test "&amp;D9,E6="Open")</f>
        <v>message sent : 2021-09-20T10:01:04.926</v>
      </c>
    </row>
    <row r="10" spans="2:5" x14ac:dyDescent="0.4">
      <c r="D10" t="s">
        <v>105</v>
      </c>
      <c r="E10" t="str" cm="1">
        <f t="array" ref="E10">_xll.ExLibris.WebSockets.SendWebSocketMessage($E$4,"test next "&amp;D10,E9)</f>
        <v>message sent : 2021-09-20T10:01:04.927</v>
      </c>
    </row>
    <row r="11" spans="2:5" x14ac:dyDescent="0.4">
      <c r="D11" t="s">
        <v>106</v>
      </c>
      <c r="E11" t="str" cm="1">
        <f t="array" ref="E11">_xll.ExLibris.WebSockets.SendWebSocketMessage($E$4,"test next "&amp;D11,E10)</f>
        <v>message sent : 2021-09-20T10:01:04.931</v>
      </c>
    </row>
    <row r="12" spans="2:5" x14ac:dyDescent="0.4">
      <c r="D12" t="s">
        <v>107</v>
      </c>
      <c r="E12" t="str" cm="1">
        <f t="array" ref="E12">_xll.ExLibris.WebSockets.SendWebSocketMessage($E$4,"test next "&amp;D12,E11)</f>
        <v>message sent : 2021-09-20T10:01:04.932</v>
      </c>
    </row>
    <row r="13" spans="2:5" x14ac:dyDescent="0.4">
      <c r="D13" t="s">
        <v>108</v>
      </c>
      <c r="E13" t="str" cm="1">
        <f t="array" ref="E13">_xll.ExLibris.WebSockets.SendWebSocketMessage($E$4,"test next "&amp;D13,E12)</f>
        <v>message sent : 2021-09-20T10:01:04.946</v>
      </c>
    </row>
    <row r="14" spans="2:5" x14ac:dyDescent="0.4">
      <c r="D14" t="s">
        <v>109</v>
      </c>
      <c r="E14" t="str" cm="1">
        <f t="array" ref="E14">_xll.ExLibris.WebSockets.SendWebSocketMessage($E$4,"test next "&amp;D14,E13)</f>
        <v>message sent : 2021-09-20T10:01:04.946</v>
      </c>
    </row>
    <row r="15" spans="2:5" x14ac:dyDescent="0.4">
      <c r="D15" t="s">
        <v>110</v>
      </c>
      <c r="E15" t="str" cm="1">
        <f t="array" ref="E15">_xll.ExLibris.WebSockets.SendWebSocketMessage($E$4,"test next "&amp;D15,E14)</f>
        <v>message sent : 2021-09-20T10:01:04.947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ExLibris.Core.ExLibrisConfiguration:78976E74-B484-403F-9AE1-F5D51D57D63F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json_test</vt:lpstr>
      <vt:lpstr>json_w_conf_test</vt:lpstr>
      <vt:lpstr>websocket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2021-09-20T13:04:29Z</dcterms:modified>
</cp:coreProperties>
</file>