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8F9824D8-FACF-46C3-910D-29BC15A00990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  <sheet name="webapi github" sheetId="6" r:id="rId6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5" l="1"/>
  <c r="C11" i="6" a="1"/>
  <c r="C10" i="6" a="1"/>
  <c r="C8" i="6" a="1"/>
  <c r="B2" i="6" a="1"/>
  <c r="E17" i="3" a="1"/>
  <c r="E4" i="3" a="1"/>
  <c r="D51" i="5" a="1"/>
  <c r="D46" i="5" a="1"/>
  <c r="D41" i="5" a="1"/>
  <c r="D36" i="5" a="1"/>
  <c r="D31" i="5" a="1"/>
  <c r="D26" i="5" a="1"/>
  <c r="H5" i="5" a="1"/>
  <c r="B5" i="5" a="1"/>
  <c r="D21" i="5" a="1"/>
  <c r="D16" i="5" a="1"/>
  <c r="I43" i="4" a="1"/>
  <c r="I42" i="4" a="1"/>
  <c r="I39" i="4" a="1"/>
  <c r="I38" i="4" a="1"/>
  <c r="I34" i="4" a="1"/>
  <c r="I33" i="4" a="1"/>
  <c r="I32" i="4" a="1"/>
  <c r="I29" i="4" a="1"/>
  <c r="I28" i="4" a="1"/>
  <c r="I20" i="4" a="1"/>
  <c r="I19" i="4" a="1"/>
  <c r="G21" i="4" a="1"/>
  <c r="G57" i="4" a="1"/>
  <c r="G53" i="4" a="1"/>
  <c r="G49" i="4" a="1"/>
  <c r="G45" i="4" a="1"/>
  <c r="G41" i="4" a="1"/>
  <c r="G37" i="4" a="1"/>
  <c r="G33" i="4" a="1"/>
  <c r="G29" i="4" a="1"/>
  <c r="G25" i="4" a="1"/>
  <c r="G52" i="4" a="1"/>
  <c r="G44" i="4" a="1"/>
  <c r="G36" i="4" a="1"/>
  <c r="G24" i="4" a="1"/>
  <c r="G27" i="4" a="1"/>
  <c r="G56" i="4" a="1"/>
  <c r="G48" i="4" a="1"/>
  <c r="G40" i="4" a="1"/>
  <c r="G32" i="4" a="1"/>
  <c r="G28" i="4" a="1"/>
  <c r="G20" i="4" a="1"/>
  <c r="G23" i="4" a="1"/>
  <c r="G55" i="4" a="1"/>
  <c r="G51" i="4" a="1"/>
  <c r="G47" i="4" a="1"/>
  <c r="G43" i="4" a="1"/>
  <c r="G39" i="4" a="1"/>
  <c r="G35" i="4" a="1"/>
  <c r="G31" i="4" a="1"/>
  <c r="G54" i="4" a="1"/>
  <c r="G50" i="4" a="1"/>
  <c r="G46" i="4" a="1"/>
  <c r="G42" i="4" a="1"/>
  <c r="G38" i="4" a="1"/>
  <c r="G34" i="4" a="1"/>
  <c r="G30" i="4" a="1"/>
  <c r="G26" i="4" a="1"/>
  <c r="G22" i="4" a="1"/>
  <c r="G19" i="4" a="1"/>
  <c r="E19" i="4" a="1"/>
  <c r="F6" i="4" a="1"/>
  <c r="E6" i="2" a="1"/>
  <c r="C2" i="2" a="1"/>
  <c r="P30" i="1" a="1"/>
  <c r="P29" i="1" a="1"/>
  <c r="P19" i="1" a="1"/>
  <c r="I29" i="1" a="1"/>
  <c r="I28" i="1" a="1"/>
  <c r="I20" i="1" a="1"/>
  <c r="I19" i="1" a="1"/>
  <c r="G56" i="1" a="1"/>
  <c r="G52" i="1" a="1"/>
  <c r="G48" i="1" a="1"/>
  <c r="G44" i="1" a="1"/>
  <c r="G40" i="1" a="1"/>
  <c r="G36" i="1" a="1"/>
  <c r="G32" i="1" a="1"/>
  <c r="G28" i="1" a="1"/>
  <c r="G24" i="1" a="1"/>
  <c r="G20" i="1" a="1"/>
  <c r="G55" i="1" a="1"/>
  <c r="G51" i="1" a="1"/>
  <c r="G47" i="1" a="1"/>
  <c r="G43" i="1" a="1"/>
  <c r="G35" i="1" a="1"/>
  <c r="G31" i="1" a="1"/>
  <c r="G27" i="1" a="1"/>
  <c r="G23" i="1" a="1"/>
  <c r="G39" i="1" a="1"/>
  <c r="G54" i="1" a="1"/>
  <c r="G50" i="1" a="1"/>
  <c r="G46" i="1" a="1"/>
  <c r="G42" i="1" a="1"/>
  <c r="G38" i="1" a="1"/>
  <c r="G34" i="1" a="1"/>
  <c r="G30" i="1" a="1"/>
  <c r="G26" i="1" a="1"/>
  <c r="G22" i="1" a="1"/>
  <c r="G57" i="1" a="1"/>
  <c r="G53" i="1" a="1"/>
  <c r="G49" i="1" a="1"/>
  <c r="G45" i="1" a="1"/>
  <c r="G41" i="1" a="1"/>
  <c r="G37" i="1" a="1"/>
  <c r="G33" i="1" a="1"/>
  <c r="G29" i="1" a="1"/>
  <c r="G25" i="1" a="1"/>
  <c r="G21" i="1" a="1"/>
  <c r="G19" i="1" a="1"/>
  <c r="E19" i="1" a="1"/>
  <c r="F6" i="1" a="1"/>
  <c r="D49" i="5" a="1"/>
  <c r="C11" i="6" l="1"/>
  <c r="C10" i="6"/>
  <c r="C8" i="6"/>
  <c r="B2" i="6"/>
  <c r="E17" i="3"/>
  <c r="E4" i="3"/>
  <c r="D51" i="5"/>
  <c r="D46" i="5"/>
  <c r="D41" i="5"/>
  <c r="D36" i="5"/>
  <c r="D31" i="5"/>
  <c r="D26" i="5"/>
  <c r="H5" i="5"/>
  <c r="B5" i="5"/>
  <c r="D21" i="5"/>
  <c r="D16" i="5"/>
  <c r="I43" i="4"/>
  <c r="I42" i="4"/>
  <c r="I39" i="4"/>
  <c r="I38" i="4"/>
  <c r="I34" i="4"/>
  <c r="I33" i="4"/>
  <c r="I32" i="4"/>
  <c r="I29" i="4"/>
  <c r="I28" i="4"/>
  <c r="I20" i="4"/>
  <c r="I19" i="4"/>
  <c r="G22" i="4"/>
  <c r="G26" i="4"/>
  <c r="G30" i="4"/>
  <c r="G34" i="4"/>
  <c r="G38" i="4"/>
  <c r="G42" i="4"/>
  <c r="G46" i="4"/>
  <c r="G50" i="4"/>
  <c r="G54" i="4"/>
  <c r="G31" i="4"/>
  <c r="G35" i="4"/>
  <c r="G39" i="4"/>
  <c r="G43" i="4"/>
  <c r="G47" i="4"/>
  <c r="G51" i="4"/>
  <c r="G55" i="4"/>
  <c r="G23" i="4"/>
  <c r="G20" i="4"/>
  <c r="G28" i="4"/>
  <c r="G32" i="4"/>
  <c r="G40" i="4"/>
  <c r="G48" i="4"/>
  <c r="G56" i="4"/>
  <c r="G27" i="4"/>
  <c r="G24" i="4"/>
  <c r="G36" i="4"/>
  <c r="G44" i="4"/>
  <c r="G52" i="4"/>
  <c r="G25" i="4"/>
  <c r="G29" i="4"/>
  <c r="G33" i="4"/>
  <c r="G37" i="4"/>
  <c r="G41" i="4"/>
  <c r="G45" i="4"/>
  <c r="G49" i="4"/>
  <c r="G53" i="4"/>
  <c r="G57" i="4"/>
  <c r="G21" i="4"/>
  <c r="G19" i="4"/>
  <c r="E19" i="4"/>
  <c r="F6" i="4"/>
  <c r="E6" i="2"/>
  <c r="C2" i="2"/>
  <c r="P30" i="1"/>
  <c r="P29" i="1"/>
  <c r="P19" i="1"/>
  <c r="I29" i="1"/>
  <c r="I28" i="1"/>
  <c r="I20" i="1"/>
  <c r="I19" i="1"/>
  <c r="G21" i="1"/>
  <c r="G25" i="1"/>
  <c r="G29" i="1"/>
  <c r="G33" i="1"/>
  <c r="G37" i="1"/>
  <c r="G41" i="1"/>
  <c r="G45" i="1"/>
  <c r="G49" i="1"/>
  <c r="G53" i="1"/>
  <c r="G57" i="1"/>
  <c r="G22" i="1"/>
  <c r="G26" i="1"/>
  <c r="G30" i="1"/>
  <c r="G34" i="1"/>
  <c r="G38" i="1"/>
  <c r="G42" i="1"/>
  <c r="G46" i="1"/>
  <c r="G50" i="1"/>
  <c r="G54" i="1"/>
  <c r="G39" i="1"/>
  <c r="G23" i="1"/>
  <c r="G27" i="1"/>
  <c r="G31" i="1"/>
  <c r="G35" i="1"/>
  <c r="G43" i="1"/>
  <c r="G47" i="1"/>
  <c r="G51" i="1"/>
  <c r="G55" i="1"/>
  <c r="G20" i="1"/>
  <c r="G24" i="1"/>
  <c r="G28" i="1"/>
  <c r="G32" i="1"/>
  <c r="G36" i="1"/>
  <c r="G40" i="1"/>
  <c r="G44" i="1"/>
  <c r="G48" i="1"/>
  <c r="G52" i="1"/>
  <c r="G56" i="1"/>
  <c r="G19" i="1"/>
  <c r="E19" i="1"/>
  <c r="F6" i="1"/>
  <c r="D49" i="5"/>
  <c r="D50" i="5" a="1"/>
  <c r="D50" i="5" l="1"/>
  <c r="C5" i="6"/>
  <c r="D33" i="5"/>
  <c r="D28" i="5"/>
  <c r="D23" i="5"/>
  <c r="D18" i="5"/>
  <c r="D13" i="5"/>
  <c r="D38" i="5" a="1"/>
  <c r="D43" i="5" a="1"/>
  <c r="D19" i="5" a="1"/>
  <c r="D14" i="5" a="1"/>
  <c r="D38" i="5" l="1"/>
  <c r="D43" i="5"/>
  <c r="D19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15" i="5" a="1"/>
  <c r="D20" i="5" a="1"/>
  <c r="C6" i="6" a="1"/>
  <c r="D44" i="5" a="1"/>
  <c r="C6" i="6" l="1"/>
  <c r="D44" i="5"/>
  <c r="D20" i="5"/>
  <c r="D15" i="5"/>
  <c r="F10" i="4"/>
  <c r="G10" i="4" s="1"/>
  <c r="F10" i="1"/>
  <c r="G10" i="1" s="1"/>
  <c r="F11" i="1" s="1"/>
  <c r="G11" i="1" s="1"/>
  <c r="F12" i="1" s="1"/>
  <c r="G12" i="1" s="1"/>
  <c r="E12" i="1" s="1"/>
  <c r="D24" i="5" a="1"/>
  <c r="D45" i="5" a="1"/>
  <c r="D34" i="5" a="1"/>
  <c r="E7" i="3" a="1"/>
  <c r="D29" i="5" a="1"/>
  <c r="E19" i="3" a="1"/>
  <c r="E20" i="3" a="1"/>
  <c r="C7" i="6" a="1"/>
  <c r="D39" i="5" a="1"/>
  <c r="E6" i="3" a="1"/>
  <c r="D24" i="5" l="1"/>
  <c r="C7" i="6"/>
  <c r="D45" i="5"/>
  <c r="D39" i="5"/>
  <c r="D29" i="5"/>
  <c r="D34" i="5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E9" i="3" a="1"/>
  <c r="E22" i="3" a="1"/>
  <c r="D40" i="5" a="1"/>
  <c r="D30" i="5" a="1"/>
  <c r="D35" i="5" a="1"/>
  <c r="D25" i="5" a="1"/>
  <c r="D35" i="5" l="1"/>
  <c r="D30" i="5"/>
  <c r="D40" i="5"/>
  <c r="D25" i="5"/>
  <c r="E22" i="3"/>
  <c r="E11" i="4"/>
  <c r="F12" i="4"/>
  <c r="G12" i="4" s="1"/>
  <c r="E9" i="3"/>
  <c r="E13" i="1"/>
  <c r="E23" i="3" a="1"/>
  <c r="E10" i="3" a="1"/>
  <c r="E23" i="3" l="1"/>
  <c r="F13" i="4"/>
  <c r="G13" i="4" s="1"/>
  <c r="E12" i="4"/>
  <c r="E10" i="3"/>
  <c r="F1" i="1" a="1"/>
  <c r="E11" i="3" a="1"/>
  <c r="E24" i="3" a="1"/>
  <c r="F1" i="1" l="1"/>
  <c r="E24" i="3"/>
  <c r="E13" i="4"/>
  <c r="F14" i="4"/>
  <c r="G14" i="4" s="1"/>
  <c r="E14" i="4" s="1"/>
  <c r="E11" i="3"/>
  <c r="E12" i="3" a="1"/>
  <c r="E25" i="3" a="1"/>
  <c r="M6" i="1" a="1"/>
  <c r="AS21" i="1" l="1"/>
  <c r="AR21" i="1"/>
  <c r="AS19" i="1"/>
  <c r="AS20" i="1"/>
  <c r="AR20" i="1"/>
  <c r="AR19" i="1"/>
  <c r="E25" i="3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F1" i="4" a="1"/>
  <c r="E13" i="3" a="1"/>
  <c r="E26" i="3" a="1"/>
  <c r="F1" i="4" l="1"/>
  <c r="C7" i="1"/>
  <c r="AK20" i="1"/>
  <c r="E26" i="3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M6" i="4" a="1"/>
  <c r="E14" i="3" a="1"/>
  <c r="E27" i="3" a="1"/>
  <c r="AR47" i="1" l="1"/>
  <c r="AS50" i="1"/>
  <c r="AR54" i="1"/>
  <c r="AS53" i="1"/>
  <c r="AR53" i="1"/>
  <c r="AS56" i="1"/>
  <c r="AR60" i="1"/>
  <c r="AS59" i="1"/>
  <c r="AR30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AK29" i="1"/>
  <c r="E27" i="3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E14" i="3"/>
  <c r="AL29" i="1"/>
  <c r="AM30" i="1"/>
  <c r="AP30" i="1"/>
  <c r="AM29" i="1"/>
  <c r="AN29" i="1"/>
  <c r="AO30" i="1"/>
  <c r="AP29" i="1"/>
  <c r="AN30" i="1"/>
  <c r="AL30" i="1"/>
  <c r="AO29" i="1"/>
  <c r="AK30" i="1"/>
  <c r="E28" i="3" a="1"/>
  <c r="E15" i="3" a="1"/>
  <c r="C8" i="1" l="1"/>
  <c r="E28" i="3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E20" i="4"/>
  <c r="AF26" i="4"/>
  <c r="AJ22" i="4"/>
  <c r="AB19" i="4"/>
  <c r="AA19" i="4"/>
  <c r="E15" i="3"/>
  <c r="C6" i="1"/>
  <c r="AI40" i="4" l="1"/>
  <c r="AG39" i="4"/>
  <c r="AF40" i="4"/>
  <c r="AI39" i="4"/>
  <c r="AJ40" i="4"/>
  <c r="AH39" i="4"/>
  <c r="AH40" i="4"/>
  <c r="AF39" i="4"/>
  <c r="AG40" i="4"/>
  <c r="AE40" i="4"/>
  <c r="AJ39" i="4"/>
  <c r="AE39" i="4"/>
  <c r="AE43" i="4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AE34" i="4"/>
  <c r="C3" i="4"/>
  <c r="AI30" i="4"/>
  <c r="AH30" i="4"/>
  <c r="AG30" i="4"/>
  <c r="AJ29" i="4"/>
  <c r="AF30" i="4"/>
  <c r="AI29" i="4"/>
  <c r="AE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<sst xmlns="http://schemas.openxmlformats.org/spreadsheetml/2006/main" count="477" uniqueCount="156">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</sst>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a08b1d2ff5c46809145022081529de7">
      <tp>
        <v>2</v>
        <stp/>
        <stp>e8143e32-03fe-47c2-a6e5-5a6b4459aa90</stp>
        <tr r="G37" s="4"/>
      </tp>
      <tp>
        <v>1</v>
        <stp/>
        <stp>e6d8b9e9-55cb-4830-922b-110280da87d1</stp>
        <tr r="E19" s="3"/>
      </tp>
      <tp>
        <v>2</v>
        <stp/>
        <stp>12e45d39-819b-436e-9850-bfbb72a8ad7e</stp>
        <tr r="C10" s="6"/>
      </tp>
      <tp>
        <v>2</v>
        <stp/>
        <stp>074ec67c-7a6f-484f-a955-484847508e3f</stp>
        <tr r="G53" s="1"/>
      </tp>
      <tp>
        <v>1</v>
        <stp/>
        <stp>a51db2e5-010a-41a9-9ef7-041d8660ffe4</stp>
        <tr r="G19" s="4"/>
      </tp>
      <tp>
        <v>2</v>
        <stp/>
        <stp>ca7250e4-d009-48e0-afa3-28db62652bfc</stp>
        <tr r="G32" s="4"/>
      </tp>
      <tp>
        <v>-2</v>
        <stp/>
        <stp>98f2802e-2ae4-427c-8533-7d53835f202b</stp>
        <tr r="D29" s="5"/>
      </tp>
      <tp>
        <v>2</v>
        <stp/>
        <stp>f8c0eda4-5c97-4355-a8b0-edf603162d9d</stp>
        <tr r="G43" s="1"/>
      </tp>
      <tp>
        <v>2</v>
        <stp/>
        <stp>371af1e9-6d4a-4d69-b3d0-375bce50028f</stp>
        <tr r="G24" s="1"/>
      </tp>
      <tp>
        <v>2</v>
        <stp/>
        <stp>b0d28dc5-0208-4fe9-8df1-d261d2aac62e</stp>
        <tr r="G20" s="1"/>
      </tp>
      <tp>
        <v>2</v>
        <stp/>
        <stp>db4c1b79-6c5d-4faf-8d35-f26d2bc97951</stp>
        <tr r="G49" s="1"/>
      </tp>
      <tp>
        <v>2</v>
        <stp/>
        <stp>3d4d35d9-c4a3-4f30-ad7f-589a35234282</stp>
        <tr r="G35" s="1"/>
      </tp>
      <tp>
        <v>2</v>
        <stp/>
        <stp>7c581064-819c-46f7-b8b9-242e676d6723</stp>
        <tr r="G31" s="1"/>
      </tp>
      <tp>
        <v>2</v>
        <stp/>
        <stp>b06628af-ebdb-4453-acb1-47be4b8edcff</stp>
        <tr r="G43" s="4"/>
      </tp>
      <tp>
        <v>2</v>
        <stp/>
        <stp>9bb3cdb0-48e8-40b2-bbc7-a67cafd5b9e0</stp>
        <tr r="G56" s="4"/>
      </tp>
      <tp>
        <v>2</v>
        <stp/>
        <stp>493405bb-7d94-47f1-bfa0-40d1910dbaa2</stp>
        <tr r="B2" s="6"/>
      </tp>
      <tp>
        <v>2</v>
        <stp/>
        <stp>8539e0f8-932e-40dd-b108-c5483b54b4e5</stp>
        <tr r="G44" s="4"/>
      </tp>
      <tp>
        <v>2</v>
        <stp/>
        <stp>4b599e66-b24a-427b-9a9d-07d6b07452a3</stp>
        <tr r="G23" s="4"/>
      </tp>
      <tp>
        <v>2</v>
        <stp/>
        <stp>cd3a90b1-225f-41c6-b292-f00eb3967a76</stp>
        <tr r="G38" s="1"/>
      </tp>
      <tp>
        <v>1</v>
        <stp/>
        <stp>2ef18523-0c8f-4ec7-8709-2e5300c1991e</stp>
        <tr r="I19" s="1"/>
      </tp>
      <tp>
        <v>2</v>
        <stp/>
        <stp>4a85a46c-8f6d-48df-b93a-c474467c21b7</stp>
        <tr r="G55" s="4"/>
      </tp>
      <tp>
        <v>2</v>
        <stp/>
        <stp>d9b1be53-5cfd-41fa-9c58-2a444a80e508</stp>
        <tr r="G53" s="4"/>
      </tp>
      <tp>
        <v>2</v>
        <stp/>
        <stp>2c2726af-70f7-4c81-a8af-885b2a5cfb72</stp>
        <tr r="G48" s="1"/>
      </tp>
      <tp>
        <v>2</v>
        <stp/>
        <stp>c6676a53-a7d8-4832-837f-6f4cbef2a932</stp>
        <tr r="G38" s="4"/>
      </tp>
      <tp>
        <v>2</v>
        <stp/>
        <stp>c3e1b8a6-77c2-4907-bc45-20ce07f4b1d9</stp>
        <tr r="G29" s="4"/>
      </tp>
      <tp>
        <v>2</v>
        <stp/>
        <stp>1a609632-9faa-4452-9126-a1d8d7fdda9f</stp>
        <tr r="G41" s="4"/>
      </tp>
      <tp>
        <v>2</v>
        <stp/>
        <stp>de1a8370-fc83-478b-91f2-661302f6d600</stp>
        <tr r="F6" s="4"/>
      </tp>
      <tp>
        <v>2</v>
        <stp/>
        <stp>3c36f906-7fe0-41d1-952d-44f3ee71f94b</stp>
        <tr r="F1" s="4"/>
      </tp>
      <tp>
        <v>2</v>
        <stp/>
        <stp>226383d2-48c5-41e2-876d-823ac2d7b76b</stp>
        <tr r="G34" s="4"/>
      </tp>
      <tp>
        <v>2</v>
        <stp/>
        <stp>92ef7f94-194f-4afe-9c6f-53af5aa12c50</stp>
        <tr r="G54" s="1"/>
      </tp>
      <tp>
        <v>2</v>
        <stp/>
        <stp>ce84d494-da2a-4513-9d72-5ce0362afcc0</stp>
        <tr r="G20" s="4"/>
      </tp>
      <tp>
        <v>2</v>
        <stp/>
        <stp>8b82d4d4-392f-4c6a-b074-7fa0d6b56d58</stp>
        <tr r="G57" s="4"/>
      </tp>
      <tp>
        <v>2</v>
        <stp/>
        <stp>180f78e2-59dd-4b9c-b389-16c968fa3db5</stp>
        <tr r="G28" s="1"/>
      </tp>
      <tp>
        <v>2</v>
        <stp/>
        <stp>9054656c-9f42-4fde-8080-3f6226f0e56c</stp>
        <tr r="G46" s="1"/>
      </tp>
      <tp>
        <v>1</v>
        <stp/>
        <stp>555e4e0a-a860-4a34-b688-f9aa73ba4350</stp>
        <tr r="I42" s="4"/>
      </tp>
      <tp>
        <v>2</v>
        <stp/>
        <stp>b614b0ea-3c3c-4439-af12-e6aa267fc973</stp>
        <tr r="D19" s="5"/>
      </tp>
      <tp>
        <v>2</v>
        <stp/>
        <stp>eb48df5a-3613-4a93-8c3c-c21a72744358</stp>
        <tr r="G19" s="1"/>
      </tp>
      <tp>
        <v>2</v>
        <stp/>
        <stp>099dfb11-1aee-4f8b-8847-e8a5cf5eafeb</stp>
        <tr r="G49" s="4"/>
      </tp>
      <tp>
        <v>1</v>
        <stp/>
        <stp>0071adda-271f-4b12-9363-1f8e31e1b099</stp>
        <tr r="G21" s="4"/>
      </tp>
      <tp>
        <v>1</v>
        <stp/>
        <stp>a194f64d-5861-484f-968b-d992939a9c29</stp>
        <tr r="I32" s="4"/>
        <tr r="I19" s="4"/>
      </tp>
      <tp>
        <v>2</v>
        <stp/>
        <stp>156e1d58-b6a1-479a-9f5d-1b02026d9274</stp>
        <tr r="G33" s="1"/>
      </tp>
      <tp>
        <v>2</v>
        <stp/>
        <stp>3afa6ceb-6ec4-4821-9c2d-dc08d4d87e74</stp>
        <tr r="G52" s="1"/>
      </tp>
      <tp>
        <v>2</v>
        <stp/>
        <stp>f7f55f4d-2935-4947-9cbf-6eb19c5ab58f</stp>
        <tr r="G35" s="4"/>
      </tp>
      <tp>
        <v>2</v>
        <stp/>
        <stp>cc35853f-3eb0-40ed-821e-c208e1fc6693</stp>
        <tr r="G24" s="4"/>
      </tp>
      <tp>
        <v>2</v>
        <stp/>
        <stp>77b08bf9-003a-4fa7-a813-0ec265d9d15f</stp>
        <tr r="G31" s="4"/>
      </tp>
      <tp>
        <v>26</v>
        <stp/>
        <stp>cf61d1aa-f082-44b9-9594-402b85cde774</stp>
        <tr r="E20" s="3"/>
      </tp>
    </main>
    <main first="rtdsrv.aa08b1d2ff5c46809145022081529de7">
      <tp>
        <v>2</v>
        <stp/>
        <stp>83dd31bd-8509-4f76-8b0d-441522f42939</stp>
        <tr r="G36" s="1"/>
      </tp>
      <tp>
        <v>2</v>
        <stp/>
        <stp>530cb074-ce1e-4bc3-81bd-0312190ad891</stp>
        <tr r="G42" s="1"/>
      </tp>
      <tp>
        <v>2</v>
        <stp/>
        <stp>75561398-b236-4364-bb43-71699d97d295</stp>
        <tr r="D39" s="5"/>
      </tp>
    </main>
    <main first="rtdsrv.aa08b1d2ff5c46809145022081529de7">
      <tp>
        <v>2</v>
        <stp/>
        <stp>a419a265-b68b-4a27-88a8-d1f5ce297fde</stp>
        <tr r="G29" s="1"/>
      </tp>
      <tp>
        <v>2</v>
        <stp/>
        <stp>8f2555f8-9b1a-4c20-8307-68d76ef12798</stp>
        <tr r="G52" s="4"/>
      </tp>
      <tp>
        <v>2</v>
        <stp/>
        <stp>45dd7c5a-0fc8-4ed6-b921-e627ff14e2a5</stp>
        <tr r="G39" s="4"/>
      </tp>
      <tp>
        <v>2</v>
        <stp/>
        <stp>6641af11-2f01-4203-b47f-6da02c167a29</stp>
        <tr r="D29" s="5"/>
      </tp>
    </main>
    <main first="rtdsrv.aa08b1d2ff5c46809145022081529de7">
      <tp>
        <v>1</v>
        <stp/>
        <stp>b6dc4b6f-6383-4580-8909-74e74b6484e9</stp>
        <tr r="I38" s="4"/>
      </tp>
      <tp>
        <v>2</v>
        <stp/>
        <stp>263ba09b-b177-49f5-b976-8e7be71764ca</stp>
        <tr r="G33" s="4"/>
      </tp>
      <tp>
        <v>2</v>
        <stp/>
        <stp>923c691d-512f-48e9-9564-072b1b625e9f</stp>
        <tr r="G48" s="4"/>
      </tp>
      <tp>
        <v>2</v>
        <stp/>
        <stp>b44bd101-55d2-4392-9961-1607a05a03a4</stp>
        <tr r="F1" s="1"/>
      </tp>
    </main>
    <main first="rtdsrv.aa08b1d2ff5c46809145022081529de7">
      <tp>
        <v>2</v>
        <stp/>
        <stp>43eff3a8-b24c-4105-88f2-794387df2afd</stp>
        <tr r="G32" s="1"/>
      </tp>
      <tp>
        <v>2</v>
        <stp/>
        <stp>8aa3205d-2f97-47af-a241-096cda42472d</stp>
        <tr r="G26" s="1"/>
      </tp>
      <tp>
        <v>31</v>
        <stp/>
        <stp>89c49e32-c9cc-4402-9fa4-c8a61373c97b</stp>
        <tr r="E7" s="3"/>
      </tp>
      <tp>
        <v>2</v>
        <stp/>
        <stp>dc179bc6-2936-4b13-ae26-182956011b95</stp>
        <tr r="G23" s="1"/>
      </tp>
      <tp>
        <v>2</v>
        <stp/>
        <stp>aedd8450-70f6-4c0b-9394-674502b17fa4</stp>
        <tr r="G47" s="4"/>
      </tp>
      <tp>
        <v>2</v>
        <stp/>
        <stp>a9f044b4-6782-4c7a-9fd7-6a0d8a115a6e</stp>
        <tr r="G56" s="1"/>
      </tp>
      <tp>
        <v>2</v>
        <stp/>
        <stp>a8cdd888-d59a-41a3-8a80-5ae3b0cd0aa8</stp>
        <tr r="G51" s="4"/>
      </tp>
      <tp>
        <v>2</v>
        <stp/>
        <stp>8378cfdb-9a59-4761-9d61-f31f40098781</stp>
        <tr r="G26" s="4"/>
      </tp>
      <tp>
        <v>2</v>
        <stp/>
        <stp>6d08afff-aa8d-4f48-8bfa-2e08705094bf</stp>
        <tr r="I33" s="4"/>
      </tp>
      <tp>
        <v>2</v>
        <stp/>
        <stp>f516e59c-9494-4185-a512-a4208de391aa</stp>
        <tr r="G30" s="4"/>
      </tp>
      <tp>
        <v>2</v>
        <stp/>
        <stp>a4f6216f-a8c3-43d4-a41a-9c05ef9288ed</stp>
        <tr r="D34" s="5"/>
      </tp>
      <tp>
        <v>2</v>
        <stp/>
        <stp>8d81558e-7b0e-4053-b81a-e103d97330b1</stp>
        <tr r="E4" s="3"/>
      </tp>
      <tp>
        <v>2</v>
        <stp/>
        <stp>baeebb3d-5109-4459-80a8-17ffe1e9d455</stp>
        <tr r="D49" s="5"/>
      </tp>
      <tp>
        <v>2</v>
        <stp/>
        <stp>5f7559f5-cf95-458a-bcda-edc364e254f8</stp>
        <tr r="G40" s="4"/>
      </tp>
      <tp>
        <v>2</v>
        <stp/>
        <stp>c425b07e-a427-43d2-828d-703202ccf040</stp>
        <tr r="G40" s="1"/>
      </tp>
      <tp>
        <v>1</v>
        <stp/>
        <stp>9da164f1-0c4d-4e21-a8a5-69e5568c9e81</stp>
        <tr r="I28" s="1"/>
      </tp>
      <tp>
        <v>2</v>
        <stp/>
        <stp>7721b1a0-34d6-4ce9-a9e3-3e711a8877a0</stp>
        <tr r="G22" s="4"/>
      </tp>
      <tp>
        <v>2</v>
        <stp/>
        <stp>eea0c61e-0281-4df7-a683-3ed355f49f37</stp>
        <tr r="H5" s="5"/>
      </tp>
      <tp>
        <v>2</v>
        <stp/>
        <stp>d0d55ec4-015f-4c3f-be59-47f6db7bd95c</stp>
        <tr r="G28" s="4"/>
      </tp>
      <tp>
        <v>2</v>
        <stp/>
        <stp>5e0c389d-718a-472f-bab5-ebb44c4ed4ba</stp>
        <tr r="G37" s="1"/>
      </tp>
      <tp>
        <v>2</v>
        <stp/>
        <stp>3dd0c66d-013c-4fed-bc45-aebdc54eb9d7</stp>
        <tr r="E17" s="3"/>
      </tp>
      <tp>
        <v>2</v>
        <stp/>
        <stp>0c84ebfe-6dea-4bc1-9389-a5be12832b73</stp>
        <tr r="C2" s="2"/>
      </tp>
      <tp>
        <v>2</v>
        <stp/>
        <stp>3b9ef3f0-8126-40ca-ae40-96e83db3b537</stp>
        <tr r="G45" s="1"/>
      </tp>
      <tp>
        <v>2</v>
        <stp/>
        <stp>a05c9441-8985-4012-8e17-67d10d4fa425</stp>
        <tr r="G51" s="1"/>
      </tp>
      <tp>
        <v>2</v>
        <stp/>
        <stp>dbac79e7-c92c-4467-8c96-2a2919bb87b0</stp>
        <tr r="G30" s="1"/>
      </tp>
      <tp>
        <v>2</v>
        <stp/>
        <stp>4115c82d-8e6a-4727-a274-b9cd0b961325</stp>
        <tr r="P19" s="1"/>
      </tp>
      <tp>
        <v>2</v>
        <stp/>
        <stp>19d4974f-3033-44ff-b01e-87afca433e57</stp>
        <tr r="C6" s="6"/>
      </tp>
      <tp>
        <v>2</v>
        <stp/>
        <stp>f88310d8-6c87-4268-b397-2047bdd2b299</stp>
        <tr r="G27" s="4"/>
      </tp>
      <tp>
        <v>2</v>
        <stp/>
        <stp>a3ca4bd1-7edf-469e-bfe4-bcaf37068d3a</stp>
        <tr r="G50" s="4"/>
      </tp>
      <tp>
        <v>2</v>
        <stp/>
        <stp>4e2dd559-b75a-418d-ba7a-2bc6c30efffb</stp>
        <tr r="G55" s="1"/>
      </tp>
      <tp>
        <v>2</v>
        <stp/>
        <stp>03b5113f-1eae-4f2a-b418-a4ce5dc8bd08</stp>
        <tr r="G39" s="1"/>
      </tp>
      <tp>
        <v>2</v>
        <stp/>
        <stp>bc6ee314-0d04-410f-9906-5a1a768136c5</stp>
        <tr r="G47" s="1"/>
      </tp>
      <tp>
        <v>2</v>
        <stp/>
        <stp>2c8f7750-ca7e-47de-bdc7-c6bfef0996d4</stp>
        <tr r="G45" s="4"/>
      </tp>
      <tp>
        <v>1</v>
        <stp/>
        <stp>69000ac0-4715-4d14-8dc8-c9e184cb7a28</stp>
        <tr r="I28" s="4"/>
      </tp>
      <tp>
        <v>2</v>
        <stp/>
        <stp>1f27359c-21a9-4911-9c43-12765f772d4c</stp>
        <tr r="G27" s="1"/>
      </tp>
      <tp>
        <v>2</v>
        <stp/>
        <stp>485f4d6f-e7c9-4980-99f9-4a336b57880e</stp>
        <tr r="E6" s="3"/>
      </tp>
      <tp>
        <v>2</v>
        <stp/>
        <stp>2fdfaf1d-8f5c-4e14-a050-a4e37850ea5e</stp>
        <tr r="P29" s="1"/>
      </tp>
      <tp>
        <v>2</v>
        <stp/>
        <stp>fbaa0eef-cdcd-4880-b574-ad738f63754a</stp>
        <tr r="G57" s="1"/>
      </tp>
      <tp>
        <v>2</v>
        <stp/>
        <stp>9f79fe75-b53a-4ead-88bf-325f43848264</stp>
        <tr r="G50" s="1"/>
      </tp>
      <tp>
        <v>2</v>
        <stp/>
        <stp>3c0bd018-b75f-4040-8358-76cc9fae0110</stp>
        <tr r="G41" s="1"/>
      </tp>
      <tp>
        <v>2</v>
        <stp/>
        <stp>477fa68b-57b9-4d32-bf68-5824895f3d98</stp>
        <tr r="G21" s="1"/>
      </tp>
      <tp>
        <v>2</v>
        <stp/>
        <stp>8dd04292-5533-4322-8635-fd420c06a0f3</stp>
        <tr r="D14" s="5"/>
      </tp>
      <tp>
        <v>2</v>
        <stp/>
        <stp>b082e363-1771-4725-be10-1311ea21015a</stp>
        <tr r="G36" s="4"/>
      </tp>
      <tp>
        <v>2</v>
        <stp/>
        <stp>875d16f7-1f24-4b13-9408-8bc1bb964f98</stp>
        <tr r="D24" s="5"/>
      </tp>
      <tp>
        <v>2</v>
        <stp/>
        <stp>618274e9-c150-4ee7-acb4-e0fb44793e44</stp>
        <tr r="G46" s="4"/>
      </tp>
      <tp>
        <v>2</v>
        <stp/>
        <stp>1c5948f5-f227-40ea-aabc-b9b7d03c5e20</stp>
        <tr r="F6" s="1"/>
      </tp>
      <tp>
        <v>2</v>
        <stp/>
        <stp>413330e5-81b5-4b69-b5f8-7b28f4ce4baa</stp>
        <tr r="G54" s="4"/>
      </tp>
      <tp>
        <v>2</v>
        <stp/>
        <stp>3ae77667-b95d-4301-8c37-c23452555ddc</stp>
        <tr r="D44" s="5"/>
      </tp>
      <tp>
        <v>2</v>
        <stp/>
        <stp>bf730fb5-f802-4e4e-b711-856ee63deb41</stp>
        <tr r="G44" s="1"/>
      </tp>
      <tp>
        <v>2</v>
        <stp/>
        <stp>f09c94e2-5c58-4554-bfda-5fa6c5d1dbbf</stp>
        <tr r="B5" s="5"/>
      </tp>
      <tp>
        <v>2</v>
        <stp/>
        <stp>ac1e3d7e-b56a-484f-8dfc-9be19295de75</stp>
        <tr r="G42" s="4"/>
      </tp>
      <tp>
        <v>2</v>
        <stp/>
        <stp>17ebe97e-10fd-4a31-8d01-8a8ba6193920</stp>
        <tr r="G34" s="1"/>
      </tp>
      <tp>
        <v>2</v>
        <stp/>
        <stp>d837264e-d86c-43e8-9d38-3513c2e087fd</stp>
        <tr r="G25" s="4"/>
      </tp>
      <tp>
        <v>2</v>
        <stp/>
        <stp>12adee35-d2da-43d8-8501-9b44496bf1a7</stp>
        <tr r="G22" s="1"/>
      </tp>
    </main>
    <main first="rtdsrv.aa08b1d2ff5c46809145022081529de7">
      <tp>
        <v>2</v>
        <stp/>
        <stp>9b2002b5-d162-437f-b245-e0f427d9f016</stp>
        <tr r="G2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_xll.ExLibris.Json.CreateJsonObjectAsync(E3:F6)</f>
        <v>JsonObject:EA163C52-1ACB-432B-B5B3-38C0CCB1E622</v>
      </c>
      <c r="K1" t="str">
        <f>EXLIBRIS_CONFIGURATION</f>
        <v>ExLibris.Core.ExLibrisConfiguration:86AA61F5-D525-4554-B227-60BA360FCC39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_xll.ExLibris.Json.CreateJsonArrayAsync(E8:J14)</f>
        <v>JsonObject:E568D397-C524-40BF-BC6E-C10B57198352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JsonObject:4FA3B132-7F85-4258-98BC-F34B023D7A5A</v>
      </c>
      <c r="P19" t="str" cm="1">
        <f t="array" ref="P19:Q27">_xll.ExLibris.Json.GetJsonKeyValuesAsync(F1,,3)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JsonObject:D66BEABE-53BF-416B-9AD1-C318497A1779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JsonObject:6D1ED726-89D4-4B3F-8526-7A2EC6E0B48D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JsonObject:45E60BBD-6519-4DDD-8E75-E6067043A57A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JsonObject:1138CF9C-8BE9-4C90-9A6D-491AABA9E4C3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JsonObject:A94027AC-C188-49B8-96BE-1F6B88E630D2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JsonObject:770B97C4-4FF1-4A37-8E09-0875ACC4D1F8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JsonObject:F7539550-8047-42A9-8E70-958331E760E3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_xll.ExLibris.Json.CreateJsonObjectAsync(P22:Q27)</f>
        <v>JsonObject:014B6270-F574-44A7-9066-31DD33FC4262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_xll.ExLibris.Json.GetJsonValueAsync($F$1,E32)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_xll.ExLibris.Json.GetJsonValueAsync($F$1,E38)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_xll.ExLibris.Json.CreateJsonObjectAsync(E3:F6, EXLIBRIS_CONFIGURATION)</f>
        <v>JsonObject:682A9FAF-9D0C-46B6-8B9F-2710772E2844</v>
      </c>
      <c r="K1" t="str">
        <f>EXLIBRIS_CONFIGURATION</f>
        <v>ExLibris.Core.ExLibrisConfiguration:86AA61F5-D525-4554-B227-60BA360FCC39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_xll.ExLibris.Json.CreateJsonArrayAsync(E8:J14, EXLIBRIS_CONFIGURATION)</f>
        <v>JsonObject:A721A490-F6EE-48B3-9992-3F83DEC86CDD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_xll.ExLibris.Json.GetJsonKeyValuesAsync(F1,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JsonObject:26DCA17B-9BD7-44AF-93F9-3EBC202DFCA8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JsonObject:9C48CB99-0721-4E25-80E9-2048033150D0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JsonObject:26DCA17B-9BD7-44AF-93F9-3EBC202DFCA8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_xll.ExLibris.Json.SeachJsonArrayElementsAsync(I32,I8,I11,EXLIBRIS_CONFIGURATION)</f>
        <v>JsonObject:82BD96FA-74C0-419C-A859-A8E4E68F303E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_xll.ExLibris.Json.SeachJsonArrayElementsAsync(I32,J8,J11,EXLIBRIS_CONFIGURATION)</f>
        <v>JsonObject:F9F78018-F5BC-4BF6-A8F1-8CD7BBC9BF7F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_xll.ExLibris.Json.SeachJsonArrayElementsAsync(I32,J8,,EXLIBRIS_CONFIGURATION)</f>
        <v>JsonObject:FAC972C9-50DE-490E-9697-090B67CAD5E8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_xll.ExLibris.Json.GetJsonValueAsync($F$1,E44,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_xll.ExLibris.Json.GetJsonValueAsync($F$1,E50,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_xll.ExLibris.Json.GetJsonValueAsync($F$1,E56,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_xll.ExLibris.LoadConfigurationAsync(B6:C15)</f>
        <v>ExLibris.Core.ExLibrisConfiguration:86AA61F5-D525-4554-B227-60BA360FCC39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_xll.ExLibris.WebSockets.OpenWebSocketAsync("ws://localhost:10101",,D4)</f>
        <v>ExLibris.Core.WebSockets.WebsocketClient:F4AAD1F9-A4C5-4D4F-8DDE-8709EE0442A3</v>
      </c>
    </row>
    <row r="6" spans="2:5" x14ac:dyDescent="0.4">
      <c r="D6" t="s">
        <v>101</v>
      </c>
      <c r="E6" t="str" cm="1">
        <f t="array" ref="E6">_xll.ExLibris.WebSockets.ObserveWebSocketStatus(E4,1000)</f>
        <v>Open</v>
      </c>
    </row>
    <row r="7" spans="2:5" x14ac:dyDescent="0.4">
      <c r="D7" t="s">
        <v>102</v>
      </c>
      <c r="E7" t="str" cm="1">
        <f t="array" ref="E7">_xll.ExLibris.WebSockets.ObserveWebSocketMessage(E4)</f>
        <v>message_2021-09-27T23:26:34.0414619+09:00</v>
      </c>
    </row>
    <row r="9" spans="2:5" x14ac:dyDescent="0.4">
      <c r="D9" t="s">
        <v>103</v>
      </c>
      <c r="E9" t="str" cm="1">
        <f t="array" ref="E9">_xll.ExLibris.WebSockets.SendWebSocketMessage(E4,"test "&amp;D9,E6="Open")</f>
        <v>message sent : 2021-09-27T11:25:36.966</v>
      </c>
    </row>
    <row r="10" spans="2:5" x14ac:dyDescent="0.4">
      <c r="D10" t="s">
        <v>104</v>
      </c>
      <c r="E10" t="str" cm="1">
        <f t="array" ref="E10">_xll.ExLibris.WebSockets.SendWebSocketMessage($E$4,"test next "&amp;D10,E9)</f>
        <v>message sent : 2021-09-27T11:25:37.002</v>
      </c>
    </row>
    <row r="11" spans="2:5" x14ac:dyDescent="0.4">
      <c r="D11" t="s">
        <v>105</v>
      </c>
      <c r="E11" t="str" cm="1">
        <f t="array" ref="E11">_xll.ExLibris.WebSockets.SendWebSocketMessage($E$4,"test next "&amp;D11,E10)</f>
        <v>message sent : 2021-09-27T11:25:37.002</v>
      </c>
    </row>
    <row r="12" spans="2:5" x14ac:dyDescent="0.4">
      <c r="D12" t="s">
        <v>106</v>
      </c>
      <c r="E12" t="str" cm="1">
        <f t="array" ref="E12">_xll.ExLibris.WebSockets.SendWebSocketMessage($E$4,"test next "&amp;D12,E11)</f>
        <v>message sent : 2021-09-27T11:25:37.026</v>
      </c>
    </row>
    <row r="13" spans="2:5" x14ac:dyDescent="0.4">
      <c r="D13" t="s">
        <v>107</v>
      </c>
      <c r="E13" t="str" cm="1">
        <f t="array" ref="E13">_xll.ExLibris.WebSockets.SendWebSocketMessage($E$4,"test next "&amp;D13,E12)</f>
        <v>message sent : 2021-09-27T11:25:37.041</v>
      </c>
    </row>
    <row r="14" spans="2:5" x14ac:dyDescent="0.4">
      <c r="D14" t="s">
        <v>108</v>
      </c>
      <c r="E14" t="str" cm="1">
        <f t="array" ref="E14">_xll.ExLibris.WebSockets.SendWebSocketMessage($E$4,"test next "&amp;D14,E13)</f>
        <v>message sent : 2021-09-27T11:25:37.056</v>
      </c>
    </row>
    <row r="15" spans="2:5" x14ac:dyDescent="0.4">
      <c r="D15" t="s">
        <v>109</v>
      </c>
      <c r="E15" t="str" cm="1">
        <f t="array" ref="E15">_xll.ExLibris.WebSockets.SendWebSocketMessage($E$4,"test next "&amp;D15,E14)</f>
        <v>message sent : 2021-09-27T11:25:37.085</v>
      </c>
    </row>
    <row r="17" spans="4:5" x14ac:dyDescent="0.4">
      <c r="D17" t="s">
        <v>112</v>
      </c>
      <c r="E17" t="str" cm="1">
        <f t="array" ref="E17">_xll.ExLibris.WebSockets.OpenWebSocketAsync("ws://localhost:10101",,D17)</f>
        <v>ExLibris.Core.WebSockets.WebsocketClient:580DD6E8-FEA4-4656-A92A-AFE7A4F418B3</v>
      </c>
    </row>
    <row r="19" spans="4:5" x14ac:dyDescent="0.4">
      <c r="D19" t="s">
        <v>101</v>
      </c>
      <c r="E19" t="str" cm="1">
        <f t="array" ref="E19">_xll.ExLibris.WebSockets.ObserveWebSocketStatus(E17,1000)</f>
        <v>Open</v>
      </c>
    </row>
    <row r="20" spans="4:5" x14ac:dyDescent="0.4">
      <c r="D20" t="s">
        <v>102</v>
      </c>
      <c r="E20" t="str" cm="1">
        <f t="array" ref="E20">_xll.ExLibris.WebSockets.ObserveWebSocketMessage(E17)</f>
        <v>message_2021-09-27T23:26:34.0414619+09:00</v>
      </c>
    </row>
    <row r="22" spans="4:5" x14ac:dyDescent="0.4">
      <c r="D22" t="s">
        <v>103</v>
      </c>
      <c r="E22" t="str" cm="1">
        <f t="array" ref="E22">_xll.ExLibris.WebSockets.SendWebSocketMessage(E17,"test "&amp;D22,E19="Open")</f>
        <v>message sent : 2021-09-27T11:25:46.736</v>
      </c>
    </row>
    <row r="23" spans="4:5" x14ac:dyDescent="0.4">
      <c r="D23" t="s">
        <v>104</v>
      </c>
      <c r="E23" t="str" cm="1">
        <f t="array" ref="E23">_xll.ExLibris.WebSockets.SendWebSocketMessage($E$4,"test next "&amp;D23,E22)</f>
        <v>message sent : 2021-09-27T11:25:46.737</v>
      </c>
    </row>
    <row r="24" spans="4:5" x14ac:dyDescent="0.4">
      <c r="D24" t="s">
        <v>105</v>
      </c>
      <c r="E24" t="str" cm="1">
        <f t="array" ref="E24">_xll.ExLibris.WebSockets.SendWebSocketMessage($E$4,"test next "&amp;D24,E23)</f>
        <v>message sent : 2021-09-27T11:25:46.737</v>
      </c>
    </row>
    <row r="25" spans="4:5" x14ac:dyDescent="0.4">
      <c r="D25" t="s">
        <v>106</v>
      </c>
      <c r="E25" t="str" cm="1">
        <f t="array" ref="E25">_xll.ExLibris.WebSockets.SendWebSocketMessage($E$4,"test next "&amp;D25,E24)</f>
        <v>message sent : 2021-09-27T11:25:46.737</v>
      </c>
    </row>
    <row r="26" spans="4:5" x14ac:dyDescent="0.4">
      <c r="D26" t="s">
        <v>107</v>
      </c>
      <c r="E26" t="str" cm="1">
        <f t="array" ref="E26">_xll.ExLibris.WebSockets.SendWebSocketMessage($E$4,"test next "&amp;D26,E25)</f>
        <v>message sent : 2021-09-27T11:25:46.737</v>
      </c>
    </row>
    <row r="27" spans="4:5" x14ac:dyDescent="0.4">
      <c r="D27" t="s">
        <v>108</v>
      </c>
      <c r="E27" t="str" cm="1">
        <f t="array" ref="E27">_xll.ExLibris.WebSockets.SendWebSocketMessage($E$4,"test next "&amp;D27,E26)</f>
        <v>message sent : 2021-09-27T11:25:46.737</v>
      </c>
    </row>
    <row r="28" spans="4:5" x14ac:dyDescent="0.4">
      <c r="D28" t="s">
        <v>109</v>
      </c>
      <c r="E28" t="str" cm="1">
        <f t="array" ref="E28">_xll.ExLibris.WebSockets.SendWebSocketMessage($E$4,"test next "&amp;D28,E27)</f>
        <v>message sent : 2021-09-27T11:25:46.737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I51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9" x14ac:dyDescent="0.4">
      <c r="B2" t="s">
        <v>120</v>
      </c>
      <c r="C2" s="7" t="s">
        <v>126</v>
      </c>
      <c r="E2" t="s">
        <v>128</v>
      </c>
    </row>
    <row r="3" spans="2:9" x14ac:dyDescent="0.4">
      <c r="C3" t="s">
        <v>125</v>
      </c>
    </row>
    <row r="5" spans="2:9" x14ac:dyDescent="0.4">
      <c r="B5" t="str" cm="1">
        <f t="array" ref="B5">_xll.ExLibris.WebAPIs.CreateHeadersAsync(B6:C10)</f>
        <v>ExLibris.Core.WebAPIs.WebAPIHeaders:5B95BFFB-3FE0-4CE3-9C4A-0F8019AEE3EF</v>
      </c>
      <c r="H5" t="str" cm="1">
        <f t="array" ref="H5">_xll.ExLibris.Json.CreateJsonObjectAsync(H6:I11)</f>
        <v>JsonObject:4E9F4236-4C57-4392-A5AF-530EBA2DF77A</v>
      </c>
    </row>
    <row r="6" spans="2:9" x14ac:dyDescent="0.4">
      <c r="B6" t="s">
        <v>129</v>
      </c>
      <c r="C6" t="s">
        <v>130</v>
      </c>
      <c r="H6" t="s">
        <v>149</v>
      </c>
      <c r="I6" t="s">
        <v>151</v>
      </c>
    </row>
    <row r="7" spans="2:9" x14ac:dyDescent="0.4">
      <c r="B7" t="s">
        <v>131</v>
      </c>
      <c r="C7" t="s">
        <v>137</v>
      </c>
      <c r="H7" t="s">
        <v>150</v>
      </c>
      <c r="I7" t="s">
        <v>152</v>
      </c>
    </row>
    <row r="8" spans="2:9" x14ac:dyDescent="0.4">
      <c r="B8" t="s">
        <v>132</v>
      </c>
      <c r="C8" t="s">
        <v>138</v>
      </c>
      <c r="H8" t="s">
        <v>140</v>
      </c>
      <c r="I8">
        <v>108.5</v>
      </c>
    </row>
    <row r="9" spans="2:9" x14ac:dyDescent="0.4">
      <c r="B9" t="s">
        <v>133</v>
      </c>
      <c r="C9" t="s">
        <v>134</v>
      </c>
      <c r="H9" t="s">
        <v>141</v>
      </c>
      <c r="I9" t="s">
        <v>142</v>
      </c>
    </row>
    <row r="10" spans="2:9" x14ac:dyDescent="0.4">
      <c r="B10" t="s">
        <v>135</v>
      </c>
      <c r="C10" t="s">
        <v>136</v>
      </c>
      <c r="H10" t="s">
        <v>143</v>
      </c>
      <c r="I10" t="s">
        <v>144</v>
      </c>
    </row>
    <row r="11" spans="2:9" x14ac:dyDescent="0.4">
      <c r="H11" t="s">
        <v>145</v>
      </c>
      <c r="I11" s="1">
        <v>44463</v>
      </c>
    </row>
    <row r="12" spans="2:9" x14ac:dyDescent="0.4">
      <c r="I12" s="1"/>
    </row>
    <row r="13" spans="2:9" x14ac:dyDescent="0.4">
      <c r="B13" t="s">
        <v>124</v>
      </c>
      <c r="C13" t="s">
        <v>123</v>
      </c>
      <c r="D13" t="str">
        <f>$C$2&amp;"get"</f>
        <v>http://localhost:80/get</v>
      </c>
    </row>
    <row r="14" spans="2:9" x14ac:dyDescent="0.4">
      <c r="C14" t="s">
        <v>121</v>
      </c>
      <c r="D14" t="str" cm="1">
        <f t="array" ref="D14">_xll.ExLibris.WebAPIs.GET(D13)</f>
        <v>ExLibris.Core.WebAPIs.Response:EC206E92-61A1-49E6-88F9-381C0774B1B8</v>
      </c>
    </row>
    <row r="15" spans="2:9" x14ac:dyDescent="0.4">
      <c r="C15" t="s">
        <v>101</v>
      </c>
      <c r="D15" cm="1">
        <f t="array" ref="D15">_xll.ExLibris.WebAPIs.WebAPIResponseStatus(D14,TRUE)</f>
        <v>200</v>
      </c>
    </row>
    <row r="16" spans="2:9" x14ac:dyDescent="0.4">
      <c r="C16" t="s">
        <v>122</v>
      </c>
      <c r="D16" t="str" cm="1">
        <f t="array" ref="D16">_xll.ExLibris.WebAPIs.WebAPIResponseContent(D14)</f>
        <v xml:space="preserve">{
  "args": {}, 
  "headers": {
    "Connection": "Keep-Alive", 
    "Host": "localhost"
  }, 
  "origin": "172.17.0.1", 
  "url": "http://localhost/get"
}
</v>
      </c>
    </row>
    <row r="18" spans="2:4" x14ac:dyDescent="0.4">
      <c r="B18" t="s">
        <v>127</v>
      </c>
      <c r="C18" t="s">
        <v>123</v>
      </c>
      <c r="D18" t="str">
        <f>$C$2&amp;"post"</f>
        <v>http://localhost:80/post</v>
      </c>
    </row>
    <row r="19" spans="2:4" x14ac:dyDescent="0.4">
      <c r="C19" t="s">
        <v>121</v>
      </c>
      <c r="D19" t="str" cm="1">
        <f t="array" ref="D19">_xll.ExLibris.WebAPIs.POST(D18)</f>
        <v>ExLibris.Core.WebAPIs.Response:0DDBA3B9-BF58-494B-A0C7-3C1B132F72A7</v>
      </c>
    </row>
    <row r="20" spans="2:4" x14ac:dyDescent="0.4">
      <c r="C20" t="s">
        <v>101</v>
      </c>
      <c r="D20" cm="1">
        <f t="array" ref="D20">_xll.ExLibris.WebAPIs.WebAPIResponseStatus(D19,TRUE)</f>
        <v>200</v>
      </c>
    </row>
    <row r="21" spans="2:4" x14ac:dyDescent="0.4">
      <c r="C21" t="s">
        <v>122</v>
      </c>
      <c r="D21" t="str" cm="1">
        <f t="array" ref="D21">_xll.ExLibris.WebAPIs.WebAPIResponseContent(D19)</f>
        <v xml:space="preserve">{
  "args": {}, 
  "data": "", 
  "files": {}, 
  "form": {}, 
  "headers": {
    "Connection": "Keep-Alive", 
    "Content-Length": "0", 
    "Host": "localhost"
  }, 
  "json": null, 
  "origin": "172.17.0.1", 
  "url": "http://localhost/post"
}
</v>
      </c>
    </row>
    <row r="23" spans="2:4" x14ac:dyDescent="0.4">
      <c r="B23" t="s">
        <v>139</v>
      </c>
      <c r="C23" t="s">
        <v>123</v>
      </c>
      <c r="D23" t="str">
        <f>$C$2&amp;"bearer"</f>
        <v>http://localhost:80/bearer</v>
      </c>
    </row>
    <row r="24" spans="2:4" x14ac:dyDescent="0.4">
      <c r="C24" t="s">
        <v>121</v>
      </c>
      <c r="D24" t="str" cm="1">
        <f t="array" ref="D24">_xll.ExLibris.WebAPIs.GET(D23,$B$5)</f>
        <v>ExLibris.Core.WebAPIs.Response:374FBC0E-1DF4-4BBC-874D-D745550EBFDA</v>
      </c>
    </row>
    <row r="25" spans="2:4" x14ac:dyDescent="0.4">
      <c r="C25" t="s">
        <v>101</v>
      </c>
      <c r="D25" cm="1">
        <f t="array" ref="D25">_xll.ExLibris.WebAPIs.WebAPIResponseStatus(D24,TRUE)</f>
        <v>200</v>
      </c>
    </row>
    <row r="26" spans="2:4" x14ac:dyDescent="0.4">
      <c r="C26" t="s">
        <v>122</v>
      </c>
      <c r="D26" t="str" cm="1">
        <f t="array" ref="D26">_xll.ExLibris.WebAPIs.WebAPIResponseContent(D24)</f>
        <v xml:space="preserve">{
  "authenticated": true, 
  "token": "XXX11111222223333444444"
}
</v>
      </c>
    </row>
    <row r="28" spans="2:4" x14ac:dyDescent="0.4">
      <c r="B28" t="s">
        <v>146</v>
      </c>
      <c r="C28" t="s">
        <v>123</v>
      </c>
      <c r="D28" t="str">
        <f>$C$2&amp;"post"</f>
        <v>http://localhost:80/post</v>
      </c>
    </row>
    <row r="29" spans="2:4" x14ac:dyDescent="0.4">
      <c r="C29" t="s">
        <v>121</v>
      </c>
      <c r="D29" t="str" cm="1">
        <f t="array" ref="D29">_xll.ExLibris.WebAPIs.POST(D28,_xll.ExLibris.Json.ShowJsonText(H5),,$B$5)</f>
        <v>ExLibris.Core.WebAPIs.Response:9FC66694-180F-47AD-8D83-99F7A20671E7</v>
      </c>
    </row>
    <row r="30" spans="2:4" x14ac:dyDescent="0.4">
      <c r="C30" t="s">
        <v>101</v>
      </c>
      <c r="D30" cm="1">
        <f t="array" ref="D30">_xll.ExLibris.WebAPIs.WebAPIResponseStatus(D29,TRUE)</f>
        <v>200</v>
      </c>
    </row>
    <row r="31" spans="2:4" x14ac:dyDescent="0.4">
      <c r="C31" t="s">
        <v>122</v>
      </c>
      <c r="D31" t="str" cm="1">
        <f t="array" ref="D31">_xll.ExLibris.WebAPIs.WebAPIResponseContent(D29)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</row>
    <row r="33" spans="2:4" x14ac:dyDescent="0.4">
      <c r="B33" t="s">
        <v>147</v>
      </c>
      <c r="C33" t="s">
        <v>123</v>
      </c>
      <c r="D33" t="str">
        <f>$C$2&amp;"post"</f>
        <v>http://localhost:80/post</v>
      </c>
    </row>
    <row r="34" spans="2:4" x14ac:dyDescent="0.4">
      <c r="C34" t="s">
        <v>121</v>
      </c>
      <c r="D34" t="str" cm="1">
        <f t="array" ref="D34">_xll.ExLibris.WebAPIs.POST(D33,H5,TRUE,$B$5)</f>
        <v>ExLibris.Core.WebAPIs.Response:B7238E76-804A-4EEE-B015-7BBBA445962F</v>
      </c>
    </row>
    <row r="35" spans="2:4" x14ac:dyDescent="0.4">
      <c r="C35" t="s">
        <v>101</v>
      </c>
      <c r="D35" cm="1">
        <f t="array" ref="D35">_xll.ExLibris.WebAPIs.WebAPIResponseStatus(D34,TRUE)</f>
        <v>200</v>
      </c>
    </row>
    <row r="36" spans="2:4" x14ac:dyDescent="0.4">
      <c r="C36" t="s">
        <v>122</v>
      </c>
      <c r="D36" t="str" cm="1">
        <f t="array" ref="D36">_xll.ExLibris.WebAPIs.WebAPIResponseContent(D34)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</row>
    <row r="38" spans="2:4" x14ac:dyDescent="0.4">
      <c r="B38" t="s">
        <v>148</v>
      </c>
      <c r="C38" t="s">
        <v>123</v>
      </c>
      <c r="D38" t="str" cm="1">
        <f t="array" ref="D38">_xll.ExLibris.WebAPIs.BuildUri($C$2&amp;"post",H6:I11)</f>
        <v>http://localhost:80/post?currency_pair.left=USD&amp;currency_pair.right=JPY&amp;strike=108.5&amp;call_or_put=CALL&amp;buy_or_sell=SELL&amp;date=44463</v>
      </c>
    </row>
    <row r="39" spans="2:4" x14ac:dyDescent="0.4">
      <c r="C39" t="s">
        <v>121</v>
      </c>
      <c r="D39" t="str" cm="1">
        <f t="array" ref="D39">_xll.ExLibris.WebAPIs.POST(D38,H6:I11,TRUE,$B$5)</f>
        <v>ExLibris.Core.WebAPIs.Response:0617FB8D-C26F-4A29-9F42-5C06CE3BDF63</v>
      </c>
    </row>
    <row r="40" spans="2:4" x14ac:dyDescent="0.4">
      <c r="C40" t="s">
        <v>101</v>
      </c>
      <c r="D40" cm="1">
        <f t="array" ref="D40">_xll.ExLibris.WebAPIs.WebAPIResponseStatus(D39,TRUE)</f>
        <v>200</v>
      </c>
    </row>
    <row r="41" spans="2:4" x14ac:dyDescent="0.4">
      <c r="C41" t="s">
        <v>122</v>
      </c>
      <c r="D41" t="str" cm="1">
        <f t="array" ref="D41">_xll.ExLibris.WebAPIs.WebAPIResponseContent(D39)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</row>
    <row r="43" spans="2:4" x14ac:dyDescent="0.4">
      <c r="B43" t="s">
        <v>153</v>
      </c>
      <c r="C43" t="s">
        <v>123</v>
      </c>
      <c r="D43" t="str" cm="1">
        <f t="array" ref="D43">_xll.ExLibris.WebAPIs.BuildUri($C$2&amp;"get",H6:I11)</f>
        <v>http://localhost:80/get?currency_pair.left=USD&amp;currency_pair.right=JPY&amp;strike=108.5&amp;call_or_put=CALL&amp;buy_or_sell=SELL&amp;date=44463</v>
      </c>
    </row>
    <row r="44" spans="2:4" x14ac:dyDescent="0.4">
      <c r="C44" t="s">
        <v>121</v>
      </c>
      <c r="D44" t="str" cm="1">
        <f t="array" ref="D44">_xll.ExLibris.WebAPIs.GET(D43)</f>
        <v>ExLibris.Core.WebAPIs.Response:3B50C7F6-0227-4060-A28E-FAAB60C52B4B</v>
      </c>
    </row>
    <row r="45" spans="2:4" x14ac:dyDescent="0.4">
      <c r="C45" t="s">
        <v>101</v>
      </c>
      <c r="D45" cm="1">
        <f t="array" ref="D45">_xll.ExLibris.WebAPIs.WebAPIResponseStatus(D44,TRUE)</f>
        <v>200</v>
      </c>
    </row>
    <row r="46" spans="2:4" x14ac:dyDescent="0.4">
      <c r="C46" t="s">
        <v>122</v>
      </c>
      <c r="D46" t="str" cm="1">
        <f t="array" ref="D46">_xll.ExLibris.WebAPIs.WebAPIResponseContent(D44)</f>
        <v xml:space="preserve">{
  "args": {
    "buy_or_sell": "SELL", 
    "call_or_put": "CALL", 
    "currency_pair.left": "USD", 
    "currency_pair.right": "JPY", 
    "date": "44463", 
    "strike": "108.5"
  }, 
  "headers": {
    "Connection": "Keep-Alive", 
    "Host": "localhost"
  }, 
  "origin": "172.17.0.1", 
  "url": "http://localhost/get?currency_pair.left=USD&amp;currency_pair.right=JPY&amp;strike=108.5&amp;call_or_put=CALL&amp;buy_or_sell=SELL&amp;date=44463"
}
</v>
      </c>
    </row>
    <row r="48" spans="2:4" x14ac:dyDescent="0.4">
      <c r="B48" t="s">
        <v>155</v>
      </c>
      <c r="C48" t="s">
        <v>123</v>
      </c>
      <c r="D48" t="str">
        <f>$C$2&amp;"delay/10"</f>
        <v>http://localhost:80/delay/10</v>
      </c>
    </row>
    <row r="49" spans="3:4" x14ac:dyDescent="0.4">
      <c r="C49" t="s">
        <v>121</v>
      </c>
      <c r="D49" t="str" cm="1">
        <f t="array" ref="D49">_xll.ExLibris.WebAPIs.GET(D48)</f>
        <v>ExLibris.Core.WebAPIs.Response:43FA1865-14FA-431E-860C-649CA733D522</v>
      </c>
    </row>
    <row r="50" spans="3:4" x14ac:dyDescent="0.4">
      <c r="C50" t="s">
        <v>101</v>
      </c>
      <c r="D50" cm="1">
        <f t="array" ref="D50">_xll.ExLibris.WebAPIs.WebAPIResponseStatus(D49,TRUE)</f>
        <v>200</v>
      </c>
    </row>
    <row r="51" spans="3:4" x14ac:dyDescent="0.4">
      <c r="C51" t="s">
        <v>122</v>
      </c>
      <c r="D51" t="str" cm="1">
        <f t="array" ref="D51">_xll.ExLibris.WebAPIs.WebAPIResponseContent(D49)</f>
        <v xml:space="preserve">{
  "args": {}, 
  "data": "", 
  "files": {}, 
  "form": {}, 
  "headers": {
    "Connection": "Keep-Alive", 
    "Host": "localhost"
  }, 
  "origin": "172.17.0.1", 
  "url": "http://localhost/delay/10"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ExLibris.Core.WebAPIs.WebAPIHeaders:3402D700-A892-48F9-9D39-61B30EF65A7E</v>
      </c>
    </row>
    <row r="3" spans="2:4" x14ac:dyDescent="0.4">
      <c r="B3" t="s">
        <v>129</v>
      </c>
      <c r="C3" t="s">
        <v>154</v>
      </c>
    </row>
    <row r="5" spans="2:4" x14ac:dyDescent="0.4">
      <c r="B5" t="s">
        <v>123</v>
      </c>
      <c r="C5" t="str">
        <f>"https://api.github.com/users/"&amp;C3</f>
        <v>https://api.github.com/users/defunkt</v>
      </c>
    </row>
    <row r="6" spans="2:4" x14ac:dyDescent="0.4">
      <c r="B6" t="s">
        <v>121</v>
      </c>
      <c r="C6" t="str" cm="1">
        <f t="array" ref="C6">_xll.ExLibris.WebAPIs.GET(C5,B2)</f>
        <v>ExLibris.Core.WebAPIs.Response:BB326A94-12C9-4573-BB6D-C067266AC3D4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122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21287,"following":210,"created_at":"2007-10-20T05:24:19Z","updated_at":"2021-07-29T11:10:23Z"}</v>
      </c>
    </row>
    <row r="10" spans="2:4" x14ac:dyDescent="0.4">
      <c r="C10" t="str" cm="1">
        <f t="array" ref="C10">_xll.ExLibris.Json.CreateJsonObjectAsync(C8)</f>
        <v>JsonObject:2FA37634-434A-4461-BC0B-26123B576B2F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21287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2021-07-29T11:10:23Z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json_test</vt:lpstr>
      <vt:lpstr>json_w_conf_test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2021-09-27T14:26:40Z</dcterms:modified>
</cp:coreProperties>
</file>