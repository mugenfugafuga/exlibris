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A9379E99-0DA2-46B0-BD79-4DF8DC18760A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5" l="1"/>
  <c r="I10" i="7"/>
  <c r="I11" i="7" s="1"/>
  <c r="I12" i="7" s="1"/>
  <c r="I13" i="7" s="1"/>
  <c r="I14" i="7" s="1"/>
  <c r="G9" i="7"/>
  <c r="F10" i="7" s="1"/>
  <c r="G10" i="7" s="1"/>
  <c r="D49" i="5"/>
  <c r="E49" i="5" s="1"/>
  <c r="I42" i="4" a="1"/>
  <c r="I38" i="4" a="1"/>
  <c r="I33" i="4" a="1"/>
  <c r="D50" i="5" a="1"/>
  <c r="B5" i="5" a="1"/>
  <c r="B2" i="6" a="1"/>
  <c r="F6" i="1" a="1"/>
  <c r="C2" i="2" a="1"/>
  <c r="D6" i="3" a="1"/>
  <c r="H5" i="5" a="1"/>
  <c r="D4" i="3" a="1"/>
  <c r="D8" i="3" a="1"/>
  <c r="D7" i="3" a="1"/>
  <c r="F6" i="7" a="1"/>
  <c r="D5" i="3" a="1"/>
  <c r="I42" i="4" l="1"/>
  <c r="I38" i="4"/>
  <c r="I33" i="4"/>
  <c r="F6" i="7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50" i="5"/>
  <c r="F1" i="7" a="1"/>
  <c r="G5" i="3" a="1"/>
  <c r="F8" i="3" a="1"/>
  <c r="E6" i="2" a="1"/>
  <c r="D51" i="5" a="1"/>
  <c r="D52" i="5" a="1"/>
  <c r="G7" i="3" a="1"/>
  <c r="F6" i="4" a="1"/>
  <c r="F5" i="3" a="1"/>
  <c r="F7" i="3" a="1"/>
  <c r="G8" i="3" a="1"/>
  <c r="G6" i="3" a="1"/>
  <c r="F6" i="3" a="1"/>
  <c r="F1" i="7" l="1"/>
  <c r="F12" i="7"/>
  <c r="G12" i="7" s="1"/>
  <c r="E11" i="7"/>
  <c r="F5" i="3"/>
  <c r="G5" i="3"/>
  <c r="F8" i="3"/>
  <c r="G8" i="3"/>
  <c r="F6" i="3"/>
  <c r="G6" i="3"/>
  <c r="G7" i="3"/>
  <c r="F7" i="3"/>
  <c r="D52" i="5"/>
  <c r="E52" i="5" s="1"/>
  <c r="F6" i="4"/>
  <c r="E6" i="2"/>
  <c r="D51" i="5"/>
  <c r="E51" i="5" s="1"/>
  <c r="C5" i="6"/>
  <c r="D34" i="5"/>
  <c r="E34" i="5" s="1"/>
  <c r="D29" i="5"/>
  <c r="E29" i="5" s="1"/>
  <c r="D24" i="5"/>
  <c r="E24" i="5" s="1"/>
  <c r="D19" i="5"/>
  <c r="E19" i="5" s="1"/>
  <c r="E14" i="5"/>
  <c r="D44" i="5" a="1"/>
  <c r="D39" i="5" a="1"/>
  <c r="P19" i="7" a="1"/>
  <c r="E19" i="7" a="1"/>
  <c r="G22" i="7" a="1"/>
  <c r="G25" i="7" a="1"/>
  <c r="G47" i="7" a="1"/>
  <c r="G36" i="7" a="1"/>
  <c r="G55" i="7" a="1"/>
  <c r="G39" i="7" a="1"/>
  <c r="G54" i="7" a="1"/>
  <c r="G48" i="7" a="1"/>
  <c r="G57" i="7" a="1"/>
  <c r="G29" i="7" a="1"/>
  <c r="I19" i="7" a="1"/>
  <c r="G30" i="7" a="1"/>
  <c r="G52" i="7" a="1"/>
  <c r="D15" i="5" a="1"/>
  <c r="G31" i="7" a="1"/>
  <c r="M6" i="7" a="1"/>
  <c r="G33" i="7" a="1"/>
  <c r="G44" i="7" a="1"/>
  <c r="G40" i="7" a="1"/>
  <c r="G50" i="7" a="1"/>
  <c r="G49" i="7" a="1"/>
  <c r="G41" i="7" a="1"/>
  <c r="G21" i="7" a="1"/>
  <c r="G23" i="7" a="1"/>
  <c r="G53" i="7" a="1"/>
  <c r="G38" i="7" a="1"/>
  <c r="D20" i="5" a="1"/>
  <c r="G26" i="7" a="1"/>
  <c r="G43" i="7" a="1"/>
  <c r="G24" i="7" a="1"/>
  <c r="G20" i="7" a="1"/>
  <c r="G32" i="7" a="1"/>
  <c r="G35" i="7" a="1"/>
  <c r="G28" i="7" a="1"/>
  <c r="G34" i="7" a="1"/>
  <c r="G51" i="7" a="1"/>
  <c r="G56" i="7" a="1"/>
  <c r="G37" i="7" a="1"/>
  <c r="G45" i="7" a="1"/>
  <c r="G27" i="7" a="1"/>
  <c r="G46" i="7" a="1"/>
  <c r="G42" i="7" a="1"/>
  <c r="G30" i="7" l="1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P19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9" i="5"/>
  <c r="E39" i="5" s="1"/>
  <c r="D44" i="5"/>
  <c r="E44" i="5" s="1"/>
  <c r="D20" i="5"/>
  <c r="D15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G19" i="7" a="1"/>
  <c r="D22" i="5" a="1"/>
  <c r="P29" i="7" a="1"/>
  <c r="D16" i="5" a="1"/>
  <c r="D21" i="5" a="1"/>
  <c r="C6" i="6" a="1"/>
  <c r="D17" i="5" a="1"/>
  <c r="D45" i="5" a="1"/>
  <c r="I28" i="7" a="1"/>
  <c r="P29" i="7" l="1"/>
  <c r="D17" i="5"/>
  <c r="E17" i="5" s="1"/>
  <c r="I28" i="7"/>
  <c r="G19" i="7"/>
  <c r="E13" i="7"/>
  <c r="F14" i="7"/>
  <c r="G14" i="7" s="1"/>
  <c r="E14" i="7" s="1"/>
  <c r="D22" i="5"/>
  <c r="E22" i="5" s="1"/>
  <c r="C6" i="6"/>
  <c r="D45" i="5"/>
  <c r="D21" i="5"/>
  <c r="E21" i="5" s="1"/>
  <c r="D16" i="5"/>
  <c r="E16" i="5" s="1"/>
  <c r="F10" i="4"/>
  <c r="G10" i="4" s="1"/>
  <c r="F10" i="1"/>
  <c r="G10" i="1" s="1"/>
  <c r="F11" i="1" s="1"/>
  <c r="G11" i="1" s="1"/>
  <c r="F12" i="1" s="1"/>
  <c r="G12" i="1" s="1"/>
  <c r="E12" i="1" s="1"/>
  <c r="D30" i="5" a="1"/>
  <c r="D35" i="5" a="1"/>
  <c r="G4" i="3" a="1"/>
  <c r="C8" i="6" a="1"/>
  <c r="D25" i="5" a="1"/>
  <c r="D40" i="5" a="1"/>
  <c r="D46" i="5" a="1"/>
  <c r="C7" i="6" a="1"/>
  <c r="F4" i="3" a="1"/>
  <c r="D47" i="5" a="1"/>
  <c r="D47" i="5" l="1"/>
  <c r="E47" i="5" s="1"/>
  <c r="C8" i="6"/>
  <c r="D25" i="5"/>
  <c r="C7" i="6"/>
  <c r="D46" i="5"/>
  <c r="E46" i="5" s="1"/>
  <c r="D40" i="5"/>
  <c r="D30" i="5"/>
  <c r="D35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D37" i="5" a="1"/>
  <c r="H7" i="3" a="1"/>
  <c r="H5" i="3" a="1"/>
  <c r="D27" i="5" a="1"/>
  <c r="H8" i="3" a="1"/>
  <c r="H6" i="3" a="1"/>
  <c r="D26" i="5" a="1"/>
  <c r="D36" i="5" a="1"/>
  <c r="D42" i="5" a="1"/>
  <c r="D32" i="5" a="1"/>
  <c r="D41" i="5" a="1"/>
  <c r="D31" i="5" a="1"/>
  <c r="C10" i="6" a="1"/>
  <c r="H4" i="3" a="1"/>
  <c r="H7" i="3" l="1"/>
  <c r="H6" i="3"/>
  <c r="H5" i="3"/>
  <c r="H8" i="3"/>
  <c r="H4" i="3"/>
  <c r="D37" i="5"/>
  <c r="E37" i="5" s="1"/>
  <c r="D42" i="5"/>
  <c r="E42" i="5" s="1"/>
  <c r="D27" i="5"/>
  <c r="E27" i="5" s="1"/>
  <c r="D32" i="5"/>
  <c r="E32" i="5" s="1"/>
  <c r="C10" i="6"/>
  <c r="D36" i="5"/>
  <c r="E36" i="5" s="1"/>
  <c r="D31" i="5"/>
  <c r="E31" i="5" s="1"/>
  <c r="D41" i="5"/>
  <c r="E41" i="5" s="1"/>
  <c r="D26" i="5"/>
  <c r="E26" i="5" s="1"/>
  <c r="E11" i="4"/>
  <c r="F12" i="4"/>
  <c r="G12" i="4" s="1"/>
  <c r="E13" i="1"/>
  <c r="I4" i="3" a="1"/>
  <c r="I8" i="3" a="1"/>
  <c r="C11" i="6" a="1"/>
  <c r="I5" i="3" a="1"/>
  <c r="I6" i="3" a="1"/>
  <c r="I7" i="3" a="1"/>
  <c r="B12" i="5" l="1"/>
  <c r="I5" i="3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I20" i="7" a="1"/>
  <c r="J7" i="3" a="1"/>
  <c r="J8" i="3" a="1"/>
  <c r="P30" i="7" a="1"/>
  <c r="J4" i="3" a="1"/>
  <c r="J6" i="3" a="1"/>
  <c r="F1" i="1" a="1"/>
  <c r="J5" i="3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I20" i="7"/>
  <c r="AK20" i="7" s="1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G44" i="1" a="1"/>
  <c r="G31" i="1" a="1"/>
  <c r="G41" i="1" a="1"/>
  <c r="G42" i="1" a="1"/>
  <c r="G25" i="1" a="1"/>
  <c r="G33" i="1" a="1"/>
  <c r="G56" i="1" a="1"/>
  <c r="G23" i="1" a="1"/>
  <c r="E19" i="1" a="1"/>
  <c r="G46" i="1" a="1"/>
  <c r="G43" i="1" a="1"/>
  <c r="G28" i="1" a="1"/>
  <c r="G40" i="1" a="1"/>
  <c r="G30" i="1" a="1"/>
  <c r="G49" i="1" a="1"/>
  <c r="G39" i="1" a="1"/>
  <c r="G24" i="1" a="1"/>
  <c r="G54" i="1" a="1"/>
  <c r="G21" i="1" a="1"/>
  <c r="G48" i="1" a="1"/>
  <c r="G50" i="1" a="1"/>
  <c r="G27" i="1" a="1"/>
  <c r="G38" i="1" a="1"/>
  <c r="G26" i="1" a="1"/>
  <c r="G53" i="1" a="1"/>
  <c r="G32" i="1" a="1"/>
  <c r="G29" i="1" a="1"/>
  <c r="P19" i="1" a="1"/>
  <c r="G47" i="1" a="1"/>
  <c r="G51" i="1" a="1"/>
  <c r="G20" i="1" a="1"/>
  <c r="G37" i="1" a="1"/>
  <c r="I29" i="7" a="1"/>
  <c r="G52" i="1" a="1"/>
  <c r="G35" i="1" a="1"/>
  <c r="M6" i="1" a="1"/>
  <c r="G36" i="1" a="1"/>
  <c r="G57" i="1" a="1"/>
  <c r="I19" i="1" a="1"/>
  <c r="G55" i="1" a="1"/>
  <c r="G22" i="1" a="1"/>
  <c r="G45" i="1" a="1"/>
  <c r="G34" i="1" a="1"/>
  <c r="M6" i="1" l="1"/>
  <c r="C5" i="1" s="1"/>
  <c r="AO30" i="7"/>
  <c r="AL29" i="7"/>
  <c r="AN30" i="7"/>
  <c r="AM30" i="7"/>
  <c r="AN29" i="7"/>
  <c r="AL30" i="7"/>
  <c r="AK30" i="7"/>
  <c r="AP29" i="7"/>
  <c r="AO29" i="7"/>
  <c r="AP30" i="7"/>
  <c r="AM29" i="7"/>
  <c r="I29" i="7"/>
  <c r="AK29" i="7" s="1"/>
  <c r="C8" i="7"/>
  <c r="C3" i="7"/>
  <c r="C4" i="7"/>
  <c r="G48" i="1"/>
  <c r="G55" i="1"/>
  <c r="G39" i="1"/>
  <c r="G26" i="1"/>
  <c r="G33" i="1"/>
  <c r="P19" i="1"/>
  <c r="AR19" i="1" s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F1" i="4" a="1"/>
  <c r="I28" i="1" a="1"/>
  <c r="P29" i="1" a="1"/>
  <c r="G19" i="1" a="1"/>
  <c r="I20" i="1" a="1"/>
  <c r="P29" i="1" l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G53" i="4" a="1"/>
  <c r="G56" i="4" a="1"/>
  <c r="G41" i="4" a="1"/>
  <c r="G26" i="4" a="1"/>
  <c r="M6" i="4" a="1"/>
  <c r="G28" i="4" a="1"/>
  <c r="G22" i="4" a="1"/>
  <c r="G35" i="4" a="1"/>
  <c r="G42" i="4" a="1"/>
  <c r="G30" i="4" a="1"/>
  <c r="G44" i="4" a="1"/>
  <c r="G40" i="4" a="1"/>
  <c r="G20" i="4" a="1"/>
  <c r="E19" i="4" a="1"/>
  <c r="G38" i="4" a="1"/>
  <c r="G21" i="4" a="1"/>
  <c r="G39" i="4" a="1"/>
  <c r="G36" i="4" a="1"/>
  <c r="G32" i="4" a="1"/>
  <c r="G27" i="4" a="1"/>
  <c r="G23" i="4" a="1"/>
  <c r="G33" i="4" a="1"/>
  <c r="G31" i="4" a="1"/>
  <c r="I29" i="1" a="1"/>
  <c r="G25" i="4" a="1"/>
  <c r="I19" i="4" a="1"/>
  <c r="G24" i="4" a="1"/>
  <c r="G34" i="4" a="1"/>
  <c r="G48" i="4" a="1"/>
  <c r="G37" i="4" a="1"/>
  <c r="G55" i="4" a="1"/>
  <c r="G57" i="4" a="1"/>
  <c r="I32" i="4" a="1"/>
  <c r="G45" i="4" a="1"/>
  <c r="G47" i="4" a="1"/>
  <c r="G52" i="4" a="1"/>
  <c r="G54" i="4" a="1"/>
  <c r="G49" i="4" a="1"/>
  <c r="G43" i="4" a="1"/>
  <c r="G46" i="4" a="1"/>
  <c r="G51" i="4" a="1"/>
  <c r="G50" i="4" a="1"/>
  <c r="G29" i="4" a="1"/>
  <c r="P30" i="1" a="1"/>
  <c r="P30" i="1" l="1"/>
  <c r="AR30" i="1" s="1"/>
  <c r="M6" i="4"/>
  <c r="C5" i="4" s="1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E19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AL29" i="1"/>
  <c r="AM30" i="1"/>
  <c r="AP30" i="1"/>
  <c r="AM29" i="1"/>
  <c r="AN29" i="1"/>
  <c r="AO30" i="1"/>
  <c r="AP29" i="1"/>
  <c r="AN30" i="1"/>
  <c r="AL30" i="1"/>
  <c r="AO29" i="1"/>
  <c r="AK30" i="1"/>
  <c r="I20" i="4" a="1"/>
  <c r="G19" i="4" a="1"/>
  <c r="I28" i="4" a="1"/>
  <c r="G19" i="4" l="1"/>
  <c r="I28" i="4"/>
  <c r="I20" i="4"/>
  <c r="AE20" i="4" s="1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I29" i="4" a="1"/>
  <c r="I34" i="4" a="1"/>
  <c r="I39" i="4" a="1"/>
  <c r="I43" i="4" a="1"/>
  <c r="I39" i="4" l="1"/>
  <c r="AE39" i="4" s="1"/>
  <c r="I43" i="4"/>
  <c r="AE43" i="4" s="1"/>
  <c r="C9" i="4" s="1"/>
  <c r="I34" i="4"/>
  <c r="AE34" i="4" s="1"/>
  <c r="I29" i="4"/>
  <c r="AE2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<sst xmlns="http://schemas.openxmlformats.org/spreadsheetml/2006/main" count="661" uniqueCount="181">
  <si>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</si>
  <si>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</si>
  <si>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</si>
  <si>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</si>
  <si>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</si>
  <si>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</si>
  <si>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</si>
  <si>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</si>
  <si>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</si>
  <si>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</si>
  <si>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</si>
  <si>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</si>
  <si>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</si>
  <si>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</si>
  <si>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</si>
  <si>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</si>
  <si>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</si>
  <si>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</si>
  <si>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</si>
  <si>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</si>
  <si>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</si>
  <si>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</si>
  <si>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</si>
  <si>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</si>
  <si>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</si>
  <si>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</si>
  <si>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</si>
  <si>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</si>
  <si>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</si>
  <si>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</si>
  <si>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</si>
  <si>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</si>
  <si>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</si>
  <si>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</si>
  <si>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</si>
  <si>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</si>
  <si>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</si>
  <si>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</si>
  <si>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</si>
  <si>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</si>
  <si>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</si>
  <si>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</si>
  <si>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</si>
  <si>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</si>
  <si>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</si>
  <si>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</si>
  <si>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</si>
  <si>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</si>
  <si>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</si>
  <si>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</si>
  <si>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</si>
  <si>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</si>
  <si>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</si>
  <si>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</si>
  <si>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</si>
  <si>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</si>
  <si>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</si>
  <si>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</si>
  <si>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</si>
  <si>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</si>
  <si>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</si>
  <si>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</si>
  <si>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</si>
  <si>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</si>
  <si>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</si>
  <si>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</si>
  <si>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</si>
  <si>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</si>
  <si>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</si>
  <si>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</si>
  <si>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</si>
  <si>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</si>
  <si>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</si>
  <si>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</si>
  <si>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</si>
  <si>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</si>
  <si>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</si>
  <si>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</si>
  <si>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</si>
  <si>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</si>
  <si>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</si>
  <si>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</si>
  <si>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</si>
  <si>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</si>
  <si>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</si>
  <si>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</si>
  <si>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</si>
  <si>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</si>
  <si>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</si>
  <si>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</si>
  <si>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</si>
  <si>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</si>
  <si>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</si>
  <si>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</si>
  <si>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</si>
  <si>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</si>
  <si>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</si>
  <si>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</si>
  <si>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</si>
  <si>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</si>
  <si>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</si>
  <si>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</si>
  <si>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</si>
  <si>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</si>
  <si>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</si>
  <si>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</si>
  <si>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</si>
  <si>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</si>
  <si>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</si>
  <si>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</si>
  <si>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</si>
  <si>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</si>
  <si>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</si>
  <si>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</si>
  <si>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</si>
  <si>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</si>
  <si>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</si>
  <si>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</si>
  <si>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</si>
  <si>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</si>
  <si>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</si>
  <si>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</si>
  <si>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</si>
  <si>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</si>
  <si>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</si>
  <si>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</si>
  <si>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</si>
  <si>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</si>
  <si>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</si>
  <si>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</si>
  <si>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</si>
  <si>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</si>
  <si>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</si>
  <si>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</si>
  <si>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</si>
  <si>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</si>
  <si>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</si>
  <si>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</si>
  <si>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</si>
  <si>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</si>
  <si>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</si>
  <si>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</si>
  <si>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</si>
  <si>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</si>
  <si>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</si>
  <si>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</si>
  <si>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</si>
  <si>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</si>
  <si>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</si>
  <si>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</si>
  <si>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</si>
  <si>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</si>
  <si>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</si>
  <si>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</si>
  <si>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</si>
  <si>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</si>
  <si>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</si>
  <si>
    <t>docker run -p 80:80 kennethreitz/httpbin</t>
  </si>
  <si>
    <t>http://localhost:80/get</t>
  </si>
  <si>
    <t>ExLibris.Core.WebAPIs.Response:0F1A2DAA-0698-4A05-83B0-2DBCCA39985A</t>
  </si>
  <si>
    <t>http://localhost:80/post</t>
  </si>
  <si>
    <t>ExLibris.Core.WebAPIs.Response:5407E2E5-A3DE-4431-8264-B500336C6C03</t>
  </si>
  <si>
    <t>http://localhost:80/bearer</t>
  </si>
  <si>
    <t>ExLibris.Core.WebAPIs.Response:EF165471-5C1F-4F20-BD88-F0C49317B72E</t>
  </si>
  <si>
    <t xml:space="preserve">{
  "authenticated": true, 
  "token": "XXX11111222223333444444"
}
</t>
  </si>
  <si>
    <t>ExLibris.Core.WebAPIs.Response:9EF9FE5D-DFD7-4434-B0E6-25A1993F2B9A</t>
  </si>
  <si>
    <t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t>
  </si>
  <si>
    <t>ExLibris.Core.WebAPIs.Response:6699A287-7A23-43FB-823A-8AA3BC6F0EC5</t>
  </si>
  <si>
    <t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t>
  </si>
  <si>
    <t>http://localhost:80/post?currency_pair.left=USD&amp;currency_pair.right=JPY&amp;strike=108.5&amp;call_or_put=CALL&amp;buy_or_sell=SELL&amp;date=44463</t>
  </si>
  <si>
    <t>ExLibris.Core.WebAPIs.Response:115347C9-8C29-4BDA-90DC-C02A450124DE</t>
  </si>
  <si>
    <t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t>
  </si>
  <si>
    <t>http://localhost:80/get?currency_pair.left=USD&amp;currency_pair.right=JPY&amp;strike=108.5&amp;call_or_put=CALL&amp;buy_or_sell=SELL&amp;date=44463</t>
  </si>
  <si>
    <t>ExLibris.Core.WebAPIs.Response:92C25233-3764-4E1B-8C73-9DF86C200743</t>
  </si>
  <si>
    <t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t>
  </si>
  <si>
    <t>http://localhost:80/delay/10</t>
  </si>
  <si>
    <t>ExLibris.Core.WebAPIs.Response:188035AE-50E0-4C2F-964B-39CD30B3F673</t>
  </si>
  <si>
    <t>ok/ng</t>
    <phoneticPr fontId="1"/>
  </si>
  <si>
    <t xml:space="preserve">{
  "args": {}, 
  "headers": {
    "Host": "localhost"
  }, 
  "origin": "172.17.0.1", 
  "url": "http://localhost/get"
}
</t>
  </si>
  <si>
    <t xml:space="preserve">{
  "args": {}, 
  "data": "", 
  "files": {}, 
  "form": {}, 
  "headers": {
    "Host": "localhost"
  }, 
  "origin": "172.17.0.1", 
  "url": "http://localhost/delay/10"
}
</t>
  </si>
  <si>
    <t xml:space="preserve">{
  "args": {}, 
  "data": "", 
  "files": {}, 
  "form": {}, 
  "headers": {
    "Content-Length": "0", 
    "Host": "localhost"
  }, 
  "json": null, 
  "origin": "172.17.0.1", 
  "url": "http://localhost/post"
}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</si>
</sst>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e91a2bf1ca1e4425853080e41816bb7b">
      <tp>
        <v>2</v>
        <stp/>
        <stp>6eaef360-c5fb-40a8-a98e-634d423d7346</stp>
        <tr r="G19" s="4"/>
      </tp>
      <tp>
        <v>1</v>
        <stp/>
        <stp>eaa60cc1-c804-4b2c-b31d-9adbbb77c789</stp>
        <tr r="G38" s="7"/>
      </tp>
    </main>
    <main first="rtdsrv.e91a2bf1ca1e4425853080e41816bb7b">
      <tp>
        <v>1</v>
        <stp/>
        <stp>7c0193f4-eda0-47a4-8cec-f11bfba640ea</stp>
        <tr r="F1" s="7"/>
      </tp>
    </main>
    <main first="rtdsrv.e91a2bf1ca1e4425853080e41816bb7b">
      <tp>
        <v>2</v>
        <stp/>
        <stp>5481a29e-2b05-4e83-980b-87127fd11a17</stp>
        <tr r="D7" s="3"/>
      </tp>
    </main>
    <main first="rtdsrv.e91a2bf1ca1e4425853080e41816bb7b">
      <tp>
        <v>2</v>
        <stp/>
        <stp>be7bf41e-40b6-45b0-a1f0-1510d2888211</stp>
        <tr r="G49" s="4"/>
      </tp>
      <tp>
        <v>1</v>
        <stp/>
        <stp>1e7a0e30-9363-45f7-896c-d14e788af7fa</stp>
        <tr r="G44" s="7"/>
      </tp>
    </main>
    <main first="rtdsrv.e91a2bf1ca1e4425853080e41816bb7b">
      <tp>
        <v>1</v>
        <stp/>
        <stp>1a475449-68b6-4707-bed3-d1a746f9d155</stp>
        <tr r="G40" s="7"/>
      </tp>
    </main>
    <main first="rtdsrv.e91a2bf1ca1e4425853080e41816bb7b">
      <tp>
        <v>2</v>
        <stp/>
        <stp>2ed23e70-63ba-468f-9807-60a2caab5757</stp>
        <tr r="C10" s="6"/>
      </tp>
      <tp>
        <v>1</v>
        <stp/>
        <stp>b38c1181-a49a-4320-865e-44644a685527</stp>
        <tr r="G19" s="7"/>
      </tp>
      <tp>
        <v>2</v>
        <stp/>
        <stp>f7183241-a8a5-4bcd-b516-540562cf7185</stp>
        <tr r="G25" s="4"/>
      </tp>
      <tp>
        <v>2</v>
        <stp/>
        <stp>8f73b731-4e5d-4ee1-92c1-1d7ef3bc5e85</stp>
        <tr r="C6" s="6"/>
      </tp>
      <tp>
        <v>2</v>
        <stp/>
        <stp>849de138-ae66-4bbb-b20d-d0acffaf6e1b</stp>
        <tr r="G35" s="4"/>
      </tp>
    </main>
    <main first="rtdsrv.e91a2bf1ca1e4425853080e41816bb7b">
      <tp>
        <v>1</v>
        <stp/>
        <stp>40176a28-c6a0-4609-be18-8958de2dac27</stp>
        <tr r="H4" s="3"/>
      </tp>
    </main>
    <main first="rtdsrv.e91a2bf1ca1e4425853080e41816bb7b">
      <tp>
        <v>2</v>
        <stp/>
        <stp>f13641b9-5075-4b03-a2d4-a5bb9a6ce38a</stp>
        <tr r="F1" s="1"/>
      </tp>
      <tp>
        <v>1</v>
        <stp/>
        <stp>672e9e28-eb76-482c-9738-33f952faaccc</stp>
        <tr r="G34" s="7"/>
      </tp>
    </main>
    <main first="rtdsrv.e91a2bf1ca1e4425853080e41816bb7b">
      <tp>
        <v>2</v>
        <stp/>
        <stp>122a563d-e2f6-4cbe-8ed1-0754f6b5ad8b</stp>
        <tr r="B2" s="6"/>
      </tp>
    </main>
    <main first="rtdsrv.e91a2bf1ca1e4425853080e41816bb7b">
      <tp>
        <v>2</v>
        <stp/>
        <stp>f026c58b-495e-4413-9240-edf8ec11046b</stp>
        <tr r="P19" s="1"/>
      </tp>
    </main>
    <main first="rtdsrv.e91a2bf1ca1e4425853080e41816bb7b">
      <tp>
        <v>2</v>
        <stp/>
        <stp>f3b4e123-8824-4580-812a-a4e8b1c10922</stp>
        <tr r="G37" s="4"/>
      </tp>
      <tp>
        <v>2</v>
        <stp/>
        <stp>a3e2faa5-2078-491c-bf53-79cda3f5b895</stp>
        <tr r="D35" s="5"/>
      </tp>
      <tp>
        <v>2</v>
        <stp/>
        <stp>d8e4bf55-986a-42f5-825c-c70721a26eb6</stp>
        <tr r="G39" s="4"/>
      </tp>
      <tp>
        <v>2</v>
        <stp/>
        <stp>630bc26c-5865-4ff2-a4fe-dcfd8dfbdcb1</stp>
        <tr r="G51" s="4"/>
      </tp>
      <tp>
        <v>1</v>
        <stp/>
        <stp>8711411f-c307-4607-a130-fd4138b899af</stp>
        <tr r="G28" s="7"/>
      </tp>
      <tp>
        <v>1</v>
        <stp/>
        <stp>fe3f49c9-8561-4026-9ccc-2a6e4fdc52af</stp>
        <tr r="G54" s="7"/>
      </tp>
      <tp>
        <v>2</v>
        <stp/>
        <stp>f0299d1d-0a16-4e80-8e74-bfcbb0a471ac</stp>
        <tr r="G57" s="1"/>
      </tp>
    </main>
    <main first="rtdsrv.e91a2bf1ca1e4425853080e41816bb7b">
      <tp>
        <v>1</v>
        <stp/>
        <stp>125a602d-9f8a-41ef-9999-80fd4ef3b2a8</stp>
        <tr r="G42" s="7"/>
      </tp>
      <tp>
        <v>2</v>
        <stp/>
        <stp>0cbe7bed-47ee-4269-ad98-40819b142d80</stp>
        <tr r="G26" s="4"/>
      </tp>
      <tp>
        <v>1</v>
        <stp/>
        <stp>c35e13b5-5f9e-4093-a42b-1b6a6cbbb612</stp>
        <tr r="G26" s="7"/>
      </tp>
    </main>
    <main first="rtdsrv.e91a2bf1ca1e4425853080e41816bb7b">
      <tp>
        <v>2</v>
        <stp/>
        <stp>4c74147e-fbac-4857-86fd-b05f52cceab0</stp>
        <tr r="D5" s="3"/>
      </tp>
    </main>
    <main first="rtdsrv.e91a2bf1ca1e4425853080e41816bb7b">
      <tp>
        <v>2</v>
        <stp/>
        <stp>7b83883b-8362-488e-9c7c-685a1855230f</stp>
        <tr r="G38" s="4"/>
      </tp>
      <tp>
        <v>1</v>
        <stp/>
        <stp>589c3e2b-5743-41b1-b30f-bb2a68e5e12b</stp>
        <tr r="G35" s="7"/>
      </tp>
    </main>
    <main first="rtdsrv.e91a2bf1ca1e4425853080e41816bb7b">
      <tp>
        <v>2</v>
        <stp/>
        <stp>9387df30-9c25-4727-a94d-9fade9ae8249</stp>
        <tr r="G31" s="1"/>
      </tp>
    </main>
    <main first="rtdsrv.e91a2bf1ca1e4425853080e41816bb7b">
      <tp>
        <v>2</v>
        <stp/>
        <stp>86c4e9d1-e75e-4b29-aca1-a3764bdafaf7</stp>
        <tr r="G42" s="4"/>
      </tp>
    </main>
    <main first="rtdsrv.e91a2bf1ca1e4425853080e41816bb7b">
      <tp>
        <v>2</v>
        <stp/>
        <stp>7c8990af-4f65-4721-9dee-717e7732778d</stp>
        <tr r="G50" s="1"/>
      </tp>
      <tp>
        <v>2</v>
        <stp/>
        <stp>62b83423-9913-49a4-9aef-6e9180a35921</stp>
        <tr r="I38" s="4"/>
      </tp>
      <tp>
        <v>1</v>
        <stp/>
        <stp>f52438f3-96eb-47c3-96d7-55c027d15c21</stp>
        <tr r="G50" s="7"/>
      </tp>
      <tp>
        <v>2</v>
        <stp/>
        <stp>89f06ee3-3e41-4885-999b-7bb4b34ec3c9</stp>
        <tr r="D6" s="3"/>
      </tp>
      <tp>
        <v>2</v>
        <stp/>
        <stp>d05e4422-6206-4ebd-942f-cb844dd06caf</stp>
        <tr r="I33" s="4"/>
      </tp>
    </main>
    <main first="rtdsrv.e91a2bf1ca1e4425853080e41816bb7b">
      <tp>
        <v>1</v>
        <stp/>
        <stp>55348686-3f0b-4d50-8e0e-17b28baebe40</stp>
        <tr r="G8" s="3"/>
      </tp>
      <tp>
        <v>2</v>
        <stp/>
        <stp>40fe8dfa-6aa7-4b25-b13d-c005cf40023e</stp>
        <tr r="G29" s="4"/>
      </tp>
      <tp>
        <v>2</v>
        <stp/>
        <stp>2a52ddad-7901-4190-b251-3723ded68ecc</stp>
        <tr r="D8" s="3"/>
      </tp>
    </main>
    <main first="rtdsrv.e91a2bf1ca1e4425853080e41816bb7b">
      <tp>
        <v>1</v>
        <stp/>
        <stp>fc33611f-3dc4-444c-b95c-62ca8274f72c</stp>
        <tr r="H7" s="3"/>
      </tp>
    </main>
    <main first="rtdsrv.e91a2bf1ca1e4425853080e41816bb7b">
      <tp>
        <v>2</v>
        <stp/>
        <stp>b17dc94d-4063-4b8e-8a35-9612b79b4d93</stp>
        <tr r="G50" s="4"/>
      </tp>
    </main>
    <main first="rtdsrv.e91a2bf1ca1e4425853080e41816bb7b">
      <tp>
        <v>1</v>
        <stp/>
        <stp>3d9885e6-45bd-49e1-9a8f-5269b3b82b34</stp>
        <tr r="G32" s="7"/>
      </tp>
    </main>
    <main first="rtdsrv.e91a2bf1ca1e4425853080e41816bb7b">
      <tp>
        <v>2</v>
        <stp/>
        <stp>b9791b92-c539-49c7-8d1c-dc6bb2491ad7</stp>
        <tr r="G19" s="1"/>
      </tp>
    </main>
    <main first="rtdsrv.e91a2bf1ca1e4425853080e41816bb7b">
      <tp>
        <v>1</v>
        <stp/>
        <stp>375be6c5-9016-4637-bbb2-b0f17a63129e</stp>
        <tr r="G7" s="3"/>
      </tp>
      <tp>
        <v>2</v>
        <stp/>
        <stp>09ef696a-87c2-4bc4-99ba-8ae75d8f0ebe</stp>
        <tr r="G55" s="4"/>
      </tp>
      <tp>
        <v>2</v>
        <stp/>
        <stp>dee96407-8c90-4763-84ed-639385e4b775</stp>
        <tr r="G37" s="1"/>
      </tp>
    </main>
    <main first="rtdsrv.e91a2bf1ca1e4425853080e41816bb7b">
      <tp>
        <v>1</v>
        <stp/>
        <stp>db9abfd2-6edf-477a-8e07-8cc04871267b</stp>
        <tr r="G47" s="7"/>
      </tp>
      <tp>
        <v>2</v>
        <stp/>
        <stp>a172ed83-87a8-4cfb-8940-a3fb2c0c0e26</stp>
        <tr r="F1" s="4"/>
      </tp>
      <tp>
        <v>2</v>
        <stp/>
        <stp>fb8e0de9-d16b-4268-8ad6-bfaa7a7377af</stp>
        <tr r="G56" s="1"/>
      </tp>
      <tp>
        <v>1</v>
        <stp/>
        <stp>a89691df-8775-426d-97db-39b01eb12ccd</stp>
        <tr r="G4" s="3"/>
      </tp>
      <tp>
        <v>2</v>
        <stp/>
        <stp>45bd4d6a-f652-4c88-96b9-714d4b7a0011</stp>
        <tr r="G20" s="4"/>
      </tp>
    </main>
    <main first="rtdsrv.e91a2bf1ca1e4425853080e41816bb7b">
      <tp>
        <v>2</v>
        <stp/>
        <stp>9e1e2108-f142-4a0f-88ba-b020e28539f4</stp>
        <tr r="G28" s="4"/>
      </tp>
    </main>
    <main first="rtdsrv.e91a2bf1ca1e4425853080e41816bb7b">
      <tp>
        <v>1</v>
        <stp/>
        <stp>6fdf178b-a857-47c2-8888-fc8881deae2b</stp>
        <tr r="G33" s="7"/>
      </tp>
    </main>
    <main first="rtdsrv.e91a2bf1ca1e4425853080e41816bb7b">
      <tp>
        <v>1</v>
        <stp/>
        <stp>ffbe8731-f4fd-4568-86ff-efdec4ed16ab</stp>
        <tr r="I28" s="7"/>
      </tp>
      <tp>
        <v>2</v>
        <stp/>
        <stp>ead5256c-7c1b-42f4-bd99-9bc890361187</stp>
        <tr r="F6" s="3"/>
      </tp>
      <tp>
        <v>1</v>
        <stp/>
        <stp>816db770-d1de-45da-8b86-359efa0fbc21</stp>
        <tr r="G41" s="7"/>
      </tp>
      <tp>
        <v>1</v>
        <stp/>
        <stp>07bcb521-e3dc-4b6c-a3e9-4bd08722d88c</stp>
        <tr r="G27" s="7"/>
      </tp>
    </main>
    <main first="rtdsrv.e91a2bf1ca1e4425853080e41816bb7b">
      <tp>
        <v>1</v>
        <stp/>
        <stp>a086a178-18a3-417f-a83c-a5c6be7d9938</stp>
        <tr r="G6" s="3"/>
      </tp>
      <tp>
        <v>2</v>
        <stp/>
        <stp>4cec28f3-cd5a-4189-b49d-fe0f3f6b4750</stp>
        <tr r="G27" s="4"/>
      </tp>
      <tp>
        <v>2</v>
        <stp/>
        <stp>06508cd3-e3a6-4c3b-a716-35c7684acb31</stp>
        <tr r="D45" s="5"/>
      </tp>
    </main>
    <main first="rtdsrv.e91a2bf1ca1e4425853080e41816bb7b">
      <tp>
        <v>2</v>
        <stp/>
        <stp>49a04724-098f-4100-a6a1-8a2df247c7ca</stp>
        <tr r="G40" s="4"/>
      </tp>
      <tp>
        <v>2</v>
        <stp/>
        <stp>2e48e8ca-aa73-478f-a16f-f674fba46392</stp>
        <tr r="G23" s="1"/>
      </tp>
      <tp>
        <v>2</v>
        <stp/>
        <stp>6aa75921-65ad-4b07-ade2-cb1333cb1f98</stp>
        <tr r="G34" s="1"/>
      </tp>
    </main>
    <main first="rtdsrv.e91a2bf1ca1e4425853080e41816bb7b">
      <tp>
        <v>2</v>
        <stp/>
        <stp>3667a29f-ef97-4a03-9836-2a8a12fd692f</stp>
        <tr r="G57" s="4"/>
      </tp>
    </main>
    <main first="rtdsrv.e91a2bf1ca1e4425853080e41816bb7b">
      <tp>
        <v>2</v>
        <stp/>
        <stp>980c0fb5-b348-4820-af35-b1bb76f4e392</stp>
        <tr r="G21" s="4"/>
      </tp>
    </main>
    <main first="rtdsrv.e91a2bf1ca1e4425853080e41816bb7b">
      <tp>
        <v>2</v>
        <stp/>
        <stp>a8582a43-4f2f-4f60-b02d-bfad376af510</stp>
        <tr r="H5" s="5"/>
      </tp>
    </main>
    <main first="rtdsrv.e91a2bf1ca1e4425853080e41816bb7b">
      <tp>
        <v>2</v>
        <stp/>
        <stp>5153b8b4-caf6-4405-afb1-8694a5eb458f</stp>
        <tr r="G32" s="4"/>
      </tp>
    </main>
    <main first="rtdsrv.e91a2bf1ca1e4425853080e41816bb7b">
      <tp>
        <v>2</v>
        <stp/>
        <stp>abeb2d7b-a6aa-461b-b688-87a78ef61ee8</stp>
        <tr r="G20" s="1"/>
      </tp>
    </main>
    <main first="rtdsrv.e91a2bf1ca1e4425853080e41816bb7b">
      <tp>
        <v>2</v>
        <stp/>
        <stp>e0247dd1-819d-4ed4-8acc-8cf60a1003c9</stp>
        <tr r="D40" s="5"/>
      </tp>
      <tp>
        <v>1</v>
        <stp/>
        <stp>9eca985a-67bb-4bc0-b3bb-701052c651a0</stp>
        <tr r="G24" s="7"/>
      </tp>
    </main>
    <main first="rtdsrv.e91a2bf1ca1e4425853080e41816bb7b">
      <tp>
        <v>1</v>
        <stp/>
        <stp>ece48c6e-8326-4ad0-95d2-6f2a221c7257</stp>
        <tr r="G52" s="7"/>
      </tp>
    </main>
    <main first="rtdsrv.e91a2bf1ca1e4425853080e41816bb7b">
      <tp>
        <v>2</v>
        <stp/>
        <stp>88ccba31-420d-4acf-9ec9-ba91cf3f2e15</stp>
        <tr r="G32" s="1"/>
      </tp>
      <tp>
        <v>1</v>
        <stp/>
        <stp>08f5f323-2ea5-4faa-a7fc-a95999a444f4</stp>
        <tr r="G55" s="7"/>
      </tp>
      <tp>
        <v>1</v>
        <stp/>
        <stp>84c4c9e8-0355-417b-84af-7634d3fb8283</stp>
        <tr r="G30" s="7"/>
      </tp>
      <tp>
        <v>1</v>
        <stp/>
        <stp>b831ac8d-046f-428f-8fac-702a80649ed2</stp>
        <tr r="G5" s="3"/>
      </tp>
      <tp>
        <v>2</v>
        <stp/>
        <stp>ded141e6-fe97-4c48-83e8-936d27eb6b2e</stp>
        <tr r="G41" s="4"/>
      </tp>
    </main>
    <main first="rtdsrv.e91a2bf1ca1e4425853080e41816bb7b">
      <tp>
        <v>1</v>
        <stp/>
        <stp>1fd46bd6-eb4d-4eba-be8f-f5193bd36ffc</stp>
        <tr r="H5" s="3"/>
      </tp>
    </main>
    <main first="rtdsrv.e91a2bf1ca1e4425853080e41816bb7b">
      <tp>
        <v>2</v>
        <stp/>
        <stp>0e541858-15ef-4685-89b8-9a88d1aebba4</stp>
        <tr r="I28" s="1"/>
      </tp>
    </main>
    <main first="rtdsrv.e91a2bf1ca1e4425853080e41816bb7b">
      <tp>
        <v>2</v>
        <stp/>
        <stp>280945b5-761a-4b65-aee9-e82618c3acc2</stp>
        <tr r="D50" s="5"/>
      </tp>
      <tp>
        <v>1</v>
        <stp/>
        <stp>f96780a5-8d6e-4507-8c1d-b2e018a8644b</stp>
        <tr r="G51" s="7"/>
      </tp>
    </main>
    <main first="rtdsrv.e91a2bf1ca1e4425853080e41816bb7b">
      <tp>
        <v>2</v>
        <stp/>
        <stp>56e9ee2d-ae92-4fee-8ccc-81b26562783e</stp>
        <tr r="G22" s="4"/>
      </tp>
    </main>
    <main first="rtdsrv.e91a2bf1ca1e4425853080e41816bb7b">
      <tp>
        <v>2</v>
        <stp/>
        <stp>88bc3314-4495-4b8c-a4e9-8c251a73531a</stp>
        <tr r="G53" s="1"/>
      </tp>
      <tp>
        <v>2</v>
        <stp/>
        <stp>daee27e1-135c-4c38-9743-dc6fede65d11</stp>
        <tr r="G48" s="1"/>
      </tp>
      <tp>
        <v>2</v>
        <stp/>
        <stp>803d85a0-df34-4c3a-bca2-ac9fe6462c5a</stp>
        <tr r="G47" s="4"/>
      </tp>
    </main>
    <main first="rtdsrv.e91a2bf1ca1e4425853080e41816bb7b">
      <tp>
        <v>2</v>
        <stp/>
        <stp>b72de556-e764-409c-84ac-b4a124883231</stp>
        <tr r="G34" s="4"/>
      </tp>
    </main>
    <main first="rtdsrv.e91a2bf1ca1e4425853080e41816bb7b">
      <tp>
        <v>2</v>
        <stp/>
        <stp>780a5e52-af70-4cc1-9cab-a1c833d06939</stp>
        <tr r="G33" s="1"/>
      </tp>
    </main>
    <main first="rtdsrv.e91a2bf1ca1e4425853080e41816bb7b">
      <tp>
        <v>2</v>
        <stp/>
        <stp>7f9f530a-f2f4-4b02-bba3-a3e0221f2633</stp>
        <tr r="G46" s="1"/>
      </tp>
    </main>
    <main first="rtdsrv.e91a2bf1ca1e4425853080e41816bb7b">
      <tp>
        <v>2</v>
        <stp/>
        <stp>02a1a1e0-f7e3-4b0d-93b6-d124e36196fa</stp>
        <tr r="D15" s="5"/>
      </tp>
      <tp>
        <v>2</v>
        <stp/>
        <stp>c3e774ee-7c75-4828-a8b1-6d9bca54389e</stp>
        <tr r="G38" s="1"/>
      </tp>
      <tp>
        <v>2</v>
        <stp/>
        <stp>ca3ac737-133d-4892-a5a1-cc9532fd1299</stp>
        <tr r="G33" s="4"/>
      </tp>
    </main>
    <main first="rtdsrv.e91a2bf1ca1e4425853080e41816bb7b">
      <tp>
        <v>1</v>
        <stp/>
        <stp>bb5b7681-0456-49b7-9ac0-cfe6f1b7b184</stp>
        <tr r="G37" s="7"/>
      </tp>
    </main>
    <main first="rtdsrv.e91a2bf1ca1e4425853080e41816bb7b">
      <tp>
        <v>2</v>
        <stp/>
        <stp>5ed70c66-31db-48b0-872d-4b3aa6e595f0</stp>
        <tr r="G36" s="4"/>
      </tp>
    </main>
    <main first="rtdsrv.e91a2bf1ca1e4425853080e41816bb7b">
      <tp>
        <v>2</v>
        <stp/>
        <stp>0545b6c7-2921-4fcb-88c8-9aded2b875e6</stp>
        <tr r="G49" s="1"/>
      </tp>
    </main>
    <main first="rtdsrv.e91a2bf1ca1e4425853080e41816bb7b">
      <tp>
        <v>2</v>
        <stp/>
        <stp>8e3c1621-e367-48e7-a7ba-af43b2248a31</stp>
        <tr r="G44" s="1"/>
      </tp>
      <tp>
        <v>2</v>
        <stp/>
        <stp>ab551407-8702-43f6-ab37-d7c1638c0985</stp>
        <tr r="G35" s="1"/>
      </tp>
      <tp>
        <v>1</v>
        <stp/>
        <stp>b3ddb51f-a888-4ce2-a56e-8dc420496a88</stp>
        <tr r="P19" s="7"/>
      </tp>
    </main>
    <main first="rtdsrv.e91a2bf1ca1e4425853080e41816bb7b">
      <tp>
        <v>2</v>
        <stp/>
        <stp>bcda11bb-56fd-41c7-af62-eba232391ccf</stp>
        <tr r="B5" s="5"/>
      </tp>
      <tp>
        <v>2</v>
        <stp/>
        <stp>f27b0066-4167-4ae3-b27b-c4b251a75bb2</stp>
        <tr r="D30" s="5"/>
      </tp>
      <tp>
        <v>2</v>
        <stp/>
        <stp>1a9fed76-60fc-4da6-9f3e-6cf87d8c4d5c</stp>
        <tr r="G45" s="4"/>
      </tp>
    </main>
    <main first="rtdsrv.e91a2bf1ca1e4425853080e41816bb7b">
      <tp>
        <v>1</v>
        <stp/>
        <stp>982b784e-48a6-459a-8240-54baec0dcc1e</stp>
        <tr r="G22" s="7"/>
      </tp>
      <tp>
        <v>2</v>
        <stp/>
        <stp>33a39252-a7e1-4921-8445-c1166799964f</stp>
        <tr r="G28" s="1"/>
      </tp>
      <tp>
        <v>1</v>
        <stp/>
        <stp>e068f5c0-c1d7-4736-a4b2-6e67b0544229</stp>
        <tr r="G20" s="7"/>
      </tp>
      <tp>
        <v>2</v>
        <stp/>
        <stp>9445c45b-13e2-4067-83f2-1a5edeaf9172</stp>
        <tr r="D20" s="5"/>
      </tp>
      <tp>
        <v>2</v>
        <stp/>
        <stp>6a7d72ee-170a-4eb4-af66-ab65dfa401db</stp>
        <tr r="F7" s="3"/>
      </tp>
      <tp>
        <v>2</v>
        <stp/>
        <stp>ea5690f0-c08b-44fd-8930-3ded9113cef3</stp>
        <tr r="G54" s="1"/>
      </tp>
    </main>
    <main first="rtdsrv.e91a2bf1ca1e4425853080e41816bb7b">
      <tp>
        <v>1</v>
        <stp/>
        <stp>dad37e2f-6ff2-4ad7-89f2-b1d7610727cc</stp>
        <tr r="F6" s="7"/>
      </tp>
    </main>
    <main first="rtdsrv.e91a2bf1ca1e4425853080e41816bb7b">
      <tp>
        <v>2</v>
        <stp/>
        <stp>6f15ca21-eeef-4d92-953f-b6eca5a7c4bd</stp>
        <tr r="G55" s="1"/>
      </tp>
    </main>
    <main first="rtdsrv.e91a2bf1ca1e4425853080e41816bb7b">
      <tp>
        <v>1</v>
        <stp/>
        <stp>d4a82a9f-6ab7-45ed-b903-cca4a852f89e</stp>
        <tr r="G21" s="7"/>
      </tp>
    </main>
    <main first="rtdsrv.e91a2bf1ca1e4425853080e41816bb7b">
      <tp>
        <v>1</v>
        <stp/>
        <stp>2d831470-fb21-4ef4-ba8a-a4d229c6bd27</stp>
        <tr r="G49" s="7"/>
      </tp>
    </main>
    <main first="rtdsrv.e91a2bf1ca1e4425853080e41816bb7b">
      <tp>
        <v>2</v>
        <stp/>
        <stp>2feaffaf-2642-4579-a7dc-875b131928fe</stp>
        <tr r="I42" s="4"/>
      </tp>
      <tp>
        <v>2</v>
        <stp/>
        <stp>11764cbb-1e2f-430a-9267-6a4d618a778e</stp>
        <tr r="G52" s="1"/>
      </tp>
      <tp>
        <v>1</v>
        <stp/>
        <stp>64aa74f5-2d77-4355-a3de-b1b7ec6d8bb6</stp>
        <tr r="G31" s="7"/>
      </tp>
    </main>
    <main first="rtdsrv.e91a2bf1ca1e4425853080e41816bb7b">
      <tp>
        <v>2</v>
        <stp/>
        <stp>8bd127b9-4752-45e4-ad4f-7d8fbdebb2e9</stp>
        <tr r="G25" s="1"/>
      </tp>
      <tp>
        <v>1</v>
        <stp/>
        <stp>0b3f895f-92df-4edf-89bc-45d1c4e23498</stp>
        <tr r="G23" s="7"/>
      </tp>
    </main>
    <main first="rtdsrv.e91a2bf1ca1e4425853080e41816bb7b">
      <tp>
        <v>1</v>
        <stp/>
        <stp>659027a3-0ddd-4f1b-a507-d29b71d5100f</stp>
        <tr r="G36" s="7"/>
      </tp>
      <tp>
        <v>2</v>
        <stp/>
        <stp>e09fdb37-b9cb-4f52-957d-f6b47240abc6</stp>
        <tr r="C2" s="2"/>
      </tp>
    </main>
    <main first="rtdsrv.e91a2bf1ca1e4425853080e41816bb7b">
      <tp>
        <v>2</v>
        <stp/>
        <stp>ff1e2d00-b307-49fc-a9a0-937c70d0f226</stp>
        <tr r="G23" s="4"/>
      </tp>
    </main>
    <main first="rtdsrv.e91a2bf1ca1e4425853080e41816bb7b">
      <tp>
        <v>2</v>
        <stp/>
        <stp>c051a473-ff27-499e-874c-e270c67e9dd7</stp>
        <tr r="G39" s="1"/>
      </tp>
      <tp>
        <v>2</v>
        <stp/>
        <stp>48efdd40-2dc5-45f3-8fa5-23ca4eadf9bc</stp>
        <tr r="D4" s="3"/>
      </tp>
    </main>
    <main first="rtdsrv.e91a2bf1ca1e4425853080e41816bb7b">
      <tp>
        <v>1</v>
        <stp/>
        <stp>49f80794-5b5e-4fb8-acfc-3c0a46f70b08</stp>
        <tr r="P29" s="7"/>
      </tp>
      <tp>
        <v>2</v>
        <stp/>
        <stp>7c3f3146-a0f2-4e8a-a752-1c4ccf431014</stp>
        <tr r="G26" s="1"/>
      </tp>
    </main>
    <main first="rtdsrv.e91a2bf1ca1e4425853080e41816bb7b">
      <tp>
        <v>2</v>
        <stp/>
        <stp>8db3c620-0d68-4efb-bc1c-ef6d5de9ead3</stp>
        <tr r="I19" s="1"/>
      </tp>
      <tp>
        <v>2</v>
        <stp/>
        <stp>5d527713-f32b-4137-bd27-6d368a835d73</stp>
        <tr r="G51" s="1"/>
      </tp>
      <tp>
        <v>2</v>
        <stp/>
        <stp>b0659a46-a5a3-45ff-8201-049a46748520</stp>
        <tr r="G21" s="1"/>
      </tp>
    </main>
    <main first="rtdsrv.e91a2bf1ca1e4425853080e41816bb7b">
      <tp>
        <v>2</v>
        <stp/>
        <stp>fea94141-54b1-4c62-8fdf-50571e07f36d</stp>
        <tr r="I28" s="4"/>
      </tp>
      <tp>
        <v>2</v>
        <stp/>
        <stp>f0c4da8d-6acc-4984-95b4-2d1a009a0429</stp>
        <tr r="G27" s="1"/>
      </tp>
    </main>
    <main first="rtdsrv.e91a2bf1ca1e4425853080e41816bb7b">
      <tp>
        <v>1</v>
        <stp/>
        <stp>25c6bf0e-eb84-4137-a21b-3366a7a1de77</stp>
        <tr r="G56" s="7"/>
      </tp>
    </main>
    <main first="rtdsrv.e91a2bf1ca1e4425853080e41816bb7b">
      <tp>
        <v>2</v>
        <stp/>
        <stp>2c9dbaf7-ff4d-47bb-ab4e-2d7507fdd156</stp>
        <tr r="G47" s="1"/>
      </tp>
    </main>
    <main first="rtdsrv.e91a2bf1ca1e4425853080e41816bb7b">
      <tp>
        <v>1</v>
        <stp/>
        <stp>1aeed1e9-aa44-497b-ac03-91a760541244</stp>
        <tr r="H8" s="3"/>
      </tp>
    </main>
    <main first="rtdsrv.e91a2bf1ca1e4425853080e41816bb7b">
      <tp>
        <v>2</v>
        <stp/>
        <stp>a855ad58-8793-4358-b2da-582a4b47c297</stp>
        <tr r="G53" s="4"/>
      </tp>
      <tp>
        <v>2</v>
        <stp/>
        <stp>47ca01c6-4e3e-4763-8902-5dd767fd6208</stp>
        <tr r="G31" s="4"/>
      </tp>
      <tp>
        <v>2</v>
        <stp/>
        <stp>8cce1b30-e8a1-4fca-8324-58153dd58478</stp>
        <tr r="G54" s="4"/>
      </tp>
    </main>
    <main first="rtdsrv.e91a2bf1ca1e4425853080e41816bb7b">
      <tp>
        <v>2</v>
        <stp/>
        <stp>f90b7290-071e-43ac-a632-54ccd5bfb50c</stp>
        <tr r="G24" s="4"/>
      </tp>
      <tp>
        <v>1</v>
        <stp/>
        <stp>1d8cb5ba-6afc-4206-8485-3c2edb6c073a</stp>
        <tr r="G29" s="7"/>
      </tp>
      <tp>
        <v>2</v>
        <stp/>
        <stp>ee458c4d-70c4-4d53-bf75-3c361995c086</stp>
        <tr r="G48" s="4"/>
      </tp>
    </main>
    <main first="rtdsrv.e91a2bf1ca1e4425853080e41816bb7b">
      <tp>
        <v>1</v>
        <stp/>
        <stp>c5a16031-d5c2-45ab-9273-f90484fb3fac</stp>
        <tr r="G57" s="7"/>
      </tp>
    </main>
    <main first="rtdsrv.e91a2bf1ca1e4425853080e41816bb7b">
      <tp>
        <v>2</v>
        <stp/>
        <stp>1d962afc-24b1-4218-b6dc-6f4c52136a2b</stp>
        <tr r="G41" s="1"/>
      </tp>
      <tp>
        <v>2</v>
        <stp/>
        <stp>c54cb856-929c-47cf-825e-f340a39bb9f9</stp>
        <tr r="I32" s="4"/>
        <tr r="I19" s="4"/>
      </tp>
      <tp>
        <v>1</v>
        <stp/>
        <stp>17c7f19d-a193-4512-8480-0cf4eb09d282</stp>
        <tr r="H6" s="3"/>
      </tp>
    </main>
    <main first="rtdsrv.e91a2bf1ca1e4425853080e41816bb7b">
      <tp>
        <v>1</v>
        <stp/>
        <stp>b45f8936-b007-49ba-8d78-912b3ea6f310</stp>
        <tr r="G25" s="7"/>
      </tp>
    </main>
    <main first="rtdsrv.e91a2bf1ca1e4425853080e41816bb7b">
      <tp>
        <v>2</v>
        <stp/>
        <stp>632f156c-8d26-4f9e-b499-94601978d127</stp>
        <tr r="G52" s="4"/>
      </tp>
      <tp>
        <v>2</v>
        <stp/>
        <stp>110785ba-36e4-4607-bc85-8f3186bc06d3</stp>
        <tr r="G46" s="4"/>
      </tp>
      <tp>
        <v>1</v>
        <stp/>
        <stp>892969df-8a5a-4075-94d2-2ea577e3aed1</stp>
        <tr r="G45" s="7"/>
      </tp>
    </main>
    <main first="rtdsrv.e91a2bf1ca1e4425853080e41816bb7b">
      <tp>
        <v>2</v>
        <stp/>
        <stp>2cab6761-c25b-43c0-94db-a2bb290675f1</stp>
        <tr r="F6" s="4"/>
      </tp>
      <tp>
        <v>2</v>
        <stp/>
        <stp>d830ea8e-cebd-4055-b387-18ae9a86a335</stp>
        <tr r="G40" s="1"/>
      </tp>
    </main>
    <main first="rtdsrv.e91a2bf1ca1e4425853080e41816bb7b">
      <tp>
        <v>2</v>
        <stp/>
        <stp>88202da2-efbd-4eb8-9bb4-c889e79541fc</stp>
        <tr r="G24" s="1"/>
      </tp>
      <tp>
        <v>2</v>
        <stp/>
        <stp>7a801bdd-1969-4439-9217-46d5d0fe8a33</stp>
        <tr r="P29" s="1"/>
      </tp>
    </main>
    <main first="rtdsrv.e91a2bf1ca1e4425853080e41816bb7b">
      <tp>
        <v>2</v>
        <stp/>
        <stp>6d7ff179-dca0-465e-9679-c85a947003cb</stp>
        <tr r="G56" s="4"/>
      </tp>
    </main>
    <main first="rtdsrv.e91a2bf1ca1e4425853080e41816bb7b">
      <tp>
        <v>2</v>
        <stp/>
        <stp>2a7416b4-4f6c-400d-9cab-2533e6d2394c</stp>
        <tr r="D25" s="5"/>
      </tp>
      <tp>
        <v>2</v>
        <stp/>
        <stp>f847316d-048e-476c-a9dc-d06f57e90e50</stp>
        <tr r="G29" s="1"/>
      </tp>
      <tp>
        <v>2</v>
        <stp/>
        <stp>3518c879-97ad-446f-ad9b-851b0dbc0f03</stp>
        <tr r="G30" s="1"/>
      </tp>
    </main>
    <main first="rtdsrv.e91a2bf1ca1e4425853080e41816bb7b">
      <tp>
        <v>2</v>
        <stp/>
        <stp>a70e9c66-6f5d-4975-b287-b401e442c394</stp>
        <tr r="G45" s="1"/>
      </tp>
    </main>
    <main first="rtdsrv.e91a2bf1ca1e4425853080e41816bb7b">
      <tp>
        <v>1</v>
        <stp/>
        <stp>e832e3d5-9a86-4f66-8198-5d203c20ca9d</stp>
        <tr r="G43" s="7"/>
      </tp>
      <tp>
        <v>1</v>
        <stp/>
        <stp>f3aa15cd-4dad-4112-a78e-e5e88da8a231</stp>
        <tr r="G48" s="7"/>
      </tp>
    </main>
    <main first="rtdsrv.e91a2bf1ca1e4425853080e41816bb7b">
      <tp>
        <v>2</v>
        <stp/>
        <stp>5beca35a-4ce1-4829-8b54-3a4ce23adaef</stp>
        <tr r="G44" s="4"/>
      </tp>
      <tp>
        <v>2</v>
        <stp/>
        <stp>16a7220e-00ca-429a-932c-7dc92a15c93c</stp>
        <tr r="G22" s="1"/>
      </tp>
    </main>
    <main first="rtdsrv.e91a2bf1ca1e4425853080e41816bb7b">
      <tp>
        <v>1</v>
        <stp/>
        <stp>2425e602-f6fd-46ea-a4ca-0932c0f2b54d</stp>
        <tr r="G39" s="7"/>
      </tp>
      <tp>
        <v>2</v>
        <stp/>
        <stp>545b3ea1-0f7d-4286-b753-e95f2dc37ecd</stp>
        <tr r="G43" s="1"/>
      </tp>
    </main>
    <main first="rtdsrv.e91a2bf1ca1e4425853080e41816bb7b">
      <tp>
        <v>1</v>
        <stp/>
        <stp>fe569efc-4812-4199-bb2a-b65f6c6aa0d4</stp>
        <tr r="G53" s="7"/>
      </tp>
      <tp>
        <v>2</v>
        <stp/>
        <stp>794bfc42-730b-42e2-b2bc-3a04408e1621</stp>
        <tr r="G36" s="1"/>
      </tp>
    </main>
    <main first="rtdsrv.e91a2bf1ca1e4425853080e41816bb7b">
      <tp>
        <v>2</v>
        <stp/>
        <stp>0323dba1-868e-4bbf-8f30-6776635cdb59</stp>
        <tr r="G30" s="4"/>
      </tp>
      <tp>
        <v>2</v>
        <stp/>
        <stp>da3140d5-2543-425b-b003-ba2011d9c809</stp>
        <tr r="F8" s="3"/>
      </tp>
      <tp>
        <v>1</v>
        <stp/>
        <stp>7eeb9f54-e650-4532-b266-3e737fc5180e</stp>
        <tr r="G46" s="7"/>
      </tp>
    </main>
    <main first="rtdsrv.e91a2bf1ca1e4425853080e41816bb7b">
      <tp>
        <v>2</v>
        <stp/>
        <stp>9d2ea3c5-6a8c-45fc-a388-7250c4fcae53</stp>
        <tr r="G43" s="4"/>
      </tp>
      <tp>
        <v>1</v>
        <stp/>
        <stp>ac3d5812-c37a-470c-b241-348700fa3206</stp>
        <tr r="I19" s="7"/>
      </tp>
    </main>
    <main first="rtdsrv.e91a2bf1ca1e4425853080e41816bb7b">
      <tp>
        <v>2</v>
        <stp/>
        <stp>01694f3a-a023-4d9e-bbe9-577f39d89a6d</stp>
        <tr r="F4" s="3"/>
      </tp>
      <tp>
        <v>2</v>
        <stp/>
        <stp>69308b63-ffde-4724-8bbf-0cd7a7490f63</stp>
        <tr r="F6" s="1"/>
      </tp>
    </main>
    <main first="rtdsrv.e91a2bf1ca1e4425853080e41816bb7b">
      <tp>
        <v>2</v>
        <stp/>
        <stp>2f200a3c-874c-4f0d-9a05-30102646e57e</stp>
        <tr r="F5" s="3"/>
      </tp>
    </main>
    <main first="rtdsrv.e91a2bf1ca1e4425853080e41816bb7b">
      <tp>
        <v>2</v>
        <stp/>
        <stp>42de0596-f89f-4d80-9b31-243e590fc74a</stp>
        <tr r="G4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65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JsonObject:B5B4CCE3-96AE-40E7-B7C2-DE061F03E641</v>
      </c>
      <c r="K1" t="str">
        <f>EXLIBRIS_CONFIGURATION</f>
        <v>ExLibris.Core.ExLibrisConfiguration:A3505878-8022-4705-B0DF-ED091E6A34F4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JsonObject:DCB7A87F-40A1-446F-BC48-D6727DF6D996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JsonObject:D3EFBB05-8438-415B-925D-3931CC155DD0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JsonObject:82BAFBD6-F740-4F07-8B72-17652EAD06CA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JsonObject:FB22A593-FC8A-4388-9EC5-D374F757CEC1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JsonObject:ED5FAFFA-759F-4DB6-B195-261E8EC50B3B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JsonObject:60840F80-06C2-4EAE-92DC-02D7027C10BF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JsonObject:C8E3E2A3-A650-4367-A12B-239FABC1C85A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JsonObject:3781CD40-705D-484F-A6F8-5B66DE27128E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JsonObject:9DDB565C-5CEA-459A-B30C-D60000B098A9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JsonObject:8BC4681C-84F4-4680-90F7-E525ED5BB21B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9"/>
        <v>1</v>
      </c>
      <c r="AS61" t="b">
        <f t="shared" si="9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9"/>
        <v>1</v>
      </c>
      <c r="AS62" t="b">
        <f t="shared" si="9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9"/>
        <v>1</v>
      </c>
      <c r="AS63" t="b">
        <f t="shared" si="9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9"/>
        <v>1</v>
      </c>
      <c r="AS64" t="b">
        <f t="shared" si="9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_xll.ExLibris.Json.CreateJsonObjectAsync(E3:F6)</f>
        <v>JsonObject:3C6C8349-B49F-45AC-90E0-1C959B076691</v>
      </c>
      <c r="K1" t="str">
        <f>EXLIBRIS_CONFIGURATION</f>
        <v>ExLibris.Core.ExLibrisConfiguration:A3505878-8022-4705-B0DF-ED091E6A34F4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_xll.ExLibris.Json.CreateJsonArrayAsync(E8:J14)</f>
        <v>JsonObject:0A8307F4-3F69-4E1B-9C16-7043EA734C0F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JsonObject:6C930AEF-8421-40AB-BAFF-0CB90F782945</v>
      </c>
      <c r="P19" t="str" cm="1">
        <f t="array" ref="P19:Q27">_xll.ExLibris.Json.GetJsonKeyValuesAsync(F1,,3)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JsonObject:61F37CF0-86A7-43C9-8F36-CBE5A8BA9982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JsonObject:20286845-E0C5-443A-94A2-16E49B8FFCF9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JsonObject:6CCF7990-888C-4451-BBE1-359E76DA2EF4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JsonObject:7E41441A-F581-4936-A2E9-88E9CBC8A716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JsonObject:88E5773E-7315-4B4F-A4DD-6FB4D6B99DA8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JsonObject:6F5CDAD0-1D3B-478B-84AB-CDDFE94B3FCC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JsonObject:59D3B7CE-EE20-4211-911F-F1328EE23664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_xll.ExLibris.Json.CreateJsonObjectAsync(P22:Q27)</f>
        <v>JsonObject:E4F52AA6-81C7-4154-832C-8CDEAEE32991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_xll.ExLibris.Json.GetJsonValueAsync($F$1,E32)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_xll.ExLibris.Json.GetJsonValueAsync($F$1,E38)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_xll.ExLibris.Json.CreateJsonObjectAsync(E3:F6, EXLIBRIS_CONFIGURATION)</f>
        <v>JsonObject:2B2A96C2-A634-4768-97AA-40BF69D427BB</v>
      </c>
      <c r="K1" t="str">
        <f>EXLIBRIS_CONFIGURATION</f>
        <v>ExLibris.Core.ExLibrisConfiguration:A3505878-8022-4705-B0DF-ED091E6A34F4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_xll.ExLibris.Json.CreateJsonArrayAsync(E8:J14, EXLIBRIS_CONFIGURATION)</f>
        <v>JsonObject:A5AF79D2-AAF4-4315-A839-1A7598723ABC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108</v>
      </c>
      <c r="C7" s="6">
        <f>COUNTIF(AE34:AJ36,FALSE)</f>
        <v>0</v>
      </c>
      <c r="L7" t="s">
        <v>74</v>
      </c>
      <c r="M7" t="s">
        <v>106</v>
      </c>
    </row>
    <row r="8" spans="2:25" x14ac:dyDescent="0.4">
      <c r="B8" s="6" t="s">
        <v>109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_xll.ExLibris.Json.GetJsonKeyValuesAsync(F1,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JsonObject:F2DDDE3E-A881-4CB2-B225-52BFE1009195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JsonObject:F36138D1-4683-4536-BDF9-3D243EABA6DB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JsonObject:F2DDDE3E-A881-4CB2-B225-52BFE1009195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_xll.ExLibris.Json.SearchJsonArrayElementsAsync(I32,I8,I11,EXLIBRIS_CONFIGURATION)</f>
        <v>JsonObject:D008CE39-6185-478A-B17E-6D4C87DBADD7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_xll.ExLibris.Json.SearchJsonArrayElementsAsync(I32,J8,J11,EXLIBRIS_CONFIGURATION)</f>
        <v>JsonObject:C4634FDF-A9C9-414E-8231-1235C2E87600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_xll.ExLibris.Json.SearchJsonArrayElementsAsync(I32,J8,,EXLIBRIS_CONFIGURATION)</f>
        <v>JsonObject:F7CEB066-2995-4133-AC88-D60949E98D8E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 EXLIBRIS_CONFIGURATION)</f>
        <v/>
      </c>
      <c r="P43" t="s">
        <v>53</v>
      </c>
      <c r="Q43" t="s">
        <v>8</v>
      </c>
      <c r="R43" t="s">
        <v>8</v>
      </c>
      <c r="T43" t="s">
        <v>107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_xll.ExLibris.Json.GetJsonValueAsync($F$1,E44,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_xll.ExLibris.Json.GetJsonValueAsync($F$1,E50,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_xll.ExLibris.Json.GetJsonValueAsync($F$1,E56,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_xll.ExLibris.LoadConfigurationAsync(B6:C15)</f>
        <v>ExLibris.Core.ExLibrisConfiguration:A3505878-8022-4705-B0DF-ED091E6A34F4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100</v>
      </c>
    </row>
    <row r="3" spans="2:10" x14ac:dyDescent="0.4">
      <c r="D3" t="s">
        <v>148</v>
      </c>
      <c r="E3" t="s">
        <v>147</v>
      </c>
      <c r="F3" t="s">
        <v>101</v>
      </c>
      <c r="G3" t="s">
        <v>149</v>
      </c>
      <c r="H3" t="s">
        <v>156</v>
      </c>
      <c r="I3" t="s">
        <v>150</v>
      </c>
      <c r="J3" t="s">
        <v>151</v>
      </c>
    </row>
    <row r="4" spans="2:10" x14ac:dyDescent="0.4">
      <c r="D4" t="str" cm="1">
        <f t="array" ref="D4">_xll.ExLibris.WebSockets.OpenWebSocketAsync("ws://localhost:10101",,E4)</f>
        <v>ExLibris.Core.WebSockets.WebsocketClient:659B3690-449E-4205-886D-2C084E20246F</v>
      </c>
      <c r="E4" t="s">
        <v>102</v>
      </c>
      <c r="F4" t="str" cm="1">
        <f t="array" ref="F4">_xll.ExLibris.WebSockets.ObserveWebSocketStatus(D4,1000)</f>
        <v>Closed</v>
      </c>
      <c r="G4" t="e" cm="1">
        <f t="array" ref="G4">_xll.ExLibris.WebSockets.ObserveWebSocketMessage(D4)</f>
        <v>#N/A</v>
      </c>
      <c r="H4" t="e" cm="1">
        <f t="array" ref="H4">_xll.ExLibris.Json.ShowJsonText(_xll.ExLibris.Json.CreateJsonArray($E$3:G4))</f>
        <v>#VALUE!</v>
      </c>
      <c r="I4" t="e" cm="1">
        <f t="array" ref="I4">_xll.ExLibris.WebSockets.SendWebSocketMessage(D4,H4,F4="Open")</f>
        <v>#VALUE!</v>
      </c>
      <c r="J4" t="e" cm="1">
        <f t="array" ref="J4">_xll.ExLibris.WebSockets.SendWebSocketMessage($D$4,"1# "&amp;H4,I4)</f>
        <v>#VALUE!</v>
      </c>
    </row>
    <row r="5" spans="2:10" x14ac:dyDescent="0.4">
      <c r="D5" t="str" cm="1">
        <f t="array" ref="D5">_xll.ExLibris.WebSockets.OpenWebSocketAsync("ws://localhost:10101",,E5)</f>
        <v>ExLibris.Core.WebSockets.WebsocketClient:67060E24-65ED-4CC3-AE98-AEF89A1CD3E0</v>
      </c>
      <c r="E5" t="s">
        <v>152</v>
      </c>
      <c r="F5" t="str" cm="1">
        <f t="array" ref="F5">_xll.ExLibris.WebSockets.ObserveWebSocketStatus(D5,1000)</f>
        <v>Closed</v>
      </c>
      <c r="G5" t="e" cm="1">
        <f t="array" ref="G5">_xll.ExLibris.WebSockets.ObserveWebSocketMessage(D5)</f>
        <v>#N/A</v>
      </c>
      <c r="H5" t="e" cm="1">
        <f t="array" ref="H5">_xll.ExLibris.Json.ShowJsonText(_xll.ExLibris.Json.CreateJsonArray($E$3:G5))</f>
        <v>#VALUE!</v>
      </c>
      <c r="I5" t="e" cm="1">
        <f t="array" ref="I5">_xll.ExLibris.WebSockets.SendWebSocketMessage(D5,H5,F5="Open")</f>
        <v>#VALUE!</v>
      </c>
      <c r="J5" t="e" cm="1">
        <f t="array" ref="J5">_xll.ExLibris.WebSockets.SendWebSocketMessage($D$4,"1# "&amp;H5,I5)</f>
        <v>#VALUE!</v>
      </c>
    </row>
    <row r="6" spans="2:10" x14ac:dyDescent="0.4">
      <c r="D6" t="str" cm="1">
        <f t="array" ref="D6">_xll.ExLibris.WebSockets.OpenWebSocketAsync("ws://localhost:10101",,E6)</f>
        <v>ExLibris.Core.WebSockets.WebsocketClient:7C5A7623-9A39-4799-B0B2-07D68C7AF4D0</v>
      </c>
      <c r="E6" t="s">
        <v>153</v>
      </c>
      <c r="F6" t="str" cm="1">
        <f t="array" ref="F6">_xll.ExLibris.WebSockets.ObserveWebSocketStatus(D6,1000)</f>
        <v>Closed</v>
      </c>
      <c r="G6" t="e" cm="1">
        <f t="array" ref="G6">_xll.ExLibris.WebSockets.ObserveWebSocketMessage(D6)</f>
        <v>#N/A</v>
      </c>
      <c r="H6" t="e" cm="1">
        <f t="array" ref="H6">_xll.ExLibris.Json.ShowJsonText(_xll.ExLibris.Json.CreateJsonArray($E$3:G6))</f>
        <v>#VALUE!</v>
      </c>
      <c r="I6" t="e" cm="1">
        <f t="array" ref="I6">_xll.ExLibris.WebSockets.SendWebSocketMessage(D6,H6,F6="Open")</f>
        <v>#VALUE!</v>
      </c>
      <c r="J6" t="e" cm="1">
        <f t="array" ref="J6">_xll.ExLibris.WebSockets.SendWebSocketMessage($D$4,"1# "&amp;H6,I6)</f>
        <v>#VALUE!</v>
      </c>
    </row>
    <row r="7" spans="2:10" x14ac:dyDescent="0.4">
      <c r="D7" t="str" cm="1">
        <f t="array" ref="D7">_xll.ExLibris.WebSockets.OpenWebSocketAsync("ws://localhost:10101",,E7)</f>
        <v>ExLibris.Core.WebSockets.WebsocketClient:2E20B24C-6F88-425B-A976-776E83DAD963</v>
      </c>
      <c r="E7" t="s">
        <v>154</v>
      </c>
      <c r="F7" t="str" cm="1">
        <f t="array" ref="F7">_xll.ExLibris.WebSockets.ObserveWebSocketStatus(D7,1000)</f>
        <v>Closed</v>
      </c>
      <c r="G7" t="e" cm="1">
        <f t="array" ref="G7">_xll.ExLibris.WebSockets.ObserveWebSocketMessage(D7)</f>
        <v>#N/A</v>
      </c>
      <c r="H7" t="e" cm="1">
        <f t="array" ref="H7">_xll.ExLibris.Json.ShowJsonText(_xll.ExLibris.Json.CreateJsonArray($E$3:G7))</f>
        <v>#VALUE!</v>
      </c>
      <c r="I7" t="e" cm="1">
        <f t="array" ref="I7">_xll.ExLibris.WebSockets.SendWebSocketMessage(D7,H7,F7="Open")</f>
        <v>#VALUE!</v>
      </c>
      <c r="J7" t="e" cm="1">
        <f t="array" ref="J7">_xll.ExLibris.WebSockets.SendWebSocketMessage($D$4,"1# "&amp;H7,I7)</f>
        <v>#VALUE!</v>
      </c>
    </row>
    <row r="8" spans="2:10" x14ac:dyDescent="0.4">
      <c r="D8" t="str" cm="1">
        <f t="array" ref="D8">_xll.ExLibris.WebSockets.OpenWebSocketAsync("ws://localhost:10101",,E8)</f>
        <v>ExLibris.Core.WebSockets.WebsocketClient:1151B977-4A20-498E-A241-8352314C9F93</v>
      </c>
      <c r="E8" t="s">
        <v>155</v>
      </c>
      <c r="F8" t="str" cm="1">
        <f t="array" ref="F8">_xll.ExLibris.WebSockets.ObserveWebSocketStatus(D8,1000)</f>
        <v>Closed</v>
      </c>
      <c r="G8" t="e" cm="1">
        <f t="array" ref="G8">_xll.ExLibris.WebSockets.ObserveWebSocketMessage(D8)</f>
        <v>#N/A</v>
      </c>
      <c r="H8" t="e" cm="1">
        <f t="array" ref="H8">_xll.ExLibris.Json.ShowJsonText(_xll.ExLibris.Json.CreateJsonArray($E$3:G8))</f>
        <v>#VALUE!</v>
      </c>
      <c r="I8" t="e" cm="1">
        <f t="array" ref="I8">_xll.ExLibris.WebSockets.SendWebSocketMessage(D8,H8,F8="Open")</f>
        <v>#VALUE!</v>
      </c>
      <c r="J8" t="e" cm="1">
        <f t="array" ref="J8">_xll.ExLibris.WebSockets.SendWebSocketMessage($D$4,"1# "&amp;H8,I8)</f>
        <v>#VALUE!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K52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11" x14ac:dyDescent="0.4">
      <c r="B2" t="s">
        <v>111</v>
      </c>
      <c r="C2" s="7" t="s">
        <v>117</v>
      </c>
      <c r="E2" t="s">
        <v>119</v>
      </c>
      <c r="K2" t="s">
        <v>157</v>
      </c>
    </row>
    <row r="3" spans="2:11" x14ac:dyDescent="0.4">
      <c r="C3" t="s">
        <v>116</v>
      </c>
    </row>
    <row r="5" spans="2:11" x14ac:dyDescent="0.4">
      <c r="B5" t="str" cm="1">
        <f t="array" ref="B5">_xll.ExLibris.WebAPIs.CreateHeadersAsync(B6:C10)</f>
        <v>ExLibris.Core.WebAPIs.WebAPIHeaders:520AFD9E-7D6D-477F-AE62-12DA42BD3FE3</v>
      </c>
      <c r="H5" t="str" cm="1">
        <f t="array" ref="H5">_xll.ExLibris.Json.CreateJsonObjectAsync(H6:I11)</f>
        <v>JsonObject:30D2728C-3ABD-4502-830A-356B76FF444B</v>
      </c>
    </row>
    <row r="6" spans="2:11" x14ac:dyDescent="0.4">
      <c r="B6" t="s">
        <v>120</v>
      </c>
      <c r="C6" t="s">
        <v>121</v>
      </c>
      <c r="H6" t="s">
        <v>140</v>
      </c>
      <c r="I6" t="s">
        <v>142</v>
      </c>
    </row>
    <row r="7" spans="2:11" x14ac:dyDescent="0.4">
      <c r="B7" t="s">
        <v>122</v>
      </c>
      <c r="C7" t="s">
        <v>128</v>
      </c>
      <c r="H7" t="s">
        <v>141</v>
      </c>
      <c r="I7" t="s">
        <v>143</v>
      </c>
    </row>
    <row r="8" spans="2:11" x14ac:dyDescent="0.4">
      <c r="B8" t="s">
        <v>123</v>
      </c>
      <c r="C8" t="s">
        <v>129</v>
      </c>
      <c r="H8" t="s">
        <v>131</v>
      </c>
      <c r="I8">
        <v>108.5</v>
      </c>
    </row>
    <row r="9" spans="2:11" x14ac:dyDescent="0.4">
      <c r="B9" t="s">
        <v>124</v>
      </c>
      <c r="C9" t="s">
        <v>125</v>
      </c>
      <c r="H9" t="s">
        <v>132</v>
      </c>
      <c r="I9" t="s">
        <v>133</v>
      </c>
    </row>
    <row r="10" spans="2:11" x14ac:dyDescent="0.4">
      <c r="B10" t="s">
        <v>126</v>
      </c>
      <c r="C10" t="s">
        <v>127</v>
      </c>
      <c r="H10" t="s">
        <v>134</v>
      </c>
      <c r="I10" t="s">
        <v>135</v>
      </c>
    </row>
    <row r="11" spans="2:11" x14ac:dyDescent="0.4">
      <c r="H11" t="s">
        <v>136</v>
      </c>
      <c r="I11" s="1">
        <v>44463</v>
      </c>
    </row>
    <row r="12" spans="2:11" x14ac:dyDescent="0.4">
      <c r="B12" s="8">
        <f>COUNTIF(E14:E52,FALSE)</f>
        <v>0</v>
      </c>
      <c r="I12" s="1"/>
    </row>
    <row r="13" spans="2:11" x14ac:dyDescent="0.4">
      <c r="D13" t="s">
        <v>68</v>
      </c>
      <c r="E13" t="s">
        <v>177</v>
      </c>
      <c r="F13" s="1" t="s">
        <v>69</v>
      </c>
    </row>
    <row r="14" spans="2:11" x14ac:dyDescent="0.4">
      <c r="B14" t="s">
        <v>115</v>
      </c>
      <c r="C14" t="s">
        <v>114</v>
      </c>
      <c r="D14" t="str">
        <f>$C$2&amp;"get"</f>
        <v>http://localhost:80/get</v>
      </c>
      <c r="E14" t="b">
        <f t="shared" ref="E14:E52" si="0">D14=F14</f>
        <v>1</v>
      </c>
      <c r="F14" t="s">
        <v>158</v>
      </c>
    </row>
    <row r="15" spans="2:11" x14ac:dyDescent="0.4">
      <c r="C15" t="s">
        <v>112</v>
      </c>
      <c r="D15" t="e" cm="1">
        <f t="array" ref="D15">_xll.ExLibris.WebAPIs.GET(D14)</f>
        <v>#N/A</v>
      </c>
      <c r="F15" t="s">
        <v>159</v>
      </c>
    </row>
    <row r="16" spans="2:11" x14ac:dyDescent="0.4">
      <c r="C16" t="s">
        <v>101</v>
      </c>
      <c r="D16" t="e" cm="1">
        <f t="array" ref="D16">_xll.ExLibris.WebAPIs.WebAPIResponseStatus(D15,TRUE)</f>
        <v>#VALUE!</v>
      </c>
      <c r="E16" t="e">
        <f t="shared" si="0"/>
        <v>#VALUE!</v>
      </c>
      <c r="F16">
        <v>200</v>
      </c>
    </row>
    <row r="17" spans="2:6" x14ac:dyDescent="0.4">
      <c r="C17" t="s">
        <v>113</v>
      </c>
      <c r="D17" t="e" cm="1">
        <f t="array" ref="D17">_xll.ExLibris.WebAPIs.WebAPIResponseContent(D15)</f>
        <v>#VALUE!</v>
      </c>
      <c r="E17" t="e">
        <f t="shared" si="0"/>
        <v>#VALUE!</v>
      </c>
      <c r="F17" t="s">
        <v>178</v>
      </c>
    </row>
    <row r="19" spans="2:6" x14ac:dyDescent="0.4">
      <c r="B19" t="s">
        <v>118</v>
      </c>
      <c r="C19" t="s">
        <v>114</v>
      </c>
      <c r="D19" t="str">
        <f>$C$2&amp;"post"</f>
        <v>http://localhost:80/post</v>
      </c>
      <c r="E19" t="b">
        <f t="shared" si="0"/>
        <v>1</v>
      </c>
      <c r="F19" t="s">
        <v>160</v>
      </c>
    </row>
    <row r="20" spans="2:6" x14ac:dyDescent="0.4">
      <c r="C20" t="s">
        <v>112</v>
      </c>
      <c r="D20" t="e" cm="1">
        <f t="array" ref="D20">_xll.ExLibris.WebAPIs.POST(D19)</f>
        <v>#N/A</v>
      </c>
      <c r="F20" t="s">
        <v>161</v>
      </c>
    </row>
    <row r="21" spans="2:6" x14ac:dyDescent="0.4">
      <c r="C21" t="s">
        <v>101</v>
      </c>
      <c r="D21" t="e" cm="1">
        <f t="array" ref="D21">_xll.ExLibris.WebAPIs.WebAPIResponseStatus(D20,TRUE)</f>
        <v>#VALUE!</v>
      </c>
      <c r="E21" t="e">
        <f t="shared" si="0"/>
        <v>#VALUE!</v>
      </c>
      <c r="F21">
        <v>200</v>
      </c>
    </row>
    <row r="22" spans="2:6" x14ac:dyDescent="0.4">
      <c r="C22" t="s">
        <v>113</v>
      </c>
      <c r="D22" t="e" cm="1">
        <f t="array" ref="D22">_xll.ExLibris.WebAPIs.WebAPIResponseContent(D20)</f>
        <v>#VALUE!</v>
      </c>
      <c r="E22" t="e">
        <f t="shared" si="0"/>
        <v>#VALUE!</v>
      </c>
      <c r="F22" t="s">
        <v>180</v>
      </c>
    </row>
    <row r="24" spans="2:6" x14ac:dyDescent="0.4">
      <c r="B24" t="s">
        <v>130</v>
      </c>
      <c r="C24" t="s">
        <v>114</v>
      </c>
      <c r="D24" t="str">
        <f>$C$2&amp;"bearer"</f>
        <v>http://localhost:80/bearer</v>
      </c>
      <c r="E24" t="b">
        <f t="shared" si="0"/>
        <v>1</v>
      </c>
      <c r="F24" t="s">
        <v>162</v>
      </c>
    </row>
    <row r="25" spans="2:6" x14ac:dyDescent="0.4">
      <c r="C25" t="s">
        <v>112</v>
      </c>
      <c r="D25" t="e" cm="1">
        <f t="array" ref="D25">_xll.ExLibris.WebAPIs.GET(D24,$B$5)</f>
        <v>#N/A</v>
      </c>
      <c r="F25" t="s">
        <v>163</v>
      </c>
    </row>
    <row r="26" spans="2:6" x14ac:dyDescent="0.4">
      <c r="C26" t="s">
        <v>101</v>
      </c>
      <c r="D26" t="e" cm="1">
        <f t="array" ref="D26">_xll.ExLibris.WebAPIs.WebAPIResponseStatus(D25,TRUE)</f>
        <v>#VALUE!</v>
      </c>
      <c r="E26" t="e">
        <f t="shared" si="0"/>
        <v>#VALUE!</v>
      </c>
      <c r="F26">
        <v>200</v>
      </c>
    </row>
    <row r="27" spans="2:6" x14ac:dyDescent="0.4">
      <c r="C27" t="s">
        <v>113</v>
      </c>
      <c r="D27" t="e" cm="1">
        <f t="array" ref="D27">_xll.ExLibris.WebAPIs.WebAPIResponseContent(D25)</f>
        <v>#VALUE!</v>
      </c>
      <c r="E27" t="e">
        <f t="shared" si="0"/>
        <v>#VALUE!</v>
      </c>
      <c r="F27" t="s">
        <v>164</v>
      </c>
    </row>
    <row r="29" spans="2:6" x14ac:dyDescent="0.4">
      <c r="B29" t="s">
        <v>137</v>
      </c>
      <c r="C29" t="s">
        <v>114</v>
      </c>
      <c r="D29" t="str">
        <f>$C$2&amp;"post"</f>
        <v>http://localhost:80/post</v>
      </c>
      <c r="E29" t="b">
        <f t="shared" si="0"/>
        <v>1</v>
      </c>
      <c r="F29" t="s">
        <v>160</v>
      </c>
    </row>
    <row r="30" spans="2:6" x14ac:dyDescent="0.4">
      <c r="C30" t="s">
        <v>112</v>
      </c>
      <c r="D30" t="e" cm="1">
        <f t="array" ref="D30">_xll.ExLibris.WebAPIs.POST(D29,_xll.ExLibris.Json.ShowJsonText(H5),,$B$5)</f>
        <v>#N/A</v>
      </c>
      <c r="F30" t="s">
        <v>165</v>
      </c>
    </row>
    <row r="31" spans="2:6" x14ac:dyDescent="0.4">
      <c r="C31" t="s">
        <v>101</v>
      </c>
      <c r="D31" t="e" cm="1">
        <f t="array" ref="D31">_xll.ExLibris.WebAPIs.WebAPIResponseStatus(D30,TRUE)</f>
        <v>#VALUE!</v>
      </c>
      <c r="E31" t="e">
        <f t="shared" si="0"/>
        <v>#VALUE!</v>
      </c>
      <c r="F31">
        <v>200</v>
      </c>
    </row>
    <row r="32" spans="2:6" x14ac:dyDescent="0.4">
      <c r="C32" t="s">
        <v>113</v>
      </c>
      <c r="D32" t="e" cm="1">
        <f t="array" ref="D32">_xll.ExLibris.WebAPIs.WebAPIResponseContent(D30)</f>
        <v>#VALUE!</v>
      </c>
      <c r="E32" t="e">
        <f t="shared" si="0"/>
        <v>#VALUE!</v>
      </c>
      <c r="F32" t="s">
        <v>166</v>
      </c>
    </row>
    <row r="34" spans="2:6" x14ac:dyDescent="0.4">
      <c r="B34" t="s">
        <v>138</v>
      </c>
      <c r="C34" t="s">
        <v>114</v>
      </c>
      <c r="D34" t="str">
        <f>$C$2&amp;"post"</f>
        <v>http://localhost:80/post</v>
      </c>
      <c r="E34" t="b">
        <f t="shared" si="0"/>
        <v>1</v>
      </c>
      <c r="F34" t="s">
        <v>160</v>
      </c>
    </row>
    <row r="35" spans="2:6" x14ac:dyDescent="0.4">
      <c r="C35" t="s">
        <v>112</v>
      </c>
      <c r="D35" t="e" cm="1">
        <f t="array" ref="D35">_xll.ExLibris.WebAPIs.POST(D34,H5,TRUE,$B$5)</f>
        <v>#N/A</v>
      </c>
      <c r="F35" t="s">
        <v>167</v>
      </c>
    </row>
    <row r="36" spans="2:6" x14ac:dyDescent="0.4">
      <c r="C36" t="s">
        <v>101</v>
      </c>
      <c r="D36" t="e" cm="1">
        <f t="array" ref="D36">_xll.ExLibris.WebAPIs.WebAPIResponseStatus(D35,TRUE)</f>
        <v>#VALUE!</v>
      </c>
      <c r="E36" t="e">
        <f t="shared" si="0"/>
        <v>#VALUE!</v>
      </c>
      <c r="F36">
        <v>200</v>
      </c>
    </row>
    <row r="37" spans="2:6" x14ac:dyDescent="0.4">
      <c r="C37" t="s">
        <v>113</v>
      </c>
      <c r="D37" t="e" cm="1">
        <f t="array" ref="D37">_xll.ExLibris.WebAPIs.WebAPIResponseContent(D35)</f>
        <v>#VALUE!</v>
      </c>
      <c r="E37" t="e">
        <f t="shared" si="0"/>
        <v>#VALUE!</v>
      </c>
      <c r="F37" t="s">
        <v>168</v>
      </c>
    </row>
    <row r="39" spans="2:6" x14ac:dyDescent="0.4">
      <c r="B39" t="s">
        <v>139</v>
      </c>
      <c r="C39" t="s">
        <v>114</v>
      </c>
      <c r="D39" t="str" cm="1">
        <f t="array" ref="D39">_xll.ExLibris.WebAPIs.BuildUri($C$2&amp;"post",H6:I11)</f>
        <v>http://localhost:80/post?currency_pair.left=USD&amp;currency_pair.right=JPY&amp;strike=108.5&amp;call_or_put=CALL&amp;buy_or_sell=SELL&amp;date=44463</v>
      </c>
      <c r="E39" t="b">
        <f t="shared" si="0"/>
        <v>1</v>
      </c>
      <c r="F39" t="s">
        <v>169</v>
      </c>
    </row>
    <row r="40" spans="2:6" x14ac:dyDescent="0.4">
      <c r="C40" t="s">
        <v>112</v>
      </c>
      <c r="D40" t="e" cm="1">
        <f t="array" ref="D40">_xll.ExLibris.WebAPIs.POST(D39,H6:I11,TRUE,$B$5)</f>
        <v>#N/A</v>
      </c>
      <c r="F40" t="s">
        <v>170</v>
      </c>
    </row>
    <row r="41" spans="2:6" x14ac:dyDescent="0.4">
      <c r="C41" t="s">
        <v>101</v>
      </c>
      <c r="D41" t="e" cm="1">
        <f t="array" ref="D41">_xll.ExLibris.WebAPIs.WebAPIResponseStatus(D40,TRUE)</f>
        <v>#VALUE!</v>
      </c>
      <c r="E41" t="e">
        <f t="shared" si="0"/>
        <v>#VALUE!</v>
      </c>
      <c r="F41">
        <v>200</v>
      </c>
    </row>
    <row r="42" spans="2:6" x14ac:dyDescent="0.4">
      <c r="C42" t="s">
        <v>113</v>
      </c>
      <c r="D42" t="e" cm="1">
        <f t="array" ref="D42">_xll.ExLibris.WebAPIs.WebAPIResponseContent(D40)</f>
        <v>#VALUE!</v>
      </c>
      <c r="E42" t="e">
        <f t="shared" si="0"/>
        <v>#VALUE!</v>
      </c>
      <c r="F42" t="s">
        <v>171</v>
      </c>
    </row>
    <row r="44" spans="2:6" x14ac:dyDescent="0.4">
      <c r="B44" t="s">
        <v>144</v>
      </c>
      <c r="C44" t="s">
        <v>114</v>
      </c>
      <c r="D44" t="str" cm="1">
        <f t="array" ref="D44">_xll.ExLibris.WebAPIs.BuildUri($C$2&amp;"get",H6:I11)</f>
        <v>http://localhost:80/get?currency_pair.left=USD&amp;currency_pair.right=JPY&amp;strike=108.5&amp;call_or_put=CALL&amp;buy_or_sell=SELL&amp;date=44463</v>
      </c>
      <c r="E44" t="b">
        <f t="shared" si="0"/>
        <v>1</v>
      </c>
      <c r="F44" t="s">
        <v>172</v>
      </c>
    </row>
    <row r="45" spans="2:6" x14ac:dyDescent="0.4">
      <c r="C45" t="s">
        <v>112</v>
      </c>
      <c r="D45" t="e" cm="1">
        <f t="array" ref="D45">_xll.ExLibris.WebAPIs.GET(D44)</f>
        <v>#N/A</v>
      </c>
      <c r="F45" t="s">
        <v>173</v>
      </c>
    </row>
    <row r="46" spans="2:6" x14ac:dyDescent="0.4">
      <c r="C46" t="s">
        <v>101</v>
      </c>
      <c r="D46" t="e" cm="1">
        <f t="array" ref="D46">_xll.ExLibris.WebAPIs.WebAPIResponseStatus(D45,TRUE)</f>
        <v>#VALUE!</v>
      </c>
      <c r="E46" t="e">
        <f t="shared" si="0"/>
        <v>#VALUE!</v>
      </c>
      <c r="F46">
        <v>200</v>
      </c>
    </row>
    <row r="47" spans="2:6" x14ac:dyDescent="0.4">
      <c r="C47" t="s">
        <v>113</v>
      </c>
      <c r="D47" t="e" cm="1">
        <f t="array" ref="D47">_xll.ExLibris.WebAPIs.WebAPIResponseContent(D45)</f>
        <v>#VALUE!</v>
      </c>
      <c r="E47" t="e">
        <f t="shared" si="0"/>
        <v>#VALUE!</v>
      </c>
      <c r="F47" t="s">
        <v>174</v>
      </c>
    </row>
    <row r="49" spans="2:6" x14ac:dyDescent="0.4">
      <c r="B49" t="s">
        <v>146</v>
      </c>
      <c r="C49" t="s">
        <v>114</v>
      </c>
      <c r="D49" t="str">
        <f>$C$2&amp;"delay/10"</f>
        <v>http://localhost:80/delay/10</v>
      </c>
      <c r="E49" t="b">
        <f t="shared" si="0"/>
        <v>1</v>
      </c>
      <c r="F49" t="s">
        <v>175</v>
      </c>
    </row>
    <row r="50" spans="2:6" x14ac:dyDescent="0.4">
      <c r="C50" t="s">
        <v>112</v>
      </c>
      <c r="D50" t="e" cm="1">
        <f t="array" ref="D50">_xll.ExLibris.WebAPIs.GET(D49)</f>
        <v>#N/A</v>
      </c>
      <c r="F50" t="s">
        <v>176</v>
      </c>
    </row>
    <row r="51" spans="2:6" x14ac:dyDescent="0.4">
      <c r="C51" t="s">
        <v>101</v>
      </c>
      <c r="D51" t="e" cm="1">
        <f t="array" ref="D51">_xll.ExLibris.WebAPIs.WebAPIResponseStatus(D50,TRUE)</f>
        <v>#VALUE!</v>
      </c>
      <c r="E51" t="e">
        <f t="shared" si="0"/>
        <v>#VALUE!</v>
      </c>
      <c r="F51">
        <v>200</v>
      </c>
    </row>
    <row r="52" spans="2:6" x14ac:dyDescent="0.4">
      <c r="C52" t="s">
        <v>113</v>
      </c>
      <c r="D52" t="e" cm="1">
        <f t="array" ref="D52">_xll.ExLibris.WebAPIs.WebAPIResponseContent(D50)</f>
        <v>#VALUE!</v>
      </c>
      <c r="E52" t="e">
        <f t="shared" si="0"/>
        <v>#VALUE!</v>
      </c>
      <c r="F52" t="s">
        <v>179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ExLibris.Core.WebAPIs.WebAPIHeaders:220864F8-C2DA-46E8-A88C-10D98A5302FC</v>
      </c>
    </row>
    <row r="3" spans="2:4" x14ac:dyDescent="0.4">
      <c r="B3" t="s">
        <v>120</v>
      </c>
      <c r="C3" t="s">
        <v>145</v>
      </c>
    </row>
    <row r="5" spans="2:4" x14ac:dyDescent="0.4">
      <c r="B5" t="s">
        <v>114</v>
      </c>
      <c r="C5" t="str">
        <f>"https://api.github.com/users/"&amp;C3</f>
        <v>https://api.github.com/users/defunkt</v>
      </c>
    </row>
    <row r="6" spans="2:4" x14ac:dyDescent="0.4">
      <c r="B6" t="s">
        <v>112</v>
      </c>
      <c r="C6" t="str" cm="1">
        <f t="array" ref="C6">_xll.ExLibris.WebAPIs.GET(C5,B2)</f>
        <v>ExLibris.Core.WebAPIs.Response:6B5DA93B-83A0-4D8E-A7C9-AC25CFAC1844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113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21404,"following":210,"created_at":"2007-10-20T05:24:19Z","updated_at":"2022-03-29T01:48:36Z"}</v>
      </c>
    </row>
    <row r="10" spans="2:4" x14ac:dyDescent="0.4">
      <c r="C10" t="str" cm="1">
        <f t="array" ref="C10">_xll.ExLibris.Json.CreateJsonObjectAsync(C8)</f>
        <v>JsonObject:B814FCD8-AD80-49E1-8F21-1DE963EFE530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21404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2022-03-29T01:48:36Z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2022-04-30T13:10:26Z</dcterms:modified>
</cp:coreProperties>
</file>