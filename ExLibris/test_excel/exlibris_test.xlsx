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1E1F9A82-53A6-4161-A23F-FC7E52227B54}" xr6:coauthVersionLast="47" xr6:coauthVersionMax="47" xr10:uidLastSave="{00000000-0000-0000-0000-000000000000}"/>
  <bookViews>
    <workbookView xWindow="-120" yWindow="-120" windowWidth="29040" windowHeight="15840" activeTab="1" xr2:uid="{705CD0B7-27A9-4291-85BD-6034C0FEE3E4}"/>
  </bookViews>
  <sheets>
    <sheet name="json_test" sheetId="1" r:id="rId1"/>
    <sheet name="context_test" sheetId="2" r:id="rId2"/>
  </sheets>
  <definedNames>
    <definedName name="EXLIBRIS_CONFIGURATION">context_test!$C$2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C2" i="2" a="1"/>
  <c r="C2" i="2" l="1"/>
  <c r="F10" i="1"/>
  <c r="G10" i="1" s="1"/>
  <c r="F11" i="1" s="1"/>
  <c r="G11" i="1" s="1"/>
  <c r="F12" i="1" s="1"/>
  <c r="G12" i="1" s="1"/>
  <c r="E12" i="1"/>
  <c r="F13" i="1"/>
  <c r="G13" i="1" s="1"/>
  <c r="E11" i="1"/>
  <c r="E10" i="1"/>
  <c r="F14" i="1" l="1"/>
  <c r="G14" i="1" s="1"/>
  <c r="E14" i="1" s="1"/>
  <c r="E13" i="1"/>
  <c r="F6" i="1" a="1"/>
  <c r="F6" i="1" l="1"/>
  <c r="F1" i="1" a="1"/>
  <c r="F1" i="1" l="1"/>
  <c r="M6" i="1" a="1"/>
  <c r="E19" i="1" a="1"/>
  <c r="G26" i="1" a="1"/>
  <c r="G31" i="1" a="1"/>
  <c r="G41" i="1" a="1"/>
  <c r="G49" i="1" a="1"/>
  <c r="G52" i="1" a="1"/>
  <c r="G44" i="1" a="1"/>
  <c r="G22" i="1" a="1"/>
  <c r="G32" i="1" a="1"/>
  <c r="G51" i="1" a="1"/>
  <c r="G27" i="1" a="1"/>
  <c r="G54" i="1" a="1"/>
  <c r="G23" i="1" a="1"/>
  <c r="G36" i="1" a="1"/>
  <c r="I19" i="1" a="1"/>
  <c r="G20" i="1" a="1"/>
  <c r="G47" i="1" a="1"/>
  <c r="G45" i="1" a="1"/>
  <c r="G35" i="1" a="1"/>
  <c r="G40" i="1" a="1"/>
  <c r="G30" i="1" a="1"/>
  <c r="G43" i="1" a="1"/>
  <c r="G38" i="1" a="1"/>
  <c r="G50" i="1" a="1"/>
  <c r="G34" i="1" a="1"/>
  <c r="G24" i="1" a="1"/>
  <c r="G56" i="1" a="1"/>
  <c r="G28" i="1" a="1"/>
  <c r="G25" i="1" a="1"/>
  <c r="G21" i="1" a="1"/>
  <c r="G46" i="1" a="1"/>
  <c r="G42" i="1" a="1"/>
  <c r="G29" i="1" a="1"/>
  <c r="G39" i="1" a="1"/>
  <c r="G37" i="1" a="1"/>
  <c r="G33" i="1" a="1"/>
  <c r="G53" i="1" a="1"/>
  <c r="G55" i="1" a="1"/>
  <c r="G57" i="1" a="1"/>
  <c r="G48" i="1" a="1"/>
  <c r="G37" i="1" l="1"/>
  <c r="G33" i="1"/>
  <c r="G42" i="1"/>
  <c r="G39" i="1"/>
  <c r="G27" i="1"/>
  <c r="G30" i="1"/>
  <c r="G32" i="1"/>
  <c r="G49" i="1"/>
  <c r="G28" i="1"/>
  <c r="G53" i="1"/>
  <c r="G29" i="1"/>
  <c r="G23" i="1"/>
  <c r="G50" i="1"/>
  <c r="G40" i="1"/>
  <c r="G22" i="1"/>
  <c r="G41" i="1"/>
  <c r="G25" i="1"/>
  <c r="G55" i="1"/>
  <c r="G36" i="1"/>
  <c r="G24" i="1"/>
  <c r="G51" i="1"/>
  <c r="G35" i="1"/>
  <c r="G44" i="1"/>
  <c r="G31" i="1"/>
  <c r="G21" i="1"/>
  <c r="G57" i="1"/>
  <c r="G20" i="1"/>
  <c r="G54" i="1"/>
  <c r="G38" i="1"/>
  <c r="G45" i="1"/>
  <c r="G52" i="1"/>
  <c r="G26" i="1"/>
  <c r="G46" i="1"/>
  <c r="G48" i="1"/>
  <c r="G56" i="1"/>
  <c r="G34" i="1"/>
  <c r="G43" i="1"/>
  <c r="G47" i="1"/>
  <c r="I19" i="1"/>
  <c r="AA34" i="1"/>
  <c r="AA44" i="1"/>
  <c r="AC53" i="1"/>
  <c r="AC34" i="1"/>
  <c r="AC19" i="1"/>
  <c r="AC40" i="1"/>
  <c r="AA31" i="1"/>
  <c r="AA28" i="1"/>
  <c r="AC42" i="1"/>
  <c r="AC33" i="1"/>
  <c r="AB52" i="1"/>
  <c r="AB30" i="1"/>
  <c r="AB36" i="1"/>
  <c r="AC48" i="1"/>
  <c r="AB33" i="1"/>
  <c r="AC37" i="1"/>
  <c r="AA47" i="1"/>
  <c r="AA54" i="1"/>
  <c r="AA56" i="1"/>
  <c r="AA27" i="1"/>
  <c r="AC31" i="1"/>
  <c r="AA40" i="1"/>
  <c r="AC27" i="1"/>
  <c r="AB54" i="1"/>
  <c r="AB21" i="1"/>
  <c r="AB46" i="1"/>
  <c r="AA48" i="1"/>
  <c r="AA52" i="1"/>
  <c r="AB56" i="1"/>
  <c r="AC30" i="1"/>
  <c r="AA39" i="1"/>
  <c r="AC54" i="1"/>
  <c r="AC29" i="1"/>
  <c r="AB32" i="1"/>
  <c r="AA32" i="1"/>
  <c r="AC24" i="1"/>
  <c r="AB53" i="1"/>
  <c r="AC39" i="1"/>
  <c r="AA55" i="1"/>
  <c r="AB27" i="1"/>
  <c r="AB48" i="1"/>
  <c r="AA26" i="1"/>
  <c r="AA53" i="1"/>
  <c r="AC51" i="1"/>
  <c r="AB37" i="1"/>
  <c r="AB49" i="1"/>
  <c r="AC43" i="1"/>
  <c r="AC49" i="1"/>
  <c r="AC23" i="1"/>
  <c r="AB40" i="1"/>
  <c r="AA45" i="1"/>
  <c r="AB38" i="1"/>
  <c r="AB20" i="1"/>
  <c r="AA51" i="1"/>
  <c r="AA21" i="1"/>
  <c r="AC47" i="1"/>
  <c r="AC25" i="1"/>
  <c r="AC38" i="1"/>
  <c r="AB45" i="1"/>
  <c r="AB29" i="1"/>
  <c r="AC20" i="1"/>
  <c r="AA37" i="1"/>
  <c r="AB50" i="1"/>
  <c r="AC55" i="1"/>
  <c r="AC41" i="1"/>
  <c r="AB31" i="1"/>
  <c r="AB47" i="1"/>
  <c r="AC46" i="1"/>
  <c r="AC36" i="1"/>
  <c r="AB55" i="1"/>
  <c r="AB24" i="1"/>
  <c r="AA36" i="1"/>
  <c r="AC21" i="1"/>
  <c r="AC52" i="1"/>
  <c r="AC45" i="1"/>
  <c r="AA23" i="1"/>
  <c r="AC22" i="1"/>
  <c r="AC50" i="1"/>
  <c r="AC57" i="1"/>
  <c r="AA29" i="1"/>
  <c r="AA42" i="1"/>
  <c r="E19" i="1"/>
  <c r="AA20" i="1"/>
  <c r="AA41" i="1"/>
  <c r="AB51" i="1"/>
  <c r="AB41" i="1"/>
  <c r="AA38" i="1"/>
  <c r="AA46" i="1"/>
  <c r="AC26" i="1"/>
  <c r="AA24" i="1"/>
  <c r="AB28" i="1"/>
  <c r="AA57" i="1"/>
  <c r="AB26" i="1"/>
  <c r="AC35" i="1"/>
  <c r="AC56" i="1"/>
  <c r="AB25" i="1"/>
  <c r="AA30" i="1"/>
  <c r="AC44" i="1"/>
  <c r="AB43" i="1"/>
  <c r="AC32" i="1"/>
  <c r="AA25" i="1"/>
  <c r="AA22" i="1"/>
  <c r="AB42" i="1"/>
  <c r="AB22" i="1"/>
  <c r="AB23" i="1"/>
  <c r="AB57" i="1"/>
  <c r="AB34" i="1"/>
  <c r="AA33" i="1"/>
  <c r="AA49" i="1"/>
  <c r="AB44" i="1"/>
  <c r="AA50" i="1"/>
  <c r="AB35" i="1"/>
  <c r="AA43" i="1"/>
  <c r="AA35" i="1"/>
  <c r="AC28" i="1"/>
  <c r="AB39" i="1"/>
  <c r="M6" i="1"/>
  <c r="C5" i="1" s="1"/>
  <c r="I20" i="1" a="1"/>
  <c r="I28" i="1" a="1"/>
  <c r="G19" i="1" a="1"/>
  <c r="I20" i="1" l="1"/>
  <c r="AE20" i="1" s="1"/>
  <c r="AH26" i="1"/>
  <c r="AF21" i="1"/>
  <c r="AG20" i="1"/>
  <c r="AG21" i="1"/>
  <c r="AH24" i="1"/>
  <c r="AF20" i="1"/>
  <c r="AH20" i="1"/>
  <c r="AE23" i="1"/>
  <c r="AJ21" i="1"/>
  <c r="AJ22" i="1"/>
  <c r="AG25" i="1"/>
  <c r="AF24" i="1"/>
  <c r="AJ26" i="1"/>
  <c r="AI20" i="1"/>
  <c r="AF22" i="1"/>
  <c r="AE24" i="1"/>
  <c r="AI25" i="1"/>
  <c r="AH23" i="1"/>
  <c r="AG26" i="1"/>
  <c r="AF26" i="1"/>
  <c r="AH22" i="1"/>
  <c r="AE25" i="1"/>
  <c r="AI23" i="1"/>
  <c r="AJ24" i="1"/>
  <c r="AI24" i="1"/>
  <c r="AF23" i="1"/>
  <c r="AH21" i="1"/>
  <c r="AE21" i="1"/>
  <c r="AJ20" i="1"/>
  <c r="AH25" i="1"/>
  <c r="AG22" i="1"/>
  <c r="AG23" i="1"/>
  <c r="AG24" i="1"/>
  <c r="AI26" i="1"/>
  <c r="AJ23" i="1"/>
  <c r="AE22" i="1"/>
  <c r="AF25" i="1"/>
  <c r="AI21" i="1"/>
  <c r="AE26" i="1"/>
  <c r="AJ25" i="1"/>
  <c r="AI22" i="1"/>
  <c r="I28" i="1"/>
  <c r="G19" i="1"/>
  <c r="AA19" i="1"/>
  <c r="C3" i="1" s="1"/>
  <c r="AB19" i="1"/>
  <c r="C4" i="1"/>
  <c r="I29" i="1" a="1"/>
  <c r="AG29" i="1" l="1"/>
  <c r="AI29" i="1"/>
  <c r="AG30" i="1"/>
  <c r="I29" i="1"/>
  <c r="AE29" i="1" s="1"/>
  <c r="AH29" i="1"/>
  <c r="AF29" i="1"/>
  <c r="AH30" i="1"/>
  <c r="AF30" i="1"/>
  <c r="AE30" i="1"/>
  <c r="AJ29" i="1"/>
  <c r="AI30" i="1"/>
  <c r="AJ30" i="1"/>
  <c r="C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<sst xmlns="http://schemas.openxmlformats.org/spreadsheetml/2006/main" count="127" uniqueCount="87">
  <si>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</si>
  <si>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</si>
  <si>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</si>
  <si>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</si>
  <si>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</si>
  <si>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</si>
  <si>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</si>
  <si>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</si>
  <si>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</si>
  <si>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</si>
  <si>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</si>
  <si>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</si>
  <si>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</si>
  <si>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</si>
  <si>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</si>
  <si>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</si>
  <si>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</si>
  <si>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</si>
  <si>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</si>
  <si>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</si>
  <si>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</si>
  <si>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</si>
  <si>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</si>
  <si>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</si>
  <si>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</si>
  <si>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</si>
  <si>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</si>
  <si>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</si>
  <si>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</si>
  <si>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</si>
  <si>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</si>
  <si>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</si>
  <si>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</si>
  <si>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</si>
  <si>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</si>
  <si>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</si>
  <si>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</si>
  <si>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</si>
  <si>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</si>
  <si>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</si>
  <si>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</si>
  <si>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</si>
  <si>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</si>
  <si>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</si>
  <si>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</si>
  <si>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</si>
  <si>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</si>
  <si>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</si>
  <si>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</si>
  <si>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</si>
  <si>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</si>
  <si>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</si>
  <si>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</si>
  <si>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</si>
  <si>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</si>
  <si>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</si>
  <si>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</si>
  <si>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</si>
  <si>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</si>
  <si>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</si>
  <si>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</si>
  <si>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</si>
  <si>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</si>
  <si>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</si>
  <si>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</si>
  <si>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</si>
  <si>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</si>
  <si>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</si>
  <si>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</si>
  <si>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</si>
  <si>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</si>
  <si>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</si>
  <si>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</si>
  <si>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</si>
  <si>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</si>
  <si>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t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</si>
  <si>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</si>
  <si>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</si>
  <si>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</si>
  <si>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</si>
  <si>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</si>
  <si>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</si>
  <si>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</si>
  <si>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</si>
  <si>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ExcelEmpty</t>
  </si>
  <si>
    <t>excel_value.string_empty_to_excel</t>
  </si>
  <si>
    <t>configuration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</si>
</sst>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c9d932d9d3d34f5abec34fdb5cae713a">
      <tp>
        <v>1</v>
        <stp/>
        <stp>f00d80d0-8211-475f-8924-f97d2d9fcadb</stp>
        <tr r="G48" s="1"/>
      </tp>
    </main>
    <main first="rtdsrv.c9d932d9d3d34f5abec34fdb5cae713a">
      <tp>
        <v>1</v>
        <stp/>
        <stp>2cc9dc90-4e7e-4ea8-b4eb-86bae6873896</stp>
        <tr r="G38" s="1"/>
      </tp>
      <tp>
        <v>1</v>
        <stp/>
        <stp>8dcb148a-2be3-4cde-82e9-1e92fef4f313</stp>
        <tr r="G19" s="1"/>
      </tp>
    </main>
    <main first="rtdsrv.c9d932d9d3d34f5abec34fdb5cae713a">
      <tp>
        <v>1</v>
        <stp/>
        <stp>756f2278-3d65-45cd-b8b0-cef3fc3cffe0</stp>
        <tr r="G53" s="1"/>
      </tp>
    </main>
    <main first="rtdsrv.c9d932d9d3d34f5abec34fdb5cae713a">
      <tp>
        <v>1</v>
        <stp/>
        <stp>fade978e-434a-4106-b00e-68d0384be74a</stp>
        <tr r="G30" s="1"/>
      </tp>
      <tp>
        <v>1</v>
        <stp/>
        <stp>523f4f47-17c8-4414-89ca-2c5641f6a41f</stp>
        <tr r="G36" s="1"/>
      </tp>
      <tp>
        <v>1</v>
        <stp/>
        <stp>ad2591a6-372b-4d35-a446-26306326b6f2</stp>
        <tr r="G55" s="1"/>
      </tp>
    </main>
    <main first="rtdsrv.c9d932d9d3d34f5abec34fdb5cae713a">
      <tp>
        <v>1</v>
        <stp/>
        <stp>09981790-06ec-4867-b481-dc383a464f84</stp>
        <tr r="G31" s="1"/>
      </tp>
      <tp>
        <v>1</v>
        <stp/>
        <stp>648a2125-2471-4e32-aee8-a2fefd383c6e</stp>
        <tr r="G21" s="1"/>
      </tp>
      <tp>
        <v>1</v>
        <stp/>
        <stp>b50bd72e-bcb9-4347-9a17-90cbe7c98739</stp>
        <tr r="G32" s="1"/>
      </tp>
    </main>
    <main first="rtdsrv.c9d932d9d3d34f5abec34fdb5cae713a">
      <tp>
        <v>1</v>
        <stp/>
        <stp>0c9af281-1e5d-4743-abf5-7b91d247d21f</stp>
        <tr r="G56" s="1"/>
      </tp>
    </main>
    <main first="rtdsrv.c9d932d9d3d34f5abec34fdb5cae713a">
      <tp>
        <v>1</v>
        <stp/>
        <stp>8b756a20-5bf4-4063-9d1e-03f5280cbf5c</stp>
        <tr r="I19" s="1"/>
      </tp>
      <tp>
        <v>1</v>
        <stp/>
        <stp>f84f8298-4018-4e58-ad65-c87db1bfccab</stp>
        <tr r="G44" s="1"/>
      </tp>
    </main>
    <main first="rtdsrv.c9d932d9d3d34f5abec34fdb5cae713a">
      <tp>
        <v>1</v>
        <stp/>
        <stp>cc49662f-e885-4ad0-949d-417a00375b3a</stp>
        <tr r="G35" s="1"/>
      </tp>
    </main>
    <main first="rtdsrv.c9d932d9d3d34f5abec34fdb5cae713a">
      <tp>
        <v>1</v>
        <stp/>
        <stp>feb1ef4c-5b51-4149-bd5b-f56605f9ff53</stp>
        <tr r="G29" s="1"/>
      </tp>
      <tp>
        <v>1</v>
        <stp/>
        <stp>1085c1fd-ffec-47c8-868c-c1c86856b303</stp>
        <tr r="G23" s="1"/>
      </tp>
      <tp>
        <v>1</v>
        <stp/>
        <stp>944b10fe-03da-4f28-8ee8-bae97ac0c46f</stp>
        <tr r="I28" s="1"/>
      </tp>
      <tp>
        <v>1</v>
        <stp/>
        <stp>aff90d61-2adb-4bfb-aedb-b8f9ec2d50c8</stp>
        <tr r="G28" s="1"/>
      </tp>
    </main>
    <main first="rtdsrv.c9d932d9d3d34f5abec34fdb5cae713a">
      <tp>
        <v>1</v>
        <stp/>
        <stp>5f048cc1-cbc0-48af-848f-60d372e89dbd</stp>
        <tr r="G37" s="1"/>
      </tp>
      <tp>
        <v>1</v>
        <stp/>
        <stp>2a504e54-77c9-43bb-9753-3574479c6996</stp>
        <tr r="G46" s="1"/>
      </tp>
    </main>
    <main first="rtdsrv.c9d932d9d3d34f5abec34fdb5cae713a">
      <tp>
        <v>1</v>
        <stp/>
        <stp>b575c4f8-679b-4cd1-9afc-7c7296e225de</stp>
        <tr r="G45" s="1"/>
      </tp>
      <tp>
        <v>1</v>
        <stp/>
        <stp>fa8cdb7e-d38c-4728-bad5-fe7029ef3fe4</stp>
        <tr r="G52" s="1"/>
      </tp>
    </main>
    <main first="rtdsrv.c9d932d9d3d34f5abec34fdb5cae713a">
      <tp>
        <v>1</v>
        <stp/>
        <stp>ae61ef21-2007-49a4-8db3-5084a29e5dd3</stp>
        <tr r="G42" s="1"/>
      </tp>
      <tp>
        <v>1</v>
        <stp/>
        <stp>076b33b7-864e-4a76-8963-dde38b84f803</stp>
        <tr r="G57" s="1"/>
      </tp>
    </main>
    <main first="rtdsrv.c9d932d9d3d34f5abec34fdb5cae713a">
      <tp>
        <v>1</v>
        <stp/>
        <stp>246b87b7-f9c0-4224-8d46-daf157cf718f</stp>
        <tr r="G50" s="1"/>
      </tp>
    </main>
    <main first="rtdsrv.c9d932d9d3d34f5abec34fdb5cae713a">
      <tp>
        <v>1</v>
        <stp/>
        <stp>bbcb5c6a-4247-41e6-ad05-f047b0fb2077</stp>
        <tr r="G39" s="1"/>
      </tp>
      <tp>
        <v>1</v>
        <stp/>
        <stp>032a65d5-89f3-428b-8090-a44d4415ef3a</stp>
        <tr r="G40" s="1"/>
      </tp>
      <tp>
        <v>1</v>
        <stp/>
        <stp>c098b91d-70fa-443b-a99b-868eff551655</stp>
        <tr r="G54" s="1"/>
      </tp>
      <tp>
        <v>1</v>
        <stp/>
        <stp>a0f3b444-66c5-44a0-afab-7ef25a07cc72</stp>
        <tr r="G33" s="1"/>
      </tp>
    </main>
    <main first="rtdsrv.c9d932d9d3d34f5abec34fdb5cae713a">
      <tp>
        <v>1</v>
        <stp/>
        <stp>ac4d2a38-30e0-47d5-a1b4-a6772dc9c15d</stp>
        <tr r="C2" s="2"/>
      </tp>
      <tp>
        <v>1</v>
        <stp/>
        <stp>f5792ac8-f5a3-4600-a3a3-7a0ac308844d</stp>
        <tr r="G25" s="1"/>
      </tp>
    </main>
    <main first="rtdsrv.c9d932d9d3d34f5abec34fdb5cae713a">
      <tp>
        <v>1</v>
        <stp/>
        <stp>a8c105d8-6e36-40d9-b315-af63d02f5c6e</stp>
        <tr r="G49" s="1"/>
      </tp>
    </main>
    <main first="rtdsrv.c9d932d9d3d34f5abec34fdb5cae713a">
      <tp>
        <v>1</v>
        <stp/>
        <stp>5d6da5af-48ca-4594-bb18-609c3e27b280</stp>
        <tr r="G24" s="1"/>
      </tp>
      <tp>
        <v>1</v>
        <stp/>
        <stp>57f84bd6-962d-4167-83e6-ec3166802c77</stp>
        <tr r="G51" s="1"/>
      </tp>
      <tp>
        <v>1</v>
        <stp/>
        <stp>471faf72-6c32-4ec2-ad8d-bb19bf02da2b</stp>
        <tr r="F1" s="1"/>
      </tp>
    </main>
    <main first="rtdsrv.c9d932d9d3d34f5abec34fdb5cae713a">
      <tp>
        <v>1</v>
        <stp/>
        <stp>d548d845-031c-4c93-b7c1-0a1bcae22d96</stp>
        <tr r="G27" s="1"/>
      </tp>
      <tp>
        <v>1</v>
        <stp/>
        <stp>0d52aa2e-a017-4fe0-b09a-2a0ee6bcb3a1</stp>
        <tr r="G20" s="1"/>
      </tp>
    </main>
    <main first="rtdsrv.c9d932d9d3d34f5abec34fdb5cae713a">
      <tp>
        <v>1</v>
        <stp/>
        <stp>1d488a2b-0c4a-4ce6-a61c-da5c8859ea67</stp>
        <tr r="G47" s="1"/>
      </tp>
      <tp>
        <v>1</v>
        <stp/>
        <stp>a9b30bc2-6d7f-422b-ac4b-b6e6cef6db7f</stp>
        <tr r="G43" s="1"/>
      </tp>
    </main>
    <main first="rtdsrv.c9d932d9d3d34f5abec34fdb5cae713a">
      <tp>
        <v>1</v>
        <stp/>
        <stp>bf885420-42e6-4164-a819-f8f67ed635be</stp>
        <tr r="G41" s="1"/>
      </tp>
    </main>
    <main first="rtdsrv.c9d932d9d3d34f5abec34fdb5cae713a">
      <tp>
        <v>1</v>
        <stp/>
        <stp>812c0c2f-938f-4cea-86b2-ac2b0e5bacd0</stp>
        <tr r="G34" s="1"/>
      </tp>
      <tp>
        <v>1</v>
        <stp/>
        <stp>3a6566d8-be05-48a9-9bbc-adf9ca0dbe9f</stp>
        <tr r="G22" s="1"/>
      </tp>
    </main>
    <main first="rtdsrv.c9d932d9d3d34f5abec34fdb5cae713a">
      <tp>
        <v>1</v>
        <stp/>
        <stp>9637dc7c-f9c5-4158-a560-a31ef3c6f364</stp>
        <tr r="F6" s="1"/>
      </tp>
      <tp>
        <v>1</v>
        <stp/>
        <stp>921c0933-ad7f-447a-8f65-cc157fe4d7b1</stp>
        <tr r="G2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0.25" bestFit="1" customWidth="1"/>
    <col min="8" max="8" width="15.5" bestFit="1" customWidth="1"/>
    <col min="9" max="9" width="11.125" bestFit="1" customWidth="1"/>
    <col min="10" max="10" width="9.875" bestFit="1" customWidth="1"/>
    <col min="11" max="11" width="15.5" bestFit="1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_xll.ExLibris.Json.CreateJsonObject(E3:F6)</f>
        <v>JsonObject:98C1D475-3A66-49EF-BC1E-16BF172C9EC9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76</v>
      </c>
      <c r="C6" s="6">
        <f>COUNTIF(AE29:AJ30,FALSE)</f>
        <v>0</v>
      </c>
      <c r="E6" t="s">
        <v>26</v>
      </c>
      <c r="F6" t="str" cm="1">
        <f t="array" ref="F6">_xll.ExLibris.Json.CreateJsonArray(E8:J14)</f>
        <v>JsonObject:8B2F6D66-7BA3-429F-9F99-F2D99C22CA7C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_date":44631,"start_date":44451,"end_date":44631,"day_count_type":"ACT/360","amout":10000000,"fixed_rate":0.001},{"payment _date":44811,"start_date":44631,"end_date":44811,"day_count_type":"ACT/360","amout":11000000,"fixed_rate":0.001},{"payment _date":44991,"start_date":44811,"end_date":44991,"day_count_type":"ACT/360","amout":12000000,"fixed_rate":0.001},{"payment _date":45171,"start_date":44991,"end_date":45171,"day_count_type":"ACT/360","amout":13000000,"fixed_rate":0.001},{"payment _date":45351,"start_date":45171,"end_date":45351,"day_count_type":"ACT/360","amout":14000000,"fixed_rate":0.001},{"payment _date":45531,"start_date":45351,"end_date":45531,"day_count_type":"ACT/360","amout":15000000,"fixed_rate":0.001}]}}</v>
      </c>
    </row>
    <row r="7" spans="2:25" x14ac:dyDescent="0.4">
      <c r="L7" t="s">
        <v>74</v>
      </c>
      <c r="M7" t="s">
        <v>75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44631</v>
      </c>
      <c r="F9" s="1">
        <v>44451</v>
      </c>
      <c r="G9" s="1">
        <f>F9+180</f>
        <v>44631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44811</v>
      </c>
      <c r="F10" s="1">
        <f>G9</f>
        <v>44631</v>
      </c>
      <c r="G10" s="1">
        <f>F10+180</f>
        <v>44811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44991</v>
      </c>
      <c r="F11" s="1">
        <f t="shared" ref="F11:F14" si="1">G10</f>
        <v>44811</v>
      </c>
      <c r="G11" s="1">
        <f t="shared" ref="G11:G14" si="2">F11+180</f>
        <v>44991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45171</v>
      </c>
      <c r="F12" s="1">
        <f t="shared" si="1"/>
        <v>44991</v>
      </c>
      <c r="G12" s="1">
        <f t="shared" si="2"/>
        <v>45171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45351</v>
      </c>
      <c r="F13" s="1">
        <f t="shared" si="1"/>
        <v>45171</v>
      </c>
      <c r="G13" s="1">
        <f t="shared" si="2"/>
        <v>45351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45531</v>
      </c>
      <c r="F14" s="1">
        <f t="shared" si="1"/>
        <v>45351</v>
      </c>
      <c r="G14" s="1">
        <f t="shared" si="2"/>
        <v>45531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JsonObject:617D2143-93EF-410D-926D-E0588FD44D33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44631</v>
      </c>
      <c r="J21">
        <v>44451</v>
      </c>
      <c r="K21">
        <v>44631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>
        <v>44631</v>
      </c>
      <c r="U21">
        <v>44451</v>
      </c>
      <c r="V21">
        <v>44631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>
        <v>44631</v>
      </c>
      <c r="G22" cm="1">
        <f t="array" ref="G22">_xll.ExLibris.Json.GetJsonValue($F$1,E22)</f>
        <v>44631</v>
      </c>
      <c r="I22">
        <v>44811</v>
      </c>
      <c r="J22">
        <v>44631</v>
      </c>
      <c r="K22">
        <v>44811</v>
      </c>
      <c r="L22" t="str">
        <v>ACT/360</v>
      </c>
      <c r="M22">
        <v>11000000</v>
      </c>
      <c r="N22">
        <v>1E-3</v>
      </c>
      <c r="P22" t="s">
        <v>32</v>
      </c>
      <c r="Q22">
        <v>44631</v>
      </c>
      <c r="R22">
        <v>44631</v>
      </c>
      <c r="T22">
        <v>44811</v>
      </c>
      <c r="U22">
        <v>44631</v>
      </c>
      <c r="V22">
        <v>44811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>
        <v>44451</v>
      </c>
      <c r="G23" cm="1">
        <f t="array" ref="G23">_xll.ExLibris.Json.GetJsonValue($F$1,E23)</f>
        <v>44451</v>
      </c>
      <c r="I23">
        <v>44991</v>
      </c>
      <c r="J23">
        <v>44811</v>
      </c>
      <c r="K23">
        <v>44991</v>
      </c>
      <c r="L23" t="str">
        <v>ACT/360</v>
      </c>
      <c r="M23">
        <v>12000000</v>
      </c>
      <c r="N23">
        <v>1E-3</v>
      </c>
      <c r="P23" t="s">
        <v>33</v>
      </c>
      <c r="Q23">
        <v>44451</v>
      </c>
      <c r="R23">
        <v>44451</v>
      </c>
      <c r="T23">
        <v>44991</v>
      </c>
      <c r="U23">
        <v>44811</v>
      </c>
      <c r="V23">
        <v>44991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>
        <v>44631</v>
      </c>
      <c r="G24" cm="1">
        <f t="array" ref="G24">_xll.ExLibris.Json.GetJsonValue($F$1,E24)</f>
        <v>44631</v>
      </c>
      <c r="I24">
        <v>45171</v>
      </c>
      <c r="J24">
        <v>44991</v>
      </c>
      <c r="K24">
        <v>45171</v>
      </c>
      <c r="L24" t="str">
        <v>ACT/360</v>
      </c>
      <c r="M24">
        <v>13000000</v>
      </c>
      <c r="N24">
        <v>1E-3</v>
      </c>
      <c r="P24" t="s">
        <v>34</v>
      </c>
      <c r="Q24">
        <v>44631</v>
      </c>
      <c r="R24">
        <v>44631</v>
      </c>
      <c r="T24">
        <v>45171</v>
      </c>
      <c r="U24">
        <v>44991</v>
      </c>
      <c r="V24">
        <v>45171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45351</v>
      </c>
      <c r="J25">
        <v>45171</v>
      </c>
      <c r="K25">
        <v>45351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>
        <v>45351</v>
      </c>
      <c r="U25">
        <v>45171</v>
      </c>
      <c r="V25">
        <v>45351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45531</v>
      </c>
      <c r="J26">
        <v>45351</v>
      </c>
      <c r="K26">
        <v>45531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>
        <v>45531</v>
      </c>
      <c r="U26">
        <v>45351</v>
      </c>
      <c r="V26">
        <v>45531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>
        <v>44811</v>
      </c>
      <c r="G28" cm="1">
        <f t="array" ref="G28">_xll.ExLibris.Json.GetJsonValue($F$1,E28)</f>
        <v>44811</v>
      </c>
      <c r="I28" t="str" cm="1">
        <f t="array" ref="I28">_xll.ExLibris.Json.GetJsonValue(I19,"[2]")</f>
        <v>JsonObject:5352EC07-5AE1-4FBC-81B8-0585FC559A7C</v>
      </c>
      <c r="P28" t="s">
        <v>38</v>
      </c>
      <c r="Q28">
        <v>44811</v>
      </c>
      <c r="R28">
        <v>44811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>
        <v>44631</v>
      </c>
      <c r="G29" cm="1">
        <f t="array" ref="G29">_xll.ExLibris.Json.GetJsonValue($F$1,E29)</f>
        <v>44631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>
        <v>44631</v>
      </c>
      <c r="R29">
        <v>44631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>
        <v>44811</v>
      </c>
      <c r="G30" cm="1">
        <f t="array" ref="G30">_xll.ExLibris.Json.GetJsonValue($F$1,E30)</f>
        <v>44811</v>
      </c>
      <c r="I30">
        <v>44991</v>
      </c>
      <c r="J30">
        <v>44811</v>
      </c>
      <c r="K30">
        <v>44991</v>
      </c>
      <c r="L30" t="str">
        <v>ACT/360</v>
      </c>
      <c r="M30">
        <v>12000000</v>
      </c>
      <c r="N30">
        <v>1E-3</v>
      </c>
      <c r="P30" t="s">
        <v>40</v>
      </c>
      <c r="Q30">
        <v>44811</v>
      </c>
      <c r="R30">
        <v>44811</v>
      </c>
      <c r="T30">
        <v>44991</v>
      </c>
      <c r="U30">
        <v>44811</v>
      </c>
      <c r="V30">
        <v>44991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>
        <v>44991</v>
      </c>
      <c r="G34" cm="1">
        <f t="array" ref="G34">_xll.ExLibris.Json.GetJsonValue($F$1,E34)</f>
        <v>44991</v>
      </c>
      <c r="P34" t="s">
        <v>44</v>
      </c>
      <c r="Q34">
        <v>44991</v>
      </c>
      <c r="R34">
        <v>44991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>
        <v>44811</v>
      </c>
      <c r="G35" cm="1">
        <f t="array" ref="G35">_xll.ExLibris.Json.GetJsonValue($F$1,E35)</f>
        <v>44811</v>
      </c>
      <c r="P35" t="s">
        <v>45</v>
      </c>
      <c r="Q35">
        <v>44811</v>
      </c>
      <c r="R35">
        <v>44811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>
        <v>44991</v>
      </c>
      <c r="G36" cm="1">
        <f t="array" ref="G36">_xll.ExLibris.Json.GetJsonValue($F$1,E36)</f>
        <v>44991</v>
      </c>
      <c r="P36" t="s">
        <v>46</v>
      </c>
      <c r="Q36">
        <v>44991</v>
      </c>
      <c r="R36">
        <v>44991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>
        <v>45171</v>
      </c>
      <c r="G40" cm="1">
        <f t="array" ref="G40">_xll.ExLibris.Json.GetJsonValue($F$1,E40)</f>
        <v>45171</v>
      </c>
      <c r="P40" t="s">
        <v>50</v>
      </c>
      <c r="Q40">
        <v>45171</v>
      </c>
      <c r="R40">
        <v>45171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>
        <v>44991</v>
      </c>
      <c r="G41" cm="1">
        <f t="array" ref="G41">_xll.ExLibris.Json.GetJsonValue($F$1,E41)</f>
        <v>44991</v>
      </c>
      <c r="P41" t="s">
        <v>51</v>
      </c>
      <c r="Q41">
        <v>44991</v>
      </c>
      <c r="R41">
        <v>44991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>
        <v>45171</v>
      </c>
      <c r="G42" cm="1">
        <f t="array" ref="G42">_xll.ExLibris.Json.GetJsonValue($F$1,E42)</f>
        <v>45171</v>
      </c>
      <c r="P42" t="s">
        <v>52</v>
      </c>
      <c r="Q42">
        <v>45171</v>
      </c>
      <c r="R42">
        <v>45171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>
        <v>45351</v>
      </c>
      <c r="G46" cm="1">
        <f t="array" ref="G46">_xll.ExLibris.Json.GetJsonValue($F$1,E46)</f>
        <v>45351</v>
      </c>
      <c r="P46" t="s">
        <v>56</v>
      </c>
      <c r="Q46">
        <v>45351</v>
      </c>
      <c r="R46">
        <v>45351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>
        <v>45171</v>
      </c>
      <c r="G47" cm="1">
        <f t="array" ref="G47">_xll.ExLibris.Json.GetJsonValue($F$1,E47)</f>
        <v>45171</v>
      </c>
      <c r="P47" t="s">
        <v>57</v>
      </c>
      <c r="Q47">
        <v>45171</v>
      </c>
      <c r="R47">
        <v>45171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>
        <v>45351</v>
      </c>
      <c r="G48" cm="1">
        <f t="array" ref="G48">_xll.ExLibris.Json.GetJsonValue($F$1,E48)</f>
        <v>45351</v>
      </c>
      <c r="P48" t="s">
        <v>58</v>
      </c>
      <c r="Q48">
        <v>45351</v>
      </c>
      <c r="R48">
        <v>45351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>
        <v>45531</v>
      </c>
      <c r="G52" cm="1">
        <f t="array" ref="G52">_xll.ExLibris.Json.GetJsonValue($F$1,E52)</f>
        <v>45531</v>
      </c>
      <c r="P52" t="s">
        <v>62</v>
      </c>
      <c r="Q52">
        <v>45531</v>
      </c>
      <c r="R52">
        <v>45531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>
        <v>45351</v>
      </c>
      <c r="G53" cm="1">
        <f t="array" ref="G53">_xll.ExLibris.Json.GetJsonValue($F$1,E53)</f>
        <v>45351</v>
      </c>
      <c r="P53" t="s">
        <v>63</v>
      </c>
      <c r="Q53">
        <v>45351</v>
      </c>
      <c r="R53">
        <v>45351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>
        <v>45531</v>
      </c>
      <c r="G54" cm="1">
        <f t="array" ref="G54">_xll.ExLibris.Json.GetJsonValue($F$1,E54)</f>
        <v>45531</v>
      </c>
      <c r="P54" t="s">
        <v>64</v>
      </c>
      <c r="Q54">
        <v>45531</v>
      </c>
      <c r="R54">
        <v>45531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C9"/>
  <sheetViews>
    <sheetView tabSelected="1" workbookViewId="0"/>
  </sheetViews>
  <sheetFormatPr defaultRowHeight="18.75" x14ac:dyDescent="0.4"/>
  <cols>
    <col min="1" max="1" width="3.5" customWidth="1"/>
    <col min="2" max="2" width="33.25" bestFit="1" customWidth="1"/>
  </cols>
  <sheetData>
    <row r="2" spans="2:3" x14ac:dyDescent="0.4">
      <c r="B2" t="s">
        <v>86</v>
      </c>
      <c r="C2" t="str" cm="1">
        <f t="array" ref="C2">_xll.ExLibris.LoadConfiguration(B4:C9)</f>
        <v>ExLibris.Core.ExLibrisConfiguration:B20E8D39-094E-40AA-8C2B-A3FEA327BB9E</v>
      </c>
    </row>
    <row r="4" spans="2:3" x14ac:dyDescent="0.4">
      <c r="B4" t="s">
        <v>77</v>
      </c>
      <c r="C4" t="s">
        <v>78</v>
      </c>
    </row>
    <row r="5" spans="2:3" x14ac:dyDescent="0.4">
      <c r="B5" t="s">
        <v>79</v>
      </c>
      <c r="C5" t="s">
        <v>80</v>
      </c>
    </row>
    <row r="6" spans="2:3" x14ac:dyDescent="0.4">
      <c r="B6" t="s">
        <v>81</v>
      </c>
      <c r="C6" t="s">
        <v>80</v>
      </c>
    </row>
    <row r="7" spans="2:3" x14ac:dyDescent="0.4">
      <c r="B7" t="s">
        <v>82</v>
      </c>
      <c r="C7" t="s">
        <v>80</v>
      </c>
    </row>
    <row r="8" spans="2:3" x14ac:dyDescent="0.4">
      <c r="B8" t="s">
        <v>83</v>
      </c>
      <c r="C8" t="s">
        <v>84</v>
      </c>
    </row>
    <row r="9" spans="2:3" x14ac:dyDescent="0.4">
      <c r="B9" t="s">
        <v>85</v>
      </c>
      <c r="C9" t="s">
        <v>84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json_test</vt:lpstr>
      <vt:lpstr>context_test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2021-09-12T13:25:40Z</dcterms:modified>
</cp:coreProperties>
</file>