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B9E30E08-DB83-4B2F-8176-ADF5D1F9B09B}" xr6:coauthVersionLast="47" xr6:coauthVersionMax="47" xr10:uidLastSave="{00000000-0000-0000-0000-000000000000}"/>
  <bookViews>
    <workbookView xWindow="-120" yWindow="-120" windowWidth="29040" windowHeight="15840" xr2:uid="{705CD0B7-27A9-4291-85BD-6034C0FEE3E4}"/>
  </bookViews>
  <sheets>
    <sheet name="json_test" sheetId="7" r:id="rId1"/>
    <sheet name="json_test_async" sheetId="1" r:id="rId2"/>
    <sheet name="json_w_conf_test_async" sheetId="4" r:id="rId3"/>
    <sheet name="configuration" sheetId="2" r:id="rId4"/>
    <sheet name="websocket" sheetId="3" r:id="rId5"/>
    <sheet name="webapi" sheetId="5" r:id="rId6"/>
    <sheet name="webapi github" sheetId="6" r:id="rId7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1" l="1"/>
  <c r="C12" i="1"/>
  <c r="AM53" i="1"/>
  <c r="AL53" i="1"/>
  <c r="AK53" i="1"/>
  <c r="AM52" i="1"/>
  <c r="AL52" i="1"/>
  <c r="AK52" i="1"/>
  <c r="AM51" i="1"/>
  <c r="AL51" i="1"/>
  <c r="AK51" i="1"/>
  <c r="AM50" i="1"/>
  <c r="AL50" i="1"/>
  <c r="AK50" i="1"/>
  <c r="AM49" i="1"/>
  <c r="AL49" i="1"/>
  <c r="AK49" i="1"/>
  <c r="AM48" i="1"/>
  <c r="AL48" i="1"/>
  <c r="AK48" i="1"/>
  <c r="AP45" i="1"/>
  <c r="AO45" i="1"/>
  <c r="AN45" i="1"/>
  <c r="AM45" i="1"/>
  <c r="AL45" i="1"/>
  <c r="AK45" i="1"/>
  <c r="AP44" i="1"/>
  <c r="AO44" i="1"/>
  <c r="AN44" i="1"/>
  <c r="AM44" i="1"/>
  <c r="AL44" i="1"/>
  <c r="AK44" i="1"/>
  <c r="AP43" i="1"/>
  <c r="AO43" i="1"/>
  <c r="AN43" i="1"/>
  <c r="AM43" i="1"/>
  <c r="AL43" i="1"/>
  <c r="AK43" i="1"/>
  <c r="AP42" i="1"/>
  <c r="AO42" i="1"/>
  <c r="AN42" i="1"/>
  <c r="AM42" i="1"/>
  <c r="AL42" i="1"/>
  <c r="AK42" i="1"/>
  <c r="AP41" i="1"/>
  <c r="AO41" i="1"/>
  <c r="AN41" i="1"/>
  <c r="AM41" i="1"/>
  <c r="AL41" i="1"/>
  <c r="AK41" i="1"/>
  <c r="AP40" i="1"/>
  <c r="AO40" i="1"/>
  <c r="AN40" i="1"/>
  <c r="AM40" i="1"/>
  <c r="AL40" i="1"/>
  <c r="AK40" i="1"/>
  <c r="K47" i="1"/>
  <c r="J47" i="1"/>
  <c r="I47" i="1"/>
  <c r="C13" i="7"/>
  <c r="C12" i="7"/>
  <c r="AM53" i="7"/>
  <c r="AL53" i="7"/>
  <c r="AK53" i="7"/>
  <c r="AM52" i="7"/>
  <c r="AL52" i="7"/>
  <c r="AK52" i="7"/>
  <c r="AM51" i="7"/>
  <c r="AL51" i="7"/>
  <c r="AK51" i="7"/>
  <c r="AM50" i="7"/>
  <c r="AL50" i="7"/>
  <c r="AK50" i="7"/>
  <c r="AM49" i="7"/>
  <c r="AL49" i="7"/>
  <c r="AK49" i="7"/>
  <c r="AM48" i="7"/>
  <c r="AL48" i="7"/>
  <c r="AK48" i="7"/>
  <c r="AP45" i="7"/>
  <c r="AO45" i="7"/>
  <c r="AN45" i="7"/>
  <c r="AM45" i="7"/>
  <c r="AL45" i="7"/>
  <c r="AK45" i="7"/>
  <c r="AP44" i="7"/>
  <c r="AO44" i="7"/>
  <c r="AN44" i="7"/>
  <c r="AM44" i="7"/>
  <c r="AL44" i="7"/>
  <c r="AK44" i="7"/>
  <c r="AP43" i="7"/>
  <c r="AO43" i="7"/>
  <c r="AN43" i="7"/>
  <c r="AM43" i="7"/>
  <c r="AL43" i="7"/>
  <c r="AK43" i="7"/>
  <c r="AP42" i="7"/>
  <c r="AO42" i="7"/>
  <c r="AN42" i="7"/>
  <c r="AM42" i="7"/>
  <c r="AL42" i="7"/>
  <c r="AK42" i="7"/>
  <c r="AP41" i="7"/>
  <c r="AO41" i="7"/>
  <c r="AN41" i="7"/>
  <c r="AM41" i="7"/>
  <c r="AL41" i="7"/>
  <c r="AK41" i="7"/>
  <c r="AP40" i="7"/>
  <c r="AO40" i="7"/>
  <c r="AN40" i="7"/>
  <c r="AM40" i="7"/>
  <c r="AL40" i="7"/>
  <c r="AK40" i="7"/>
  <c r="K47" i="7"/>
  <c r="J47" i="7"/>
  <c r="I47" i="7"/>
  <c r="D14" i="5"/>
  <c r="I10" i="7"/>
  <c r="I11" i="7" s="1"/>
  <c r="I12" i="7" s="1"/>
  <c r="I13" i="7" s="1"/>
  <c r="I14" i="7" s="1"/>
  <c r="G9" i="7"/>
  <c r="F10" i="7" s="1"/>
  <c r="G10" i="7" s="1"/>
  <c r="D49" i="5"/>
  <c r="E49" i="5" s="1"/>
  <c r="I48" i="1" a="1"/>
  <c r="I40" i="1" a="1"/>
  <c r="I48" i="7" a="1"/>
  <c r="I40" i="7" a="1"/>
  <c r="I43" i="4" a="1"/>
  <c r="I39" i="4" a="1"/>
  <c r="I34" i="4" a="1"/>
  <c r="I29" i="4" a="1"/>
  <c r="I20" i="4" a="1"/>
  <c r="D5" i="3" a="1"/>
  <c r="F6" i="7" a="1"/>
  <c r="B5" i="5" a="1"/>
  <c r="D8" i="3" a="1"/>
  <c r="D7" i="3" a="1"/>
  <c r="H5" i="5" a="1"/>
  <c r="F6" i="1" a="1"/>
  <c r="D6" i="3" a="1"/>
  <c r="D50" i="5" a="1"/>
  <c r="D4" i="3" a="1"/>
  <c r="B2" i="6" a="1"/>
  <c r="C2" i="2" a="1"/>
  <c r="I48" i="1" l="1"/>
  <c r="I40" i="1"/>
  <c r="I48" i="7"/>
  <c r="I40" i="7"/>
  <c r="I43" i="4"/>
  <c r="I39" i="4"/>
  <c r="I34" i="4"/>
  <c r="I29" i="4"/>
  <c r="I20" i="4"/>
  <c r="F6" i="7"/>
  <c r="E10" i="7"/>
  <c r="F11" i="7"/>
  <c r="G11" i="7" s="1"/>
  <c r="E9" i="7"/>
  <c r="D7" i="3"/>
  <c r="D6" i="3"/>
  <c r="D8" i="3"/>
  <c r="D5" i="3"/>
  <c r="B2" i="6"/>
  <c r="D4" i="3"/>
  <c r="H5" i="5"/>
  <c r="B5" i="5"/>
  <c r="C2" i="2"/>
  <c r="K1" i="7" s="1"/>
  <c r="F6" i="1"/>
  <c r="D50" i="5"/>
  <c r="F5" i="3" a="1"/>
  <c r="D51" i="5" a="1"/>
  <c r="F6" i="3" a="1"/>
  <c r="F6" i="4" a="1"/>
  <c r="G5" i="3" a="1"/>
  <c r="G7" i="3" a="1"/>
  <c r="F8" i="3" a="1"/>
  <c r="F1" i="7" a="1"/>
  <c r="E6" i="2" a="1"/>
  <c r="D52" i="5" a="1"/>
  <c r="F7" i="3" a="1"/>
  <c r="G6" i="3" a="1"/>
  <c r="G8" i="3" a="1"/>
  <c r="F1" i="7" l="1"/>
  <c r="F12" i="7"/>
  <c r="G12" i="7" s="1"/>
  <c r="E11" i="7"/>
  <c r="F5" i="3"/>
  <c r="G5" i="3"/>
  <c r="F8" i="3"/>
  <c r="G8" i="3"/>
  <c r="F6" i="3"/>
  <c r="G6" i="3"/>
  <c r="G7" i="3"/>
  <c r="F7" i="3"/>
  <c r="D52" i="5"/>
  <c r="E52" i="5" s="1"/>
  <c r="F6" i="4"/>
  <c r="E6" i="2"/>
  <c r="D51" i="5"/>
  <c r="E51" i="5" s="1"/>
  <c r="C5" i="6"/>
  <c r="D34" i="5"/>
  <c r="E34" i="5" s="1"/>
  <c r="D29" i="5"/>
  <c r="E29" i="5" s="1"/>
  <c r="D24" i="5"/>
  <c r="E24" i="5" s="1"/>
  <c r="D19" i="5"/>
  <c r="E19" i="5" s="1"/>
  <c r="E14" i="5"/>
  <c r="D44" i="5" a="1"/>
  <c r="D39" i="5" a="1"/>
  <c r="P74" i="7" a="1"/>
  <c r="I19" i="7" a="1"/>
  <c r="E19" i="7" a="1"/>
  <c r="G21" i="7" a="1"/>
  <c r="G33" i="7" a="1"/>
  <c r="M6" i="7" a="1"/>
  <c r="G45" i="7" a="1"/>
  <c r="P67" i="7" a="1"/>
  <c r="G56" i="7" a="1"/>
  <c r="G51" i="7" a="1"/>
  <c r="G29" i="7" a="1"/>
  <c r="D20" i="5" a="1"/>
  <c r="G53" i="7" a="1"/>
  <c r="G42" i="7" a="1"/>
  <c r="G27" i="7" a="1"/>
  <c r="G49" i="7" a="1"/>
  <c r="G32" i="7" a="1"/>
  <c r="P19" i="7" a="1"/>
  <c r="G35" i="7" a="1"/>
  <c r="D15" i="5" a="1"/>
  <c r="G24" i="7" a="1"/>
  <c r="G30" i="7" a="1"/>
  <c r="G36" i="7" a="1"/>
  <c r="G38" i="7" a="1"/>
  <c r="G48" i="7" a="1"/>
  <c r="G39" i="7" a="1"/>
  <c r="G50" i="7" a="1"/>
  <c r="G37" i="7" a="1"/>
  <c r="G40" i="7" a="1"/>
  <c r="G44" i="7" a="1"/>
  <c r="G20" i="7" a="1"/>
  <c r="G57" i="7" a="1"/>
  <c r="G31" i="7" a="1"/>
  <c r="G43" i="7" a="1"/>
  <c r="G23" i="7" a="1"/>
  <c r="G34" i="7" a="1"/>
  <c r="G52" i="7" a="1"/>
  <c r="G46" i="7" a="1"/>
  <c r="G54" i="7" a="1"/>
  <c r="G41" i="7" a="1"/>
  <c r="G26" i="7" a="1"/>
  <c r="G28" i="7" a="1"/>
  <c r="G25" i="7" a="1"/>
  <c r="G55" i="7" a="1"/>
  <c r="G47" i="7" a="1"/>
  <c r="G22" i="7" a="1"/>
  <c r="AR77" i="7" l="1"/>
  <c r="AS76" i="7"/>
  <c r="AS78" i="7"/>
  <c r="AS74" i="7"/>
  <c r="AR79" i="7"/>
  <c r="AR75" i="7"/>
  <c r="AR78" i="7"/>
  <c r="AS77" i="7"/>
  <c r="AR76" i="7"/>
  <c r="AS79" i="7"/>
  <c r="AS75" i="7"/>
  <c r="P74" i="7"/>
  <c r="AR74" i="7" s="1"/>
  <c r="P19" i="7"/>
  <c r="AR72" i="7"/>
  <c r="AR68" i="7"/>
  <c r="AS70" i="7"/>
  <c r="AS69" i="7"/>
  <c r="AR70" i="7"/>
  <c r="AR69" i="7"/>
  <c r="AS72" i="7"/>
  <c r="AS68" i="7"/>
  <c r="AS71" i="7"/>
  <c r="AS67" i="7"/>
  <c r="AR71" i="7"/>
  <c r="P67" i="7"/>
  <c r="AR67" i="7" s="1"/>
  <c r="G30" i="7"/>
  <c r="G53" i="7"/>
  <c r="G57" i="7"/>
  <c r="G48" i="7"/>
  <c r="G36" i="7"/>
  <c r="G43" i="7"/>
  <c r="M6" i="7"/>
  <c r="G45" i="7"/>
  <c r="G49" i="7"/>
  <c r="G40" i="7"/>
  <c r="G28" i="7"/>
  <c r="G23" i="7"/>
  <c r="G35" i="7"/>
  <c r="G41" i="7"/>
  <c r="G37" i="7"/>
  <c r="G32" i="7"/>
  <c r="G39" i="7"/>
  <c r="G26" i="7"/>
  <c r="G25" i="7"/>
  <c r="G46" i="7"/>
  <c r="G50" i="7"/>
  <c r="G27" i="7"/>
  <c r="G22" i="7"/>
  <c r="G42" i="7"/>
  <c r="G52" i="7"/>
  <c r="G33" i="7"/>
  <c r="G29" i="7"/>
  <c r="G20" i="7"/>
  <c r="G34" i="7"/>
  <c r="G54" i="7"/>
  <c r="G21" i="7"/>
  <c r="G31" i="7"/>
  <c r="G24" i="7"/>
  <c r="G55" i="7"/>
  <c r="G51" i="7"/>
  <c r="I19" i="7"/>
  <c r="G38" i="7"/>
  <c r="G56" i="7"/>
  <c r="G44" i="7"/>
  <c r="G47" i="7"/>
  <c r="E19" i="7"/>
  <c r="E12" i="7"/>
  <c r="F13" i="7"/>
  <c r="G13" i="7" s="1"/>
  <c r="D39" i="5"/>
  <c r="E39" i="5" s="1"/>
  <c r="D44" i="5"/>
  <c r="E44" i="5" s="1"/>
  <c r="D20" i="5"/>
  <c r="D15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I20" i="7" a="1"/>
  <c r="I28" i="7" a="1"/>
  <c r="I32" i="7" a="1"/>
  <c r="G19" i="7" a="1"/>
  <c r="D45" i="5" a="1"/>
  <c r="C6" i="6" a="1"/>
  <c r="P29" i="7" a="1"/>
  <c r="D17" i="5" a="1"/>
  <c r="D22" i="5" a="1"/>
  <c r="D16" i="5" a="1"/>
  <c r="D21" i="5" a="1"/>
  <c r="AK38" i="7" l="1"/>
  <c r="AK36" i="7"/>
  <c r="AK34" i="7"/>
  <c r="AL36" i="7"/>
  <c r="AL32" i="7"/>
  <c r="AN37" i="7"/>
  <c r="AN35" i="7"/>
  <c r="AN33" i="7"/>
  <c r="AM37" i="7"/>
  <c r="AM35" i="7"/>
  <c r="AM33" i="7"/>
  <c r="AK37" i="7"/>
  <c r="AK35" i="7"/>
  <c r="AK33" i="7"/>
  <c r="AL38" i="7"/>
  <c r="AL34" i="7"/>
  <c r="AL37" i="7"/>
  <c r="AL35" i="7"/>
  <c r="AL33" i="7"/>
  <c r="AM38" i="7"/>
  <c r="AM36" i="7"/>
  <c r="AM34" i="7"/>
  <c r="AM32" i="7"/>
  <c r="AN38" i="7"/>
  <c r="AN36" i="7"/>
  <c r="AN34" i="7"/>
  <c r="AN32" i="7"/>
  <c r="I32" i="7"/>
  <c r="AK32" i="7" s="1"/>
  <c r="C11" i="7" s="1"/>
  <c r="I20" i="7"/>
  <c r="C10" i="7"/>
  <c r="C9" i="7"/>
  <c r="P29" i="7"/>
  <c r="D17" i="5"/>
  <c r="E17" i="5" s="1"/>
  <c r="I28" i="7"/>
  <c r="G19" i="7"/>
  <c r="E13" i="7"/>
  <c r="F14" i="7"/>
  <c r="G14" i="7" s="1"/>
  <c r="E14" i="7" s="1"/>
  <c r="D22" i="5"/>
  <c r="E22" i="5" s="1"/>
  <c r="C6" i="6"/>
  <c r="D45" i="5"/>
  <c r="D21" i="5"/>
  <c r="E21" i="5" s="1"/>
  <c r="D16" i="5"/>
  <c r="E16" i="5" s="1"/>
  <c r="F10" i="4"/>
  <c r="G10" i="4" s="1"/>
  <c r="F10" i="1"/>
  <c r="G10" i="1" s="1"/>
  <c r="F11" i="1" s="1"/>
  <c r="G11" i="1" s="1"/>
  <c r="F12" i="1" s="1"/>
  <c r="G12" i="1" s="1"/>
  <c r="E12" i="1" s="1"/>
  <c r="D25" i="5" a="1"/>
  <c r="I29" i="7" a="1"/>
  <c r="D46" i="5" a="1"/>
  <c r="G4" i="3" a="1"/>
  <c r="D40" i="5" a="1"/>
  <c r="C7" i="6" a="1"/>
  <c r="D30" i="5" a="1"/>
  <c r="F4" i="3" a="1"/>
  <c r="C8" i="6" a="1"/>
  <c r="D35" i="5" a="1"/>
  <c r="D47" i="5" a="1"/>
  <c r="I29" i="7" l="1"/>
  <c r="D47" i="5"/>
  <c r="E47" i="5" s="1"/>
  <c r="C8" i="6"/>
  <c r="D25" i="5"/>
  <c r="C7" i="6"/>
  <c r="D46" i="5"/>
  <c r="E46" i="5" s="1"/>
  <c r="D40" i="5"/>
  <c r="D30" i="5"/>
  <c r="D35" i="5"/>
  <c r="K1" i="1"/>
  <c r="K1" i="4"/>
  <c r="F11" i="4"/>
  <c r="G11" i="4" s="1"/>
  <c r="E10" i="4"/>
  <c r="G4" i="3"/>
  <c r="F4" i="3"/>
  <c r="F13" i="1"/>
  <c r="G13" i="1" s="1"/>
  <c r="F14" i="1" s="1"/>
  <c r="G14" i="1" s="1"/>
  <c r="E14" i="1" s="1"/>
  <c r="E10" i="1"/>
  <c r="E11" i="1"/>
  <c r="D42" i="5" a="1"/>
  <c r="H8" i="3" a="1"/>
  <c r="H4" i="3" a="1"/>
  <c r="D32" i="5" a="1"/>
  <c r="D27" i="5" a="1"/>
  <c r="D37" i="5" a="1"/>
  <c r="C10" i="6" a="1"/>
  <c r="D36" i="5" a="1"/>
  <c r="D41" i="5" a="1"/>
  <c r="H5" i="3" a="1"/>
  <c r="D31" i="5" a="1"/>
  <c r="H7" i="3" a="1"/>
  <c r="H6" i="3" a="1"/>
  <c r="D26" i="5" a="1"/>
  <c r="H7" i="3" l="1"/>
  <c r="H6" i="3"/>
  <c r="H5" i="3"/>
  <c r="H8" i="3"/>
  <c r="H4" i="3"/>
  <c r="D37" i="5"/>
  <c r="E37" i="5" s="1"/>
  <c r="D42" i="5"/>
  <c r="E42" i="5" s="1"/>
  <c r="D27" i="5"/>
  <c r="E27" i="5" s="1"/>
  <c r="D32" i="5"/>
  <c r="E32" i="5" s="1"/>
  <c r="C10" i="6"/>
  <c r="D36" i="5"/>
  <c r="E36" i="5" s="1"/>
  <c r="D31" i="5"/>
  <c r="E31" i="5" s="1"/>
  <c r="D41" i="5"/>
  <c r="E41" i="5" s="1"/>
  <c r="D26" i="5"/>
  <c r="E26" i="5" s="1"/>
  <c r="E11" i="4"/>
  <c r="F12" i="4"/>
  <c r="G12" i="4" s="1"/>
  <c r="E13" i="1"/>
  <c r="I8" i="3" a="1"/>
  <c r="I5" i="3" a="1"/>
  <c r="I7" i="3" a="1"/>
  <c r="C11" i="6" a="1"/>
  <c r="I4" i="3" a="1"/>
  <c r="I6" i="3" a="1"/>
  <c r="B12" i="5" l="1"/>
  <c r="I5" i="3"/>
  <c r="I6" i="3"/>
  <c r="I7" i="3"/>
  <c r="I8" i="3"/>
  <c r="I4" i="3"/>
  <c r="AS21" i="7"/>
  <c r="AS19" i="7"/>
  <c r="AS20" i="7"/>
  <c r="AR20" i="7"/>
  <c r="AR21" i="7"/>
  <c r="AR19" i="7"/>
  <c r="C5" i="7"/>
  <c r="AI55" i="7"/>
  <c r="AH54" i="7"/>
  <c r="AG53" i="7"/>
  <c r="AI47" i="7"/>
  <c r="AH46" i="7"/>
  <c r="AG45" i="7"/>
  <c r="AI39" i="7"/>
  <c r="AH38" i="7"/>
  <c r="AG37" i="7"/>
  <c r="AI31" i="7"/>
  <c r="AI25" i="7"/>
  <c r="AG23" i="7"/>
  <c r="AG21" i="7"/>
  <c r="AI56" i="7"/>
  <c r="AH55" i="7"/>
  <c r="AG54" i="7"/>
  <c r="AI48" i="7"/>
  <c r="AH47" i="7"/>
  <c r="AG46" i="7"/>
  <c r="AI40" i="7"/>
  <c r="AH39" i="7"/>
  <c r="AG38" i="7"/>
  <c r="AI32" i="7"/>
  <c r="AH31" i="7"/>
  <c r="AH25" i="7"/>
  <c r="AI22" i="7"/>
  <c r="AH52" i="7"/>
  <c r="AG35" i="7"/>
  <c r="AH30" i="7"/>
  <c r="AI57" i="7"/>
  <c r="AH56" i="7"/>
  <c r="AG55" i="7"/>
  <c r="AI49" i="7"/>
  <c r="AH48" i="7"/>
  <c r="AG47" i="7"/>
  <c r="AI41" i="7"/>
  <c r="AH40" i="7"/>
  <c r="AG39" i="7"/>
  <c r="AI33" i="7"/>
  <c r="AH32" i="7"/>
  <c r="AG31" i="7"/>
  <c r="AI29" i="7"/>
  <c r="AI27" i="7"/>
  <c r="AG25" i="7"/>
  <c r="AH22" i="7"/>
  <c r="AI53" i="7"/>
  <c r="AG51" i="7"/>
  <c r="AI45" i="7"/>
  <c r="AH44" i="7"/>
  <c r="AG43" i="7"/>
  <c r="AI37" i="7"/>
  <c r="AH36" i="7"/>
  <c r="AH26" i="7"/>
  <c r="AI23" i="7"/>
  <c r="AI21" i="7"/>
  <c r="AH57" i="7"/>
  <c r="AG56" i="7"/>
  <c r="AI50" i="7"/>
  <c r="AH49" i="7"/>
  <c r="AG48" i="7"/>
  <c r="AI42" i="7"/>
  <c r="AH41" i="7"/>
  <c r="AG40" i="7"/>
  <c r="AI34" i="7"/>
  <c r="AH33" i="7"/>
  <c r="AG32" i="7"/>
  <c r="AH29" i="7"/>
  <c r="AI28" i="7"/>
  <c r="AH27" i="7"/>
  <c r="AI24" i="7"/>
  <c r="AG22" i="7"/>
  <c r="AI20" i="7"/>
  <c r="AG57" i="7"/>
  <c r="AI51" i="7"/>
  <c r="AH50" i="7"/>
  <c r="AG49" i="7"/>
  <c r="AI43" i="7"/>
  <c r="AH42" i="7"/>
  <c r="AG41" i="7"/>
  <c r="AI35" i="7"/>
  <c r="AH34" i="7"/>
  <c r="AG33" i="7"/>
  <c r="AG29" i="7"/>
  <c r="AH28" i="7"/>
  <c r="AG27" i="7"/>
  <c r="AH24" i="7"/>
  <c r="AH20" i="7"/>
  <c r="AI19" i="7"/>
  <c r="AI52" i="7"/>
  <c r="AH51" i="7"/>
  <c r="AG50" i="7"/>
  <c r="AI44" i="7"/>
  <c r="AH43" i="7"/>
  <c r="AG42" i="7"/>
  <c r="AI36" i="7"/>
  <c r="AH35" i="7"/>
  <c r="AG34" i="7"/>
  <c r="AI30" i="7"/>
  <c r="AG28" i="7"/>
  <c r="AI26" i="7"/>
  <c r="AG24" i="7"/>
  <c r="AG20" i="7"/>
  <c r="AI54" i="7"/>
  <c r="AH53" i="7"/>
  <c r="AG52" i="7"/>
  <c r="AI46" i="7"/>
  <c r="AH45" i="7"/>
  <c r="AG44" i="7"/>
  <c r="AI38" i="7"/>
  <c r="AH37" i="7"/>
  <c r="AG36" i="7"/>
  <c r="AG30" i="7"/>
  <c r="AG26" i="7"/>
  <c r="AH23" i="7"/>
  <c r="AH21" i="7"/>
  <c r="C11" i="6"/>
  <c r="F13" i="4"/>
  <c r="G13" i="4" s="1"/>
  <c r="E12" i="4"/>
  <c r="J6" i="3" a="1"/>
  <c r="J4" i="3" a="1"/>
  <c r="J7" i="3" a="1"/>
  <c r="J8" i="3" a="1"/>
  <c r="J5" i="3" a="1"/>
  <c r="P30" i="7" a="1"/>
  <c r="F1" i="1" a="1"/>
  <c r="J7" i="3" l="1"/>
  <c r="J6" i="3"/>
  <c r="J8" i="3"/>
  <c r="J5" i="3"/>
  <c r="J4" i="3"/>
  <c r="C7" i="7"/>
  <c r="AS65" i="7"/>
  <c r="AS61" i="7"/>
  <c r="AS57" i="7"/>
  <c r="AR56" i="7"/>
  <c r="AS49" i="7"/>
  <c r="AR48" i="7"/>
  <c r="AS41" i="7"/>
  <c r="AR40" i="7"/>
  <c r="AS33" i="7"/>
  <c r="AR32" i="7"/>
  <c r="P30" i="7"/>
  <c r="AR30" i="7" s="1"/>
  <c r="AR65" i="7"/>
  <c r="AR61" i="7"/>
  <c r="AR57" i="7"/>
  <c r="AS50" i="7"/>
  <c r="AR49" i="7"/>
  <c r="AS42" i="7"/>
  <c r="AR41" i="7"/>
  <c r="AS34" i="7"/>
  <c r="AR33" i="7"/>
  <c r="AS58" i="7"/>
  <c r="AR54" i="7"/>
  <c r="AR38" i="7"/>
  <c r="AS64" i="7"/>
  <c r="AS60" i="7"/>
  <c r="AS51" i="7"/>
  <c r="AR50" i="7"/>
  <c r="AS43" i="7"/>
  <c r="AR42" i="7"/>
  <c r="AS35" i="7"/>
  <c r="AR34" i="7"/>
  <c r="AS62" i="7"/>
  <c r="AS55" i="7"/>
  <c r="AS47" i="7"/>
  <c r="AR46" i="7"/>
  <c r="AS39" i="7"/>
  <c r="AR64" i="7"/>
  <c r="AR60" i="7"/>
  <c r="AS52" i="7"/>
  <c r="AR51" i="7"/>
  <c r="AS44" i="7"/>
  <c r="AR43" i="7"/>
  <c r="AS36" i="7"/>
  <c r="AR35" i="7"/>
  <c r="AS63" i="7"/>
  <c r="AS59" i="7"/>
  <c r="AS53" i="7"/>
  <c r="AR52" i="7"/>
  <c r="AS45" i="7"/>
  <c r="AR44" i="7"/>
  <c r="AS37" i="7"/>
  <c r="AR36" i="7"/>
  <c r="AS31" i="7"/>
  <c r="AR63" i="7"/>
  <c r="AR59" i="7"/>
  <c r="AS54" i="7"/>
  <c r="AR53" i="7"/>
  <c r="AS46" i="7"/>
  <c r="AR45" i="7"/>
  <c r="AS38" i="7"/>
  <c r="AR37" i="7"/>
  <c r="AS30" i="7"/>
  <c r="AR62" i="7"/>
  <c r="AR58" i="7"/>
  <c r="AS56" i="7"/>
  <c r="AR55" i="7"/>
  <c r="AS48" i="7"/>
  <c r="AR47" i="7"/>
  <c r="AS40" i="7"/>
  <c r="AR39" i="7"/>
  <c r="AS32" i="7"/>
  <c r="AR31" i="7"/>
  <c r="AO26" i="7"/>
  <c r="AM24" i="7"/>
  <c r="AP23" i="7"/>
  <c r="AK22" i="7"/>
  <c r="AP21" i="7"/>
  <c r="AM20" i="7"/>
  <c r="AN26" i="7"/>
  <c r="AL24" i="7"/>
  <c r="AO23" i="7"/>
  <c r="AO21" i="7"/>
  <c r="AL20" i="7"/>
  <c r="AM26" i="7"/>
  <c r="AP25" i="7"/>
  <c r="AK24" i="7"/>
  <c r="AN23" i="7"/>
  <c r="AN21" i="7"/>
  <c r="AO24" i="7"/>
  <c r="AL26" i="7"/>
  <c r="AO25" i="7"/>
  <c r="AM23" i="7"/>
  <c r="AP22" i="7"/>
  <c r="AM21" i="7"/>
  <c r="AL25" i="7"/>
  <c r="AK20" i="7"/>
  <c r="AK26" i="7"/>
  <c r="AN25" i="7"/>
  <c r="AL23" i="7"/>
  <c r="AO22" i="7"/>
  <c r="AL21" i="7"/>
  <c r="AO20" i="7"/>
  <c r="AM25" i="7"/>
  <c r="AP24" i="7"/>
  <c r="AK23" i="7"/>
  <c r="AN22" i="7"/>
  <c r="AK21" i="7"/>
  <c r="AP20" i="7"/>
  <c r="AM22" i="7"/>
  <c r="AP26" i="7"/>
  <c r="AK25" i="7"/>
  <c r="AN24" i="7"/>
  <c r="AL22" i="7"/>
  <c r="AN20" i="7"/>
  <c r="AG19" i="7"/>
  <c r="AH19" i="7"/>
  <c r="F1" i="1"/>
  <c r="E13" i="4"/>
  <c r="F14" i="4"/>
  <c r="G14" i="4" s="1"/>
  <c r="E14" i="4" s="1"/>
  <c r="E19" i="1" a="1"/>
  <c r="G27" i="1" a="1"/>
  <c r="G38" i="1" a="1"/>
  <c r="G36" i="1" a="1"/>
  <c r="G48" i="1" a="1"/>
  <c r="G57" i="1" a="1"/>
  <c r="G47" i="1" a="1"/>
  <c r="G53" i="1" a="1"/>
  <c r="G32" i="1" a="1"/>
  <c r="G20" i="1" a="1"/>
  <c r="G33" i="1" a="1"/>
  <c r="P67" i="1" a="1"/>
  <c r="P74" i="1" a="1"/>
  <c r="G50" i="1" a="1"/>
  <c r="G45" i="1" a="1"/>
  <c r="G52" i="1" a="1"/>
  <c r="G37" i="1" a="1"/>
  <c r="G21" i="1" a="1"/>
  <c r="G29" i="1" a="1"/>
  <c r="G42" i="1" a="1"/>
  <c r="G40" i="1" a="1"/>
  <c r="I19" i="1" a="1"/>
  <c r="G51" i="1" a="1"/>
  <c r="G46" i="1" a="1"/>
  <c r="G54" i="1" a="1"/>
  <c r="G22" i="1" a="1"/>
  <c r="G28" i="1" a="1"/>
  <c r="G44" i="1" a="1"/>
  <c r="G56" i="1" a="1"/>
  <c r="G55" i="1" a="1"/>
  <c r="G23" i="1" a="1"/>
  <c r="G31" i="1" a="1"/>
  <c r="G49" i="1" a="1"/>
  <c r="G35" i="1" a="1"/>
  <c r="M6" i="1" a="1"/>
  <c r="G41" i="1" a="1"/>
  <c r="G24" i="1" a="1"/>
  <c r="G26" i="1" a="1"/>
  <c r="G43" i="1" a="1"/>
  <c r="G30" i="1" a="1"/>
  <c r="G25" i="1" a="1"/>
  <c r="G34" i="1" a="1"/>
  <c r="P19" i="1" a="1"/>
  <c r="G39" i="1" a="1"/>
  <c r="AR71" i="1" l="1"/>
  <c r="AS68" i="1"/>
  <c r="AS70" i="1"/>
  <c r="AR69" i="1"/>
  <c r="AS72" i="1"/>
  <c r="AR72" i="1"/>
  <c r="AR68" i="1"/>
  <c r="AS71" i="1"/>
  <c r="AS67" i="1"/>
  <c r="AR70" i="1"/>
  <c r="AS69" i="1"/>
  <c r="P67" i="1"/>
  <c r="AR67" i="1" s="1"/>
  <c r="P19" i="1"/>
  <c r="AR76" i="1"/>
  <c r="AR79" i="1"/>
  <c r="AR75" i="1"/>
  <c r="AS77" i="1"/>
  <c r="AS79" i="1"/>
  <c r="AS75" i="1"/>
  <c r="AR78" i="1"/>
  <c r="AR77" i="1"/>
  <c r="AS76" i="1"/>
  <c r="AS78" i="1"/>
  <c r="AS74" i="1"/>
  <c r="P74" i="1"/>
  <c r="AR74" i="1" s="1"/>
  <c r="M6" i="1"/>
  <c r="C5" i="1" s="1"/>
  <c r="AO30" i="7"/>
  <c r="AL29" i="7"/>
  <c r="AN30" i="7"/>
  <c r="AM30" i="7"/>
  <c r="AN29" i="7"/>
  <c r="AL30" i="7"/>
  <c r="AK30" i="7"/>
  <c r="AP29" i="7"/>
  <c r="AO29" i="7"/>
  <c r="AP30" i="7"/>
  <c r="AM29" i="7"/>
  <c r="AK29" i="7"/>
  <c r="C8" i="7"/>
  <c r="C3" i="7"/>
  <c r="C4" i="7"/>
  <c r="G48" i="1"/>
  <c r="G55" i="1"/>
  <c r="G39" i="1"/>
  <c r="G26" i="1"/>
  <c r="G33" i="1"/>
  <c r="AR19" i="1"/>
  <c r="G44" i="1"/>
  <c r="G51" i="1"/>
  <c r="G54" i="1"/>
  <c r="G22" i="1"/>
  <c r="G29" i="1"/>
  <c r="G40" i="1"/>
  <c r="G47" i="1"/>
  <c r="G50" i="1"/>
  <c r="G57" i="1"/>
  <c r="G25" i="1"/>
  <c r="G36" i="1"/>
  <c r="G46" i="1"/>
  <c r="G21" i="1"/>
  <c r="G32" i="1"/>
  <c r="G42" i="1"/>
  <c r="G38" i="1"/>
  <c r="G56" i="1"/>
  <c r="G24" i="1"/>
  <c r="G27" i="1"/>
  <c r="G34" i="1"/>
  <c r="G41" i="1"/>
  <c r="G52" i="1"/>
  <c r="G20" i="1"/>
  <c r="G23" i="1"/>
  <c r="G30" i="1"/>
  <c r="G37" i="1"/>
  <c r="G43" i="1"/>
  <c r="G53" i="1"/>
  <c r="G35" i="1"/>
  <c r="G49" i="1"/>
  <c r="I19" i="1"/>
  <c r="G28" i="1"/>
  <c r="G31" i="1"/>
  <c r="G45" i="1"/>
  <c r="E19" i="1"/>
  <c r="AS21" i="1"/>
  <c r="AR21" i="1"/>
  <c r="AS19" i="1"/>
  <c r="AS20" i="1"/>
  <c r="AR20" i="1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P29" i="1" a="1"/>
  <c r="F1" i="4" a="1"/>
  <c r="I32" i="1" a="1"/>
  <c r="G19" i="1" a="1"/>
  <c r="I20" i="1" a="1"/>
  <c r="I28" i="1" a="1"/>
  <c r="AK37" i="1" l="1"/>
  <c r="AK35" i="1"/>
  <c r="AK33" i="1"/>
  <c r="AN38" i="1"/>
  <c r="AN36" i="1"/>
  <c r="AN34" i="1"/>
  <c r="AN32" i="1"/>
  <c r="AM38" i="1"/>
  <c r="AM36" i="1"/>
  <c r="AM34" i="1"/>
  <c r="AM32" i="1"/>
  <c r="I32" i="1"/>
  <c r="AK32" i="1" s="1"/>
  <c r="AK38" i="1"/>
  <c r="AK34" i="1"/>
  <c r="AL37" i="1"/>
  <c r="AL35" i="1"/>
  <c r="AL33" i="1"/>
  <c r="AL38" i="1"/>
  <c r="AL36" i="1"/>
  <c r="AL34" i="1"/>
  <c r="AL32" i="1"/>
  <c r="AK36" i="1"/>
  <c r="AM37" i="1"/>
  <c r="AM35" i="1"/>
  <c r="AM33" i="1"/>
  <c r="AN37" i="1"/>
  <c r="AN35" i="1"/>
  <c r="AN33" i="1"/>
  <c r="C10" i="1"/>
  <c r="C9" i="1"/>
  <c r="P29" i="1"/>
  <c r="C6" i="7"/>
  <c r="G19" i="1"/>
  <c r="I28" i="1"/>
  <c r="I20" i="1"/>
  <c r="AK20" i="1" s="1"/>
  <c r="F1" i="4"/>
  <c r="C7" i="1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I29" i="1" a="1"/>
  <c r="E19" i="4" a="1"/>
  <c r="G34" i="4" a="1"/>
  <c r="G30" i="4" a="1"/>
  <c r="G41" i="4" a="1"/>
  <c r="G50" i="4" a="1"/>
  <c r="G53" i="4" a="1"/>
  <c r="G24" i="4" a="1"/>
  <c r="G52" i="4" a="1"/>
  <c r="P30" i="1" a="1"/>
  <c r="G48" i="4" a="1"/>
  <c r="G36" i="4" a="1"/>
  <c r="M6" i="4" a="1"/>
  <c r="G31" i="4" a="1"/>
  <c r="G40" i="4" a="1"/>
  <c r="G44" i="4" a="1"/>
  <c r="G27" i="4" a="1"/>
  <c r="G33" i="4" a="1"/>
  <c r="G55" i="4" a="1"/>
  <c r="G38" i="4" a="1"/>
  <c r="G46" i="4" a="1"/>
  <c r="G42" i="4" a="1"/>
  <c r="G21" i="4" a="1"/>
  <c r="G23" i="4" a="1"/>
  <c r="G37" i="4" a="1"/>
  <c r="G45" i="4" a="1"/>
  <c r="G49" i="4" a="1"/>
  <c r="G47" i="4" a="1"/>
  <c r="G29" i="4" a="1"/>
  <c r="G22" i="4" a="1"/>
  <c r="G57" i="4" a="1"/>
  <c r="I32" i="4" a="1"/>
  <c r="G28" i="4" a="1"/>
  <c r="G26" i="4" a="1"/>
  <c r="G39" i="4" a="1"/>
  <c r="G35" i="4" a="1"/>
  <c r="G56" i="4" a="1"/>
  <c r="G43" i="4" a="1"/>
  <c r="G32" i="4" a="1"/>
  <c r="I19" i="4" a="1"/>
  <c r="G20" i="4" a="1"/>
  <c r="G51" i="4" a="1"/>
  <c r="G54" i="4" a="1"/>
  <c r="G25" i="4" a="1"/>
  <c r="C11" i="1" l="1"/>
  <c r="E19" i="4"/>
  <c r="P30" i="1"/>
  <c r="AR30" i="1" s="1"/>
  <c r="M6" i="4"/>
  <c r="C5" i="4" s="1"/>
  <c r="G45" i="4"/>
  <c r="G36" i="4"/>
  <c r="G20" i="4"/>
  <c r="G31" i="4"/>
  <c r="G26" i="4"/>
  <c r="G41" i="4"/>
  <c r="G24" i="4"/>
  <c r="G23" i="4"/>
  <c r="G54" i="4"/>
  <c r="G22" i="4"/>
  <c r="G37" i="4"/>
  <c r="G27" i="4"/>
  <c r="G55" i="4"/>
  <c r="G50" i="4"/>
  <c r="I19" i="4"/>
  <c r="G33" i="4"/>
  <c r="G56" i="4"/>
  <c r="G51" i="4"/>
  <c r="G46" i="4"/>
  <c r="G21" i="4"/>
  <c r="G48" i="4"/>
  <c r="G42" i="4"/>
  <c r="G40" i="4"/>
  <c r="G43" i="4"/>
  <c r="G57" i="4"/>
  <c r="G53" i="4"/>
  <c r="G52" i="4"/>
  <c r="G32" i="4"/>
  <c r="G39" i="4"/>
  <c r="G34" i="4"/>
  <c r="I32" i="4"/>
  <c r="G49" i="4"/>
  <c r="G44" i="4"/>
  <c r="G28" i="4"/>
  <c r="G35" i="4"/>
  <c r="G30" i="4"/>
  <c r="G29" i="4"/>
  <c r="G47" i="4"/>
  <c r="G25" i="4"/>
  <c r="G38" i="4"/>
  <c r="I29" i="1"/>
  <c r="AK29" i="1" s="1"/>
  <c r="AR47" i="1"/>
  <c r="AS50" i="1"/>
  <c r="AR54" i="1"/>
  <c r="AS53" i="1"/>
  <c r="AR53" i="1"/>
  <c r="AS56" i="1"/>
  <c r="AR60" i="1"/>
  <c r="AS59" i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C3" i="1"/>
  <c r="C4" i="1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AL29" i="1"/>
  <c r="AM30" i="1"/>
  <c r="AP30" i="1"/>
  <c r="AM29" i="1"/>
  <c r="AN29" i="1"/>
  <c r="AO30" i="1"/>
  <c r="AP29" i="1"/>
  <c r="AN30" i="1"/>
  <c r="AL30" i="1"/>
  <c r="AO29" i="1"/>
  <c r="AK30" i="1"/>
  <c r="G19" i="4" a="1"/>
  <c r="I33" i="4" a="1"/>
  <c r="I38" i="4" a="1"/>
  <c r="I42" i="4" a="1"/>
  <c r="I28" i="4" a="1"/>
  <c r="I42" i="4" l="1"/>
  <c r="AE20" i="4"/>
  <c r="I38" i="4"/>
  <c r="I33" i="4"/>
  <c r="G19" i="4"/>
  <c r="I28" i="4"/>
  <c r="C8" i="1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AF26" i="4"/>
  <c r="AJ22" i="4"/>
  <c r="AB19" i="4"/>
  <c r="AA19" i="4"/>
  <c r="C6" i="1"/>
  <c r="AE29" i="4" l="1"/>
  <c r="AE39" i="4"/>
  <c r="AE34" i="4"/>
  <c r="AE43" i="4"/>
  <c r="C9" i="4" s="1"/>
  <c r="AI40" i="4"/>
  <c r="AG39" i="4"/>
  <c r="AF40" i="4"/>
  <c r="AI39" i="4"/>
  <c r="AJ40" i="4"/>
  <c r="AH39" i="4"/>
  <c r="AH40" i="4"/>
  <c r="AF39" i="4"/>
  <c r="AG40" i="4"/>
  <c r="AE40" i="4"/>
  <c r="AJ39" i="4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C3" i="4"/>
  <c r="AI30" i="4"/>
  <c r="AH30" i="4"/>
  <c r="AG30" i="4"/>
  <c r="AJ29" i="4"/>
  <c r="AF30" i="4"/>
  <c r="AI29" i="4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<sst xmlns="http://schemas.openxmlformats.org/spreadsheetml/2006/main" count="744" uniqueCount="189">
  <si>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</si>
  <si>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</si>
  <si>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</si>
  <si>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</si>
  <si>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</si>
  <si>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</si>
  <si>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</si>
  <si>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</si>
  <si>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</si>
  <si>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</si>
  <si>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</si>
  <si>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</si>
  <si>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</si>
  <si>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</si>
  <si>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</si>
  <si>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</si>
  <si>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</si>
  <si>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</si>
  <si>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</si>
  <si>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</si>
  <si>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</si>
  <si>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</si>
  <si>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</si>
  <si>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</si>
  <si>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</si>
  <si>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</si>
  <si>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</si>
  <si>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</si>
  <si>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</si>
  <si>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</si>
  <si>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</si>
  <si>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</si>
  <si>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</si>
  <si>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</si>
  <si>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</si>
  <si>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</si>
  <si>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</si>
  <si>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</si>
  <si>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</si>
  <si>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</si>
  <si>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</si>
  <si>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</si>
  <si>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</si>
  <si>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</si>
  <si>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</si>
  <si>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</si>
  <si>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</si>
  <si>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</si>
  <si>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</si>
  <si>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</si>
  <si>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</si>
  <si>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</si>
  <si>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</si>
  <si>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</si>
  <si>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</si>
  <si>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</si>
  <si>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</si>
  <si>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</si>
  <si>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</si>
  <si>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</si>
  <si>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</si>
  <si>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</si>
  <si>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</si>
  <si>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</si>
  <si>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</si>
  <si>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</si>
  <si>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</si>
  <si>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</si>
  <si>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</si>
  <si>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</si>
  <si>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</si>
  <si>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</si>
  <si>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</si>
  <si>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</si>
  <si>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</si>
  <si>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</si>
  <si>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</si>
  <si>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</si>
  <si>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</si>
  <si>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</si>
  <si>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</si>
  <si>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</si>
  <si>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</si>
  <si>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</si>
  <si>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</si>
  <si>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</si>
  <si>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</si>
  <si>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</si>
  <si>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</si>
  <si>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</si>
  <si>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</si>
  <si>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</si>
  <si>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</si>
  <si>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</si>
  <si>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client0</t>
    <phoneticPr fontId="1"/>
  </si>
  <si>
    <t>keyvalues1</t>
    <phoneticPr fontId="1"/>
  </si>
  <si>
    <t>table3</t>
    <phoneticPr fontId="1"/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</si>
  <si>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</si>
  <si>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</si>
  <si>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</si>
  <si>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</si>
  <si>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</si>
  <si>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</si>
  <si>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</si>
  <si>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</si>
  <si>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</si>
  <si>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</si>
  <si>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</si>
  <si>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</si>
  <si>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</si>
  <si>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</si>
  <si>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</si>
  <si>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</si>
  <si>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</si>
  <si>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</si>
  <si>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</si>
  <si>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</si>
  <si>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</si>
  <si>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</si>
  <si>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</si>
  <si>
    <t>authorization</t>
    <phoneticPr fontId="1"/>
  </si>
  <si>
    <t>strike</t>
    <phoneticPr fontId="1"/>
  </si>
  <si>
    <t>call_or_put</t>
    <phoneticPr fontId="1"/>
  </si>
  <si>
    <t>CALL</t>
    <phoneticPr fontId="1"/>
  </si>
  <si>
    <t>buy_or_sell</t>
    <phoneticPr fontId="1"/>
  </si>
  <si>
    <t>SELL</t>
    <phoneticPr fontId="1"/>
  </si>
  <si>
    <t>date</t>
    <phoneticPr fontId="1"/>
  </si>
  <si>
    <t>POST with JSON Text</t>
    <phoneticPr fontId="1"/>
  </si>
  <si>
    <t>POST with form value</t>
    <phoneticPr fontId="1"/>
  </si>
  <si>
    <t>POST with form value matrix</t>
    <phoneticPr fontId="1"/>
  </si>
  <si>
    <t>currency_pair.left</t>
    <phoneticPr fontId="1"/>
  </si>
  <si>
    <t>currency_pair.right</t>
    <phoneticPr fontId="1"/>
  </si>
  <si>
    <t>USD</t>
    <phoneticPr fontId="1"/>
  </si>
  <si>
    <t>JPY</t>
    <phoneticPr fontId="1"/>
  </si>
  <si>
    <t>GET with paramters</t>
    <phoneticPr fontId="1"/>
  </si>
  <si>
    <t>defunkt</t>
  </si>
  <si>
    <t>DELAY 10</t>
    <phoneticPr fontId="1"/>
  </si>
  <si>
    <t>id</t>
    <phoneticPr fontId="1"/>
  </si>
  <si>
    <t>socket</t>
    <phoneticPr fontId="1"/>
  </si>
  <si>
    <t>receive</t>
    <phoneticPr fontId="1"/>
  </si>
  <si>
    <t>send 0</t>
    <phoneticPr fontId="1"/>
  </si>
  <si>
    <t>send 1</t>
    <phoneticPr fontId="1"/>
  </si>
  <si>
    <t>client1</t>
  </si>
  <si>
    <t>client2</t>
  </si>
  <si>
    <t>client3</t>
  </si>
  <si>
    <t>client4</t>
  </si>
  <si>
    <t>message</t>
    <phoneticPr fontId="1"/>
  </si>
  <si>
    <t>docker run -p 80:80 kennethreitz/httpbin</t>
  </si>
  <si>
    <t>http://localhost:80/get</t>
  </si>
  <si>
    <t>ExLibris.Core.WebAPIs.Response:0F1A2DAA-0698-4A05-83B0-2DBCCA39985A</t>
  </si>
  <si>
    <t>http://localhost:80/post</t>
  </si>
  <si>
    <t>ExLibris.Core.WebAPIs.Response:5407E2E5-A3DE-4431-8264-B500336C6C03</t>
  </si>
  <si>
    <t>http://localhost:80/bearer</t>
  </si>
  <si>
    <t>ExLibris.Core.WebAPIs.Response:EF165471-5C1F-4F20-BD88-F0C49317B72E</t>
  </si>
  <si>
    <t xml:space="preserve">{
  "authenticated": true, 
  "token": "XXX11111222223333444444"
}
</t>
  </si>
  <si>
    <t>ExLibris.Core.WebAPIs.Response:9EF9FE5D-DFD7-4434-B0E6-25A1993F2B9A</t>
  </si>
  <si>
    <t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t>
  </si>
  <si>
    <t>ExLibris.Core.WebAPIs.Response:6699A287-7A23-43FB-823A-8AA3BC6F0EC5</t>
  </si>
  <si>
    <t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t>
  </si>
  <si>
    <t>http://localhost:80/post?currency_pair.left=USD&amp;currency_pair.right=JPY&amp;strike=108.5&amp;call_or_put=CALL&amp;buy_or_sell=SELL&amp;date=44463</t>
  </si>
  <si>
    <t>ExLibris.Core.WebAPIs.Response:115347C9-8C29-4BDA-90DC-C02A450124DE</t>
  </si>
  <si>
    <t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t>
  </si>
  <si>
    <t>http://localhost:80/get?currency_pair.left=USD&amp;currency_pair.right=JPY&amp;strike=108.5&amp;call_or_put=CALL&amp;buy_or_sell=SELL&amp;date=44463</t>
  </si>
  <si>
    <t>ExLibris.Core.WebAPIs.Response:92C25233-3764-4E1B-8C73-9DF86C200743</t>
  </si>
  <si>
    <t xml:space="preserve">{
  "args": {
    "buy_or_sell": "SELL", 
    "call_or_put": "CALL", 
    "currency_pair.left": "USD", 
    "currency_pair.right": "JPY", 
    "date": "44463", 
    "strike": "108.5"
  }, 
  "headers": {
    "Host": "localhost"
  }, 
  "origin": "172.17.0.1", 
  "url": "http://localhost/get?currency_pair.left=USD&amp;currency_pair.right=JPY&amp;strike=108.5&amp;call_or_put=CALL&amp;buy_or_sell=SELL&amp;date=44463"
}
</t>
  </si>
  <si>
    <t>http://localhost:80/delay/10</t>
  </si>
  <si>
    <t>ExLibris.Core.WebAPIs.Response:188035AE-50E0-4C2F-964B-39CD30B3F673</t>
  </si>
  <si>
    <t>ok/ng</t>
    <phoneticPr fontId="1"/>
  </si>
  <si>
    <t xml:space="preserve">{
  "args": {}, 
  "headers": {
    "Host": "localhost"
  }, 
  "origin": "172.17.0.1", 
  "url": "http://localhost/get"
}
</t>
  </si>
  <si>
    <t xml:space="preserve">{
  "args": {}, 
  "data": "", 
  "files": {}, 
  "form": {}, 
  "headers": {
    "Host": "localhost"
  }, 
  "origin": "172.17.0.1", 
  "url": "http://localhost/delay/10"
}
</t>
  </si>
  <si>
    <t xml:space="preserve">{
  "args": {}, 
  "data": "", 
  "files": {}, 
  "form": {}, 
  "headers": {
    "Content-Length": "0", 
    "Host": "localhost"
  }, 
  "json": null, 
  "origin": "172.17.0.1", 
  "url": "http://localhost/post"
}
</t>
  </si>
  <si>
    <t>keyvalues2</t>
    <phoneticPr fontId="1"/>
  </si>
  <si>
    <t>keyvalues3</t>
    <phoneticPr fontId="1"/>
  </si>
  <si>
    <t>table4</t>
    <phoneticPr fontId="1"/>
  </si>
  <si>
    <t>amount</t>
  </si>
  <si>
    <t>amount</t>
    <phoneticPr fontId="1"/>
  </si>
  <si>
    <t>fixed_leg.cashflows.[0].amount</t>
  </si>
  <si>
    <t>fixed_leg.cashflows.[1].amount</t>
  </si>
  <si>
    <t>fixed_leg.cashflows.[2].amount</t>
  </si>
  <si>
    <t>fixed_leg.cashflows.[3].amount</t>
  </si>
  <si>
    <t>fixed_leg.cashflows.[4].amount</t>
  </si>
  <si>
    <t>fixed_leg.cashflows.[5].amount</t>
  </si>
  <si>
    <t>{"trade_code":"money_00001","couter_party":"CP00001","fixed_leg":{"pay_or_recieve":"Receive","cashflows":[{"payment _date":44632,"start_date":44452,"end_date":44632,"day_count_type":"ACT/360","amount":10000000,"fixed_rate":0.001},{"payment _date":44812,"start_date":44632,"end_date":44812,"day_count_type":"ACT/360","amount":11000000,"fixed_rate":0.001},{"payment _date":44992,"start_date":44812,"end_date":44992,"day_count_type":"ACT/360","amount":12000000,"fixed_rate":0.001},{"payment _date":45172,"start_date":44992,"end_date":45172,"day_count_type":"ACT/360","amount":13000000,"fixed_rate":0.001},{"payment _date":45352,"start_date":45172,"end_date":45352,"day_count_type":"ACT/360","amount":14000000,"fixed_rate":0.001},{"payment _date":45532,"start_date":45352,"end_date":45532,"day_count_type":"ACT/360","amount":15000000,"fixed_rate":0.001}]}}</t>
  </si>
  <si>
    <t>fixed_leg.cashflows.[3].amount</t>
    <phoneticPr fontId="1"/>
  </si>
  <si>
    <t>expected</t>
  </si>
  <si>
    <t>result</t>
  </si>
  <si>
    <t>{"trade_code":"money_00001","couter_party":"CP00001","fixed_leg":{"pay_or_recieve":"Receive","cashflows":[{"payment _date":"2022-03-12","start_date":"2021-09-13","end_date":"2022-03-12","day_count_type":"ACT/360","amount":10000000,"fixed_rate":0.001},{"payment _date":"2022-09-08","start_date":"2022-03-12","end_date":"2022-09-08","day_count_type":"ACT/360","amount":10000000,"fixed_rate":0.0011},{"payment _date":"2023-03-07","start_date":"2022-09-08","end_date":"2023-03-07","day_count_type":"ACT/360","amount":11000000,"fixed_rate":0.0012000000000000001},{"payment _date":"2023-09-03","start_date":"2023-03-07","end_date":"2023-09-03","day_count_type":"ACT/360","amount":11000000,"fixed_rate":0.0013000000000000002},{"payment _date":"2024-03-01","start_date":"2023-09-03","end_date":"2024-03-01","day_count_type":"ACT/360","amount":12000000,"fixed_rate":0.0014000000000000002},{"payment _date":"2024-08-28","start_date":"2024-03-01","end_date":"2024-08-28","day_count_type":"ACT/360","amount":12000000,"fixed_rate":0.0015000000000000002}]}}</t>
  </si>
  <si>
    <t>table w/o keys</t>
    <phoneticPr fontId="1"/>
  </si>
  <si>
    <t>table w/o keys1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</si>
</sst>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f947b7ebca124db5a46086c0c9fe0cad">
      <tp>
        <v>2</v>
        <stp/>
        <stp>da48622c-71e7-4c6e-a8b3-0ca472b82609</stp>
        <tr r="G23" s="1"/>
      </tp>
      <tp>
        <v>1</v>
        <stp/>
        <stp>8355e164-8a52-4212-90b5-c8c062f2bdcc</stp>
        <tr r="G23" s="7"/>
      </tp>
      <tp>
        <v>2</v>
        <stp/>
        <stp>56e07a60-5cb1-4168-afa7-69946793216f</stp>
        <tr r="G38" s="4"/>
      </tp>
    </main>
    <main first="rtdsrv.f947b7ebca124db5a46086c0c9fe0cad">
      <tp>
        <v>1</v>
        <stp/>
        <stp>65b17f35-286b-40dc-93c8-5ed5d9efb960</stp>
        <tr r="G27" s="7"/>
      </tp>
    </main>
    <main first="rtdsrv.f947b7ebca124db5a46086c0c9fe0cad">
      <tp>
        <v>2</v>
        <stp/>
        <stp>8df6df43-f979-4850-9ca6-ef5d1dd3e3b4</stp>
        <tr r="G49" s="4"/>
      </tp>
    </main>
    <main first="rtdsrv.f947b7ebca124db5a46086c0c9fe0cad">
      <tp>
        <v>2</v>
        <stp/>
        <stp>5d614a3b-e620-4c14-8ff7-6a99b3d39d73</stp>
        <tr r="G24" s="4"/>
      </tp>
    </main>
    <main first="rtdsrv.f947b7ebca124db5a46086c0c9fe0cad">
      <tp>
        <v>2</v>
        <stp/>
        <stp>77a64598-40fc-4494-aa0b-ddbb82d37a4f</stp>
        <tr r="G20" s="4"/>
      </tp>
      <tp>
        <v>2</v>
        <stp/>
        <stp>f85f4431-2fb6-4e58-a13c-9c952cb380c0</stp>
        <tr r="C2" s="2"/>
      </tp>
    </main>
    <main first="rtdsrv.f947b7ebca124db5a46086c0c9fe0cad">
      <tp>
        <v>2</v>
        <stp/>
        <stp>45702167-350f-43bf-9508-c3746fdd919f</stp>
        <tr r="G36" s="4"/>
      </tp>
    </main>
    <main first="rtdsrv.f947b7ebca124db5a46086c0c9fe0cad">
      <tp>
        <v>2</v>
        <stp/>
        <stp>857843ea-07f9-44b3-a633-2328d20bb26f</stp>
        <tr r="C10" s="6"/>
      </tp>
    </main>
    <main first="rtdsrv.f947b7ebca124db5a46086c0c9fe0cad">
      <tp>
        <v>1</v>
        <stp/>
        <stp>6800ddd2-e1c7-49b2-9ad5-f9a5ded5266c</stp>
        <tr r="G53" s="7"/>
      </tp>
    </main>
    <main first="rtdsrv.f947b7ebca124db5a46086c0c9fe0cad">
      <tp>
        <v>2</v>
        <stp/>
        <stp>e61e6eb5-a5d7-486a-aa46-0d134a15ddd9</stp>
        <tr r="G45" s="4"/>
      </tp>
      <tp>
        <v>2</v>
        <stp/>
        <stp>8ccd80c6-7841-4f6e-b18a-ea81e894efd4</stp>
        <tr r="G43" s="1"/>
      </tp>
    </main>
    <main first="rtdsrv.f947b7ebca124db5a46086c0c9fe0cad">
      <tp>
        <v>2</v>
        <stp/>
        <stp>699e5996-1c34-49a5-ae20-ea62a4401e27</stp>
        <tr r="D8" s="3"/>
      </tp>
    </main>
    <main first="rtdsrv.f947b7ebca124db5a46086c0c9fe0cad">
      <tp>
        <v>2</v>
        <stp/>
        <stp>8388d227-5797-47f0-93c5-32f2f191ecbc</stp>
        <tr r="P19" s="1"/>
      </tp>
      <tp>
        <v>2</v>
        <stp/>
        <stp>09a17634-3b0b-4a09-820d-23c56cd1dbec</stp>
        <tr r="G51" s="4"/>
      </tp>
    </main>
    <main first="rtdsrv.f947b7ebca124db5a46086c0c9fe0cad">
      <tp>
        <v>1</v>
        <stp/>
        <stp>6ceeee8c-dbb1-4506-bce7-a3882dcccff5</stp>
        <tr r="G52" s="7"/>
      </tp>
    </main>
    <main first="rtdsrv.f947b7ebca124db5a46086c0c9fe0cad">
      <tp>
        <v>1</v>
        <stp/>
        <stp>8b140ba1-910b-4fd9-8b78-a455566005ce</stp>
        <tr r="G5" s="3"/>
      </tp>
      <tp>
        <v>1</v>
        <stp/>
        <stp>125059eb-d58e-4dbb-9804-b2bec676e9c7</stp>
        <tr r="I28" s="7"/>
      </tp>
      <tp>
        <v>2</v>
        <stp/>
        <stp>10b6bca6-bc2d-43dc-8672-752e54f27dab</stp>
        <tr r="G50" s="4"/>
      </tp>
      <tp>
        <v>2</v>
        <stp/>
        <stp>31620036-d26c-4140-9d55-7f1d5cb3fe0d</stp>
        <tr r="G33" s="1"/>
      </tp>
    </main>
    <main first="rtdsrv.f947b7ebca124db5a46086c0c9fe0cad">
      <tp>
        <v>1</v>
        <stp/>
        <stp>68d767fd-3f48-4c7b-a2bd-e83114b6a03d</stp>
        <tr r="G48" s="7"/>
      </tp>
      <tp>
        <v>2</v>
        <stp/>
        <stp>7ca18702-9a4f-4894-92e3-f9cded169a21</stp>
        <tr r="G55" s="1"/>
      </tp>
      <tp>
        <v>2</v>
        <stp/>
        <stp>045d9f65-7a24-4ba6-a807-13982ecd35b3</stp>
        <tr r="D30" s="5"/>
      </tp>
    </main>
    <main first="rtdsrv.f947b7ebca124db5a46086c0c9fe0cad">
      <tp>
        <v>2</v>
        <stp/>
        <stp>e685f2e5-de19-4671-86f9-0b550c3e773f</stp>
        <tr r="G34" s="1"/>
      </tp>
      <tp>
        <v>1</v>
        <stp/>
        <stp>1bab10b7-64d2-4aa2-b5f6-c7ef17a5d122</stp>
        <tr r="G39" s="7"/>
      </tp>
    </main>
    <main first="rtdsrv.f947b7ebca124db5a46086c0c9fe0cad">
      <tp>
        <v>2</v>
        <stp/>
        <stp>50acd600-eeb8-4762-8b05-f3783c41d0a9</stp>
        <tr r="G48" s="4"/>
      </tp>
      <tp>
        <v>2</v>
        <stp/>
        <stp>2a7f5b97-6f58-42f8-8488-f7a875f7a685</stp>
        <tr r="G51" s="1"/>
      </tp>
      <tp>
        <v>2</v>
        <stp/>
        <stp>19ef5492-32f0-4301-8c75-e33552478868</stp>
        <tr r="G41" s="1"/>
      </tp>
    </main>
    <main first="rtdsrv.f947b7ebca124db5a46086c0c9fe0cad">
      <tp>
        <v>2</v>
        <stp/>
        <stp>1943e18a-9b90-4ee0-980d-4183022cd055</stp>
        <tr r="G37" s="1"/>
      </tp>
      <tp>
        <v>2</v>
        <stp/>
        <stp>4bcb3b3f-be70-4bf0-81a0-484e394a2098</stp>
        <tr r="G42" s="4"/>
      </tp>
    </main>
    <main first="rtdsrv.f947b7ebca124db5a46086c0c9fe0cad">
      <tp>
        <v>1</v>
        <stp/>
        <stp>ad777002-53d7-4e8b-8a03-7eef769c4b99</stp>
        <tr r="G28" s="7"/>
      </tp>
    </main>
    <main first="rtdsrv.f947b7ebca124db5a46086c0c9fe0cad">
      <tp>
        <v>2</v>
        <stp/>
        <stp>96dea021-e4f7-41af-901f-324d256a507d</stp>
        <tr r="G52" s="1"/>
      </tp>
      <tp>
        <v>2</v>
        <stp/>
        <stp>7c41e32b-a3b5-4e3f-be30-bcfe43b80734</stp>
        <tr r="F6" s="1"/>
      </tp>
      <tp>
        <v>2</v>
        <stp/>
        <stp>93d39973-0bc4-499d-b9f4-00e36374f8e8</stp>
        <tr r="G31" s="4"/>
      </tp>
      <tp>
        <v>1</v>
        <stp/>
        <stp>2bf925f1-3406-4213-b470-6d562a126f32</stp>
        <tr r="G36" s="7"/>
      </tp>
      <tp>
        <v>1</v>
        <stp/>
        <stp>8ae002dd-7aad-4d98-8363-f8db007fba32</stp>
        <tr r="H7" s="3"/>
      </tp>
    </main>
    <main first="rtdsrv.f947b7ebca124db5a46086c0c9fe0cad">
      <tp>
        <v>2</v>
        <stp/>
        <stp>179af7c5-23bd-45f8-bb93-197b41e0b820</stp>
        <tr r="G35" s="1"/>
      </tp>
      <tp>
        <v>2</v>
        <stp/>
        <stp>b07552e1-0107-4ba7-b10a-3ffaf1041a1e</stp>
        <tr r="F1" s="1"/>
      </tp>
      <tp>
        <v>2</v>
        <stp/>
        <stp>b590959a-3708-428b-a661-47ab465fee1d</stp>
        <tr r="I19" s="1"/>
      </tp>
      <tp>
        <v>2</v>
        <stp/>
        <stp>222f77c5-794f-44b1-b7f6-277615541d40</stp>
        <tr r="G43" s="4"/>
      </tp>
      <tp>
        <v>2</v>
        <stp/>
        <stp>0ccef164-5079-47fb-b507-37864c4fab56</stp>
        <tr r="G54" s="4"/>
      </tp>
    </main>
    <main first="rtdsrv.f947b7ebca124db5a46086c0c9fe0cad">
      <tp>
        <v>1</v>
        <stp/>
        <stp>715ee365-42c7-4690-9f29-dd86b9effeb3</stp>
        <tr r="G49" s="7"/>
      </tp>
    </main>
    <main first="rtdsrv.f947b7ebca124db5a46086c0c9fe0cad">
      <tp>
        <v>1</v>
        <stp/>
        <stp>309fb272-8ed4-4efc-bebf-9b24a7735b6e</stp>
        <tr r="G19" s="7"/>
      </tp>
      <tp>
        <v>1</v>
        <stp/>
        <stp>c826d994-8a4d-4aa2-bcc5-2e89095b5863</stp>
        <tr r="G31" s="7"/>
      </tp>
    </main>
    <main first="rtdsrv.f947b7ebca124db5a46086c0c9fe0cad">
      <tp>
        <v>2</v>
        <stp/>
        <stp>b5296717-70a9-4ae7-b1bd-700fd839cd2e</stp>
        <tr r="G56" s="1"/>
      </tp>
      <tp>
        <v>2</v>
        <stp/>
        <stp>33a34cf3-e8e1-4fe6-a319-7812b7ec2126</stp>
        <tr r="F6" s="4"/>
      </tp>
      <tp>
        <v>2</v>
        <stp/>
        <stp>62d36e69-4ef9-41b9-94dd-e15e302e539b</stp>
        <tr r="G39" s="4"/>
      </tp>
      <tp>
        <v>1</v>
        <stp/>
        <stp>b1c5ec70-1878-4096-bd77-d92c34e6bca0</stp>
        <tr r="G35" s="7"/>
      </tp>
    </main>
    <main first="rtdsrv.f947b7ebca124db5a46086c0c9fe0cad">
      <tp>
        <v>2</v>
        <stp/>
        <stp>c7e8a5d0-517d-4aef-8b63-29b67a2b4286</stp>
        <tr r="I33" s="4"/>
      </tp>
    </main>
    <main first="rtdsrv.f947b7ebca124db5a46086c0c9fe0cad">
      <tp>
        <v>1</v>
        <stp/>
        <stp>f4ababdb-f805-481c-a225-a61b189e3a18</stp>
        <tr r="G56" s="7"/>
      </tp>
    </main>
    <main first="rtdsrv.f947b7ebca124db5a46086c0c9fe0cad">
      <tp>
        <v>1</v>
        <stp/>
        <stp>20697eb6-d9e4-4768-bdc3-72bbcb5e7449</stp>
        <tr r="G7" s="3"/>
      </tp>
      <tp>
        <v>2</v>
        <stp/>
        <stp>772f485b-88c8-46eb-acc6-baaa3ae1e82c</stp>
        <tr r="G27" s="4"/>
      </tp>
      <tp>
        <v>2</v>
        <stp/>
        <stp>10ea3d37-ef24-4037-b385-a134b44a65dd</stp>
        <tr r="G40" s="1"/>
      </tp>
    </main>
    <main first="rtdsrv.f947b7ebca124db5a46086c0c9fe0cad">
      <tp>
        <v>2</v>
        <stp/>
        <stp>e28db441-8124-4353-9be1-ef8e3fbf3f90</stp>
        <tr r="G34" s="4"/>
      </tp>
      <tp>
        <v>2</v>
        <stp/>
        <stp>e4cffb26-1014-42d9-a307-64ad56b46ccb</stp>
        <tr r="G48" s="1"/>
      </tp>
    </main>
    <main first="rtdsrv.f947b7ebca124db5a46086c0c9fe0cad">
      <tp>
        <v>2</v>
        <stp/>
        <stp>599bb0bc-7139-4c2b-9fff-95f1109b5077</stp>
        <tr r="G42" s="1"/>
      </tp>
      <tp>
        <v>1</v>
        <stp/>
        <stp>d096bc01-662b-4134-9529-3024595f3ed7</stp>
        <tr r="F6" s="7"/>
      </tp>
    </main>
    <main first="rtdsrv.f947b7ebca124db5a46086c0c9fe0cad">
      <tp>
        <v>2</v>
        <stp/>
        <stp>3c829717-05b3-453f-9519-97d3e27dd975</stp>
        <tr r="P67" s="1"/>
      </tp>
    </main>
    <main first="rtdsrv.f947b7ebca124db5a46086c0c9fe0cad">
      <tp>
        <v>1</v>
        <stp/>
        <stp>b50d0dae-9717-4dd7-a262-954520049c9a</stp>
        <tr r="G55" s="7"/>
      </tp>
      <tp>
        <v>2</v>
        <stp/>
        <stp>1c4f0498-2dca-47ff-b110-7a8658e63c1e</stp>
        <tr r="G26" s="1"/>
      </tp>
    </main>
    <main first="rtdsrv.f947b7ebca124db5a46086c0c9fe0cad">
      <tp>
        <v>2</v>
        <stp/>
        <stp>b4186636-6ab1-4f72-aa01-08de3c303e57</stp>
        <tr r="F1" s="4"/>
      </tp>
    </main>
    <main first="rtdsrv.f947b7ebca124db5a46086c0c9fe0cad">
      <tp>
        <v>2</v>
        <stp/>
        <stp>dbd084e8-0625-4fed-af98-d335501380a6</stp>
        <tr r="G44" s="1"/>
      </tp>
    </main>
    <main first="rtdsrv.f947b7ebca124db5a46086c0c9fe0cad">
      <tp>
        <v>2</v>
        <stp/>
        <stp>9f5e3b9c-479b-4d04-bcaa-8770b9c72ca5</stp>
        <tr r="I19" s="4"/>
        <tr r="I32" s="4"/>
      </tp>
    </main>
    <main first="rtdsrv.f947b7ebca124db5a46086c0c9fe0cad">
      <tp>
        <v>1</v>
        <stp/>
        <stp>4af39476-cca8-4084-a99f-85026b044ee8</stp>
        <tr r="P19" s="7"/>
      </tp>
    </main>
    <main first="rtdsrv.f947b7ebca124db5a46086c0c9fe0cad">
      <tp>
        <v>2</v>
        <stp/>
        <stp>bc8c654d-544f-4855-9785-35ba46817d3e</stp>
        <tr r="D4" s="3"/>
      </tp>
      <tp>
        <v>1</v>
        <stp/>
        <stp>de03541b-8121-4e42-ad5b-5c37819f958f</stp>
        <tr r="G22" s="7"/>
      </tp>
    </main>
    <main first="rtdsrv.f947b7ebca124db5a46086c0c9fe0cad">
      <tp>
        <v>2</v>
        <stp/>
        <stp>38906c11-479b-4bd4-b51c-16d7037fafeb</stp>
        <tr r="G47" s="1"/>
      </tp>
    </main>
    <main first="rtdsrv.f947b7ebca124db5a46086c0c9fe0cad">
      <tp>
        <v>2</v>
        <stp/>
        <stp>322c27e9-acf7-4a6f-a9a4-4e39f551e90f</stp>
        <tr r="I42" s="4"/>
      </tp>
    </main>
    <main first="rtdsrv.f947b7ebca124db5a46086c0c9fe0cad">
      <tp>
        <v>2</v>
        <stp/>
        <stp>14846879-1ec2-46cd-a3bd-2624807b972c</stp>
        <tr r="G24" s="1"/>
      </tp>
    </main>
    <main first="rtdsrv.f947b7ebca124db5a46086c0c9fe0cad">
      <tp>
        <v>1</v>
        <stp/>
        <stp>9fc53e1e-a024-4336-a57e-d85883774bb5</stp>
        <tr r="G46" s="7"/>
      </tp>
    </main>
    <main first="rtdsrv.f947b7ebca124db5a46086c0c9fe0cad">
      <tp>
        <v>2</v>
        <stp/>
        <stp>f08d4798-0f6d-46bc-9cc1-452d3091b865</stp>
        <tr r="G20" s="1"/>
      </tp>
    </main>
    <main first="rtdsrv.f947b7ebca124db5a46086c0c9fe0cad">
      <tp>
        <v>2</v>
        <stp/>
        <stp>c8f872f9-6991-47ec-b716-9905fe826979</stp>
        <tr r="G53" s="1"/>
      </tp>
      <tp>
        <v>2</v>
        <stp/>
        <stp>390a2b2b-e1ed-4867-9254-6b53ba36942a</stp>
        <tr r="G46" s="1"/>
      </tp>
    </main>
    <main first="rtdsrv.f947b7ebca124db5a46086c0c9fe0cad">
      <tp>
        <v>1</v>
        <stp/>
        <stp>4623cb07-3a25-490c-88fc-c14ea9da5a6d</stp>
        <tr r="G47" s="7"/>
      </tp>
      <tp>
        <v>2</v>
        <stp/>
        <stp>71a87a8b-b6a8-4758-94f1-936a82aa5fbb</stp>
        <tr r="G30" s="4"/>
      </tp>
      <tp>
        <v>2</v>
        <stp/>
        <stp>436a5f6b-5632-48b4-9747-b5ce07dac626</stp>
        <tr r="G28" s="4"/>
      </tp>
      <tp>
        <v>2</v>
        <stp/>
        <stp>645b5316-9c48-4302-b15f-b1f62eb8b919</stp>
        <tr r="C6" s="6"/>
      </tp>
    </main>
    <main first="rtdsrv.f947b7ebca124db5a46086c0c9fe0cad">
      <tp>
        <v>1</v>
        <stp/>
        <stp>b12fa1a1-734c-4044-8173-872a4f1401ad</stp>
        <tr r="G45" s="7"/>
      </tp>
      <tp>
        <v>2</v>
        <stp/>
        <stp>8c9971f8-1766-4a33-bec7-36e063d9abb2</stp>
        <tr r="G52" s="4"/>
      </tp>
      <tp>
        <v>1</v>
        <stp/>
        <stp>5460852d-44df-434a-b058-ab5cf6106a4a</stp>
        <tr r="H5" s="3"/>
      </tp>
      <tp>
        <v>2</v>
        <stp/>
        <stp>818ab1e6-f655-47f0-aec7-3ce5271ec53f</stp>
        <tr r="G29" s="1"/>
      </tp>
      <tp>
        <v>1</v>
        <stp/>
        <stp>f4cd5044-ed60-412c-a321-d7524adc727c</stp>
        <tr r="G54" s="7"/>
      </tp>
      <tp>
        <v>2</v>
        <stp/>
        <stp>41657bc5-e45e-402b-8e74-1b1afa6f1454</stp>
        <tr r="G50" s="1"/>
      </tp>
      <tp>
        <v>1</v>
        <stp/>
        <stp>110e3582-4e30-420a-8141-bf97c6ce7af6</stp>
        <tr r="F1" s="7"/>
      </tp>
      <tp>
        <v>1</v>
        <stp/>
        <stp>9db01a2f-053b-4990-b83c-3c5220d95156</stp>
        <tr r="G25" s="7"/>
      </tp>
      <tp>
        <v>2</v>
        <stp/>
        <stp>47f85db5-087e-426b-a700-70a77aa474f7</stp>
        <tr r="G44" s="4"/>
      </tp>
    </main>
    <main first="rtdsrv.f947b7ebca124db5a46086c0c9fe0cad">
      <tp>
        <v>1</v>
        <stp/>
        <stp>630d197d-d625-4d9c-ad8d-2316caab527f</stp>
        <tr r="G21" s="7"/>
      </tp>
      <tp>
        <v>2</v>
        <stp/>
        <stp>97b2e9d2-c6d1-42cc-b960-e7cb78a84b14</stp>
        <tr r="B5" s="5"/>
      </tp>
      <tp>
        <v>2</v>
        <stp/>
        <stp>6fb680ce-b314-4d8c-a57f-a0b7a49cd174</stp>
        <tr r="G32" s="4"/>
      </tp>
      <tp>
        <v>1</v>
        <stp/>
        <stp>dfb4f7df-a4a1-4f8b-9088-39069ef76c9d</stp>
        <tr r="G29" s="7"/>
      </tp>
      <tp>
        <v>2</v>
        <stp/>
        <stp>05ffd59f-f923-451a-9a0c-509f1015ebf2</stp>
        <tr r="I28" s="1"/>
      </tp>
      <tp>
        <v>2</v>
        <stp/>
        <stp>162cbcef-9f72-4253-ad95-84a6cb9d3fb8</stp>
        <tr r="G30" s="1"/>
      </tp>
      <tp>
        <v>2</v>
        <stp/>
        <stp>f90c26e9-8b3f-44e6-880c-b0628ed02298</stp>
        <tr r="G40" s="4"/>
      </tp>
      <tp>
        <v>2</v>
        <stp/>
        <stp>1d883798-4df3-4011-98da-209ab112ee30</stp>
        <tr r="G47" s="4"/>
      </tp>
      <tp>
        <v>2</v>
        <stp/>
        <stp>59954cae-4bec-48d6-b706-d35b296f6453</stp>
        <tr r="G25" s="4"/>
      </tp>
      <tp>
        <v>2</v>
        <stp/>
        <stp>2561c09e-8d3c-4927-941c-c393bfdc3862</stp>
        <tr r="G36" s="1"/>
      </tp>
    </main>
    <main first="rtdsrv.f947b7ebca124db5a46086c0c9fe0cad">
      <tp>
        <v>2</v>
        <stp/>
        <stp>1ba7419c-fc4c-4432-8e5d-a21030a82fc2</stp>
        <tr r="I28" s="4"/>
      </tp>
      <tp>
        <v>2</v>
        <stp/>
        <stp>e2faa3a3-026c-4aa8-9889-b67890122ada</stp>
        <tr r="F4" s="3"/>
      </tp>
      <tp>
        <v>1</v>
        <stp/>
        <stp>b0378cf4-4c40-4133-ac8e-db8159d63ade</stp>
        <tr r="P74" s="7"/>
      </tp>
    </main>
    <main first="rtdsrv.f947b7ebca124db5a46086c0c9fe0cad">
      <tp>
        <v>1</v>
        <stp/>
        <stp>575c47ff-b954-457e-8d20-979d20e50e0f</stp>
        <tr r="G57" s="7"/>
      </tp>
      <tp>
        <v>1</v>
        <stp/>
        <stp>432644d3-6e63-4094-ab8a-08dacb72301a</stp>
        <tr r="G44" s="7"/>
      </tp>
      <tp>
        <v>2</v>
        <stp/>
        <stp>f0adb8cf-cd42-486a-be72-4d28184706c2</stp>
        <tr r="G28" s="1"/>
      </tp>
    </main>
    <main first="rtdsrv.f947b7ebca124db5a46086c0c9fe0cad">
      <tp>
        <v>2</v>
        <stp/>
        <stp>91d8b6c6-b7d7-49ee-9f5a-e585a452dcb6</stp>
        <tr r="G26" s="4"/>
      </tp>
      <tp>
        <v>2</v>
        <stp/>
        <stp>9a504b69-a945-44f1-ab44-51e34360a2be</stp>
        <tr r="B2" s="6"/>
      </tp>
    </main>
    <main first="rtdsrv.f947b7ebca124db5a46086c0c9fe0cad">
      <tp>
        <v>1</v>
        <stp/>
        <stp>af5142b3-4bf8-431b-89a7-84f0f993a990</stp>
        <tr r="I19" s="7"/>
      </tp>
      <tp>
        <v>2</v>
        <stp/>
        <stp>42e1da87-f0c9-441b-9cf8-5543dad8b2a3</stp>
        <tr r="G39" s="1"/>
      </tp>
    </main>
    <main first="rtdsrv.f947b7ebca124db5a46086c0c9fe0cad">
      <tp>
        <v>1</v>
        <stp/>
        <stp>23a88f98-0ee5-4c7d-bfc2-9285dbe65e15</stp>
        <tr r="G33" s="7"/>
      </tp>
    </main>
    <main first="rtdsrv.f947b7ebca124db5a46086c0c9fe0cad">
      <tp>
        <v>2</v>
        <stp/>
        <stp>9d0891bb-5d0b-4648-87d3-703ef8c7ec9c</stp>
        <tr r="F8" s="3"/>
      </tp>
    </main>
    <main first="rtdsrv.f947b7ebca124db5a46086c0c9fe0cad">
      <tp>
        <v>1</v>
        <stp/>
        <stp>0db01588-4513-4d13-ad5b-671431e8222a</stp>
        <tr r="H4" s="3"/>
      </tp>
    </main>
    <main first="rtdsrv.f947b7ebca124db5a46086c0c9fe0cad">
      <tp>
        <v>2</v>
        <stp/>
        <stp>2e9a3567-20f9-47bf-ad6f-86097049ed87</stp>
        <tr r="D35" s="5"/>
      </tp>
    </main>
    <main first="rtdsrv.f947b7ebca124db5a46086c0c9fe0cad">
      <tp>
        <v>2</v>
        <stp/>
        <stp>8cceb3bd-ab95-491a-8c50-2568e5788557</stp>
        <tr r="D15" s="5"/>
      </tp>
      <tp>
        <v>1</v>
        <stp/>
        <stp>ec908f3e-ae60-4960-b5d3-5a6f8e457d9d</stp>
        <tr r="G24" s="7"/>
      </tp>
    </main>
    <main first="rtdsrv.f947b7ebca124db5a46086c0c9fe0cad">
      <tp>
        <v>1</v>
        <stp/>
        <stp>fe4d6309-e055-4021-9e52-e676d3b02b13</stp>
        <tr r="P67" s="7"/>
      </tp>
      <tp>
        <v>1</v>
        <stp/>
        <stp>d727f42d-6513-491a-9f5c-41f564d9c46a</stp>
        <tr r="G43" s="7"/>
      </tp>
    </main>
    <main first="rtdsrv.f947b7ebca124db5a46086c0c9fe0cad">
      <tp>
        <v>2</v>
        <stp/>
        <stp>f391ed1e-dd43-4ea5-afe8-7c74f7c81f68</stp>
        <tr r="G57" s="1"/>
      </tp>
    </main>
    <main first="rtdsrv.f947b7ebca124db5a46086c0c9fe0cad">
      <tp>
        <v>2</v>
        <stp/>
        <stp>a1755eba-e910-43b3-be25-4c25ef754dd0</stp>
        <tr r="G29" s="4"/>
      </tp>
    </main>
    <main first="rtdsrv.f947b7ebca124db5a46086c0c9fe0cad">
      <tp>
        <v>2</v>
        <stp/>
        <stp>d952c98c-38ab-439e-b6a9-a1afa4fe0cd4</stp>
        <tr r="G37" s="4"/>
      </tp>
      <tp>
        <v>2</v>
        <stp/>
        <stp>f6a975ff-dd82-4f31-bfb0-a195ec7d172e</stp>
        <tr r="H5" s="5"/>
      </tp>
    </main>
    <main first="rtdsrv.f947b7ebca124db5a46086c0c9fe0cad">
      <tp>
        <v>2</v>
        <stp/>
        <stp>19d71b3e-8448-4c23-982b-4a58def5d78c</stp>
        <tr r="G32" s="1"/>
      </tp>
      <tp>
        <v>2</v>
        <stp/>
        <stp>cff780ee-5410-43b5-b080-0907fa385d2e</stp>
        <tr r="D5" s="3"/>
      </tp>
    </main>
    <main first="rtdsrv.f947b7ebca124db5a46086c0c9fe0cad">
      <tp>
        <v>2</v>
        <stp/>
        <stp>b9799913-d92c-4d27-a569-35934d45ef71</stp>
        <tr r="G38" s="1"/>
      </tp>
      <tp>
        <v>2</v>
        <stp/>
        <stp>4a896586-e4d6-4f0d-81eb-6490fce03566</stp>
        <tr r="D6" s="3"/>
      </tp>
      <tp>
        <v>2</v>
        <stp/>
        <stp>3812a53a-b827-427a-9aba-5cc5993ddd59</stp>
        <tr r="G54" s="1"/>
      </tp>
    </main>
    <main first="rtdsrv.f947b7ebca124db5a46086c0c9fe0cad">
      <tp>
        <v>2</v>
        <stp/>
        <stp>133c73f8-6c3d-4e99-beda-ed110ed338b8</stp>
        <tr r="G22" s="1"/>
      </tp>
    </main>
    <main first="rtdsrv.f947b7ebca124db5a46086c0c9fe0cad">
      <tp>
        <v>1</v>
        <stp/>
        <stp>314a0294-bccf-4e37-b704-a28acdcf7bc4</stp>
        <tr r="G50" s="7"/>
      </tp>
      <tp>
        <v>2</v>
        <stp/>
        <stp>0ba9bfc8-ca15-41ff-9641-834ab15e6e0f</stp>
        <tr r="G27" s="1"/>
      </tp>
    </main>
    <main first="rtdsrv.f947b7ebca124db5a46086c0c9fe0cad">
      <tp>
        <v>2</v>
        <stp/>
        <stp>2d62c716-e580-4d75-b7e0-daa8f705ecff</stp>
        <tr r="G21" s="1"/>
      </tp>
    </main>
    <main first="rtdsrv.f947b7ebca124db5a46086c0c9fe0cad">
      <tp>
        <v>2</v>
        <stp/>
        <stp>2b1ad3b7-53ed-4e48-8b87-1b9526289c25</stp>
        <tr r="G45" s="1"/>
      </tp>
    </main>
    <main first="rtdsrv.f947b7ebca124db5a46086c0c9fe0cad">
      <tp>
        <v>2</v>
        <stp/>
        <stp>10f574ec-5b15-4851-91ec-b086f77a71d4</stp>
        <tr r="G56" s="4"/>
      </tp>
      <tp>
        <v>1</v>
        <stp/>
        <stp>7b3b0f55-f0aa-4dc2-bdca-6058de9e0519</stp>
        <tr r="G51" s="7"/>
      </tp>
      <tp>
        <v>2</v>
        <stp/>
        <stp>b3bf3a9e-28e3-41ee-90e9-d502952be326</stp>
        <tr r="G31" s="1"/>
      </tp>
    </main>
    <main first="rtdsrv.f947b7ebca124db5a46086c0c9fe0cad">
      <tp>
        <v>2</v>
        <stp/>
        <stp>e247614c-843b-49e2-a8c2-571da015811e</stp>
        <tr r="G25" s="1"/>
      </tp>
      <tp>
        <v>2</v>
        <stp/>
        <stp>3489830e-72fc-4526-9509-18bb3a3273ec</stp>
        <tr r="D40" s="5"/>
      </tp>
      <tp>
        <v>2</v>
        <stp/>
        <stp>184496fa-cc4f-411c-ae73-27077d2e160c</stp>
        <tr r="G21" s="4"/>
      </tp>
    </main>
    <main first="rtdsrv.f947b7ebca124db5a46086c0c9fe0cad">
      <tp>
        <v>2</v>
        <stp/>
        <stp>342b88b1-575f-45bd-956d-9adb428b1d73</stp>
        <tr r="D50" s="5"/>
      </tp>
      <tp>
        <v>2</v>
        <stp/>
        <stp>bd759504-928b-4264-a40a-a3252167328b</stp>
        <tr r="G22" s="4"/>
      </tp>
    </main>
    <main first="rtdsrv.f947b7ebca124db5a46086c0c9fe0cad">
      <tp>
        <v>1</v>
        <stp/>
        <stp>2d376dba-79c9-4105-9c00-bdcca83de2c4</stp>
        <tr r="G38" s="7"/>
      </tp>
      <tp>
        <v>2</v>
        <stp/>
        <stp>f0c51d1f-e552-4239-8255-7f36fd788bb7</stp>
        <tr r="G19" s="1"/>
      </tp>
      <tp>
        <v>2</v>
        <stp/>
        <stp>99612717-d683-46f5-85f7-ebeab51433fa</stp>
        <tr r="G46" s="4"/>
      </tp>
    </main>
    <main first="rtdsrv.f947b7ebca124db5a46086c0c9fe0cad">
      <tp>
        <v>2</v>
        <stp/>
        <stp>4f779b71-1632-4f26-8639-479a584fbb87</stp>
        <tr r="F6" s="3"/>
      </tp>
      <tp>
        <v>2</v>
        <stp/>
        <stp>546faadc-281d-410a-a39c-f9fcf80a4ce3</stp>
        <tr r="I38" s="4"/>
      </tp>
      <tp>
        <v>1</v>
        <stp/>
        <stp>4531e528-a59f-4f54-ad11-905428ea013d</stp>
        <tr r="G6" s="3"/>
      </tp>
    </main>
    <main first="rtdsrv.f947b7ebca124db5a46086c0c9fe0cad">
      <tp>
        <v>1</v>
        <stp/>
        <stp>d443590f-32f6-40b5-abc7-7554589ec8ed</stp>
        <tr r="H8" s="3"/>
      </tp>
      <tp>
        <v>1</v>
        <stp/>
        <stp>ed98de0a-bb6b-4c2e-b7bc-f4b41936142e</stp>
        <tr r="G42" s="7"/>
      </tp>
      <tp>
        <v>1</v>
        <stp/>
        <stp>17fe11df-c960-4d1e-9067-2982fc974294</stp>
        <tr r="G4" s="3"/>
      </tp>
      <tp>
        <v>2</v>
        <stp/>
        <stp>ae0d8d4f-d1cd-42b5-b25e-f06483e3287c</stp>
        <tr r="G19" s="4"/>
      </tp>
    </main>
    <main first="rtdsrv.f947b7ebca124db5a46086c0c9fe0cad">
      <tp>
        <v>1</v>
        <stp/>
        <stp>c8a82c79-58e2-4b37-b5bc-c043bd539141</stp>
        <tr r="G34" s="7"/>
      </tp>
    </main>
    <main first="rtdsrv.f947b7ebca124db5a46086c0c9fe0cad">
      <tp>
        <v>1</v>
        <stp/>
        <stp>8a1e1f9c-c7f2-40fa-9999-aca9be6f3ed5</stp>
        <tr r="H6" s="3"/>
      </tp>
    </main>
    <main first="rtdsrv.f947b7ebca124db5a46086c0c9fe0cad">
      <tp>
        <v>2</v>
        <stp/>
        <stp>8e9a4084-b597-44a8-812a-a048ed8256b8</stp>
        <tr r="P29" s="1"/>
      </tp>
      <tp>
        <v>2</v>
        <stp/>
        <stp>5774bf76-82dc-4ce0-8bab-42a3d3279ffe</stp>
        <tr r="D45" s="5"/>
      </tp>
    </main>
    <main first="rtdsrv.f947b7ebca124db5a46086c0c9fe0cad">
      <tp>
        <v>2</v>
        <stp/>
        <stp>93cfa075-b767-430d-ae8d-6401cd3502e6</stp>
        <tr r="G57" s="4"/>
      </tp>
      <tp>
        <v>1</v>
        <stp/>
        <stp>f75fe032-beb2-4d29-8fc5-940ba6825b26</stp>
        <tr r="G32" s="7"/>
      </tp>
      <tp>
        <v>1</v>
        <stp/>
        <stp>e05489d8-18ed-4166-9c20-045072dc6ed5</stp>
        <tr r="G40" s="7"/>
      </tp>
      <tp>
        <v>2</v>
        <stp/>
        <stp>51e9711c-beef-47af-adc1-691e238082fe</stp>
        <tr r="D7" s="3"/>
      </tp>
    </main>
    <main first="rtdsrv.f947b7ebca124db5a46086c0c9fe0cad">
      <tp>
        <v>2</v>
        <stp/>
        <stp>5d6228aa-e757-4625-b0bf-ca7dfcaeb382</stp>
        <tr r="D20" s="5"/>
      </tp>
    </main>
    <main first="rtdsrv.f947b7ebca124db5a46086c0c9fe0cad">
      <tp>
        <v>1</v>
        <stp/>
        <stp>4eee08f1-0863-4999-ac95-4130e100c587</stp>
        <tr r="P29" s="7"/>
      </tp>
      <tp>
        <v>2</v>
        <stp/>
        <stp>df23a185-e92d-4888-80ed-977e9e71fea9</stp>
        <tr r="F5" s="3"/>
      </tp>
    </main>
    <main first="rtdsrv.f947b7ebca124db5a46086c0c9fe0cad">
      <tp>
        <v>1</v>
        <stp/>
        <stp>5937bfa9-fd23-4765-a91c-cd06030fe238</stp>
        <tr r="G30" s="7"/>
      </tp>
    </main>
    <main first="rtdsrv.f947b7ebca124db5a46086c0c9fe0cad">
      <tp>
        <v>2</v>
        <stp/>
        <stp>7771dc53-eeaf-4510-91ca-e429e81117d9</stp>
        <tr r="G55" s="4"/>
      </tp>
      <tp>
        <v>2</v>
        <stp/>
        <stp>b4058f72-2ae7-404e-898e-e7105b51d1e9</stp>
        <tr r="P74" s="1"/>
      </tp>
      <tp>
        <v>1</v>
        <stp/>
        <stp>39d8741b-f8d3-4b2b-865c-5afde77ba377</stp>
        <tr r="G37" s="7"/>
      </tp>
      <tp>
        <v>2</v>
        <stp/>
        <stp>4ee03947-a422-45b0-bc20-303a67175bcc</stp>
        <tr r="D25" s="5"/>
      </tp>
    </main>
    <main first="rtdsrv.f947b7ebca124db5a46086c0c9fe0cad">
      <tp>
        <v>2</v>
        <stp/>
        <stp>c5914c14-4d2c-47d6-8ab9-88425cf3c79c</stp>
        <tr r="G35" s="4"/>
      </tp>
    </main>
    <main first="rtdsrv.f947b7ebca124db5a46086c0c9fe0cad">
      <tp>
        <v>2</v>
        <stp/>
        <stp>6fb4a479-252d-4b08-8d62-c9cda81445ca</stp>
        <tr r="G41" s="4"/>
      </tp>
    </main>
    <main first="rtdsrv.f947b7ebca124db5a46086c0c9fe0cad">
      <tp>
        <v>1</v>
        <stp/>
        <stp>e7c7a038-99b7-4543-b4d4-a34db0ed50cb</stp>
        <tr r="G8" s="3"/>
      </tp>
    </main>
    <main first="rtdsrv.f947b7ebca124db5a46086c0c9fe0cad">
      <tp>
        <v>1</v>
        <stp/>
        <stp>d927b72f-765d-4b19-8484-62b06e6e14e3</stp>
        <tr r="G20" s="7"/>
      </tp>
    </main>
    <main first="rtdsrv.f947b7ebca124db5a46086c0c9fe0cad">
      <tp>
        <v>1</v>
        <stp/>
        <stp>3b797f96-4510-4ac8-9b79-dd61d2d03276</stp>
        <tr r="G41" s="7"/>
      </tp>
    </main>
    <main first="rtdsrv.f947b7ebca124db5a46086c0c9fe0cad">
      <tp>
        <v>2</v>
        <stp/>
        <stp>473456c7-8b89-40e5-a406-fcb567e313cd</stp>
        <tr r="G23" s="4"/>
      </tp>
      <tp>
        <v>2</v>
        <stp/>
        <stp>ab009897-04aa-4f6d-904f-722716179e95</stp>
        <tr r="G33" s="4"/>
      </tp>
    </main>
    <main first="rtdsrv.f947b7ebca124db5a46086c0c9fe0cad">
      <tp>
        <v>2</v>
        <stp/>
        <stp>a78ab43c-2ac5-47e8-bce9-d798d35c5323</stp>
        <tr r="F7" s="3"/>
      </tp>
    </main>
    <main first="rtdsrv.f947b7ebca124db5a46086c0c9fe0cad">
      <tp>
        <v>1</v>
        <stp/>
        <stp>1c1641c2-5e65-4e08-8eeb-2088803fba34</stp>
        <tr r="G26" s="7"/>
      </tp>
      <tp>
        <v>2</v>
        <stp/>
        <stp>0e82b2bc-6f43-42a0-b98a-6fc44f41a2d6</stp>
        <tr r="G53" s="4"/>
      </tp>
      <tp>
        <v>2</v>
        <stp/>
        <stp>ccab1742-4781-4596-acf2-fb81a0e489f8</stp>
        <tr r="G49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localhost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B3D96-2BED-447F-BDEB-F8DD83959477}">
  <dimension ref="B1:AS79"/>
  <sheetViews>
    <sheetView tabSelected="1" zoomScaleNormal="100" workbookViewId="0"/>
  </sheetViews>
  <sheetFormatPr defaultRowHeight="18.75" x14ac:dyDescent="0.4"/>
  <cols>
    <col min="1" max="1" width="2.25" customWidth="1"/>
    <col min="2" max="2" width="15.5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5.375" customWidth="1"/>
    <col min="17" max="17" width="54.62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25</v>
      </c>
      <c r="F1" t="str" cm="1">
        <f t="array" ref="F1">_xll.ExLibris.Json.CreateJsonObject(E3:F6)</f>
        <v>JsonObject:653EA321-44AA-4F9A-848F-0FC246CEB0BE</v>
      </c>
      <c r="K1" t="str">
        <f>EXLIBRIS_CONFIGURATION</f>
        <v>ExLibris.Core.ExLibrisConfiguration:B757D65E-70E4-4BE1-AC2F-AD0EBE726B7C</v>
      </c>
    </row>
    <row r="2" spans="2:28" x14ac:dyDescent="0.4">
      <c r="B2" s="5" t="s">
        <v>62</v>
      </c>
      <c r="C2" s="5"/>
    </row>
    <row r="3" spans="2:28" x14ac:dyDescent="0.4">
      <c r="B3" s="6" t="s">
        <v>63</v>
      </c>
      <c r="C3" s="6">
        <f>COUNTIF(AG19:AI57,FALSE)</f>
        <v>0</v>
      </c>
      <c r="E3" t="s">
        <v>13</v>
      </c>
      <c r="F3" t="s">
        <v>15</v>
      </c>
    </row>
    <row r="4" spans="2:28" x14ac:dyDescent="0.4">
      <c r="B4" s="6" t="s">
        <v>64</v>
      </c>
      <c r="C4" s="6">
        <f>COUNTIF(AK20:AP26,FALSE)</f>
        <v>0</v>
      </c>
      <c r="E4" t="s">
        <v>17</v>
      </c>
      <c r="F4" t="s">
        <v>19</v>
      </c>
    </row>
    <row r="5" spans="2:28" x14ac:dyDescent="0.4">
      <c r="B5" s="6" t="s">
        <v>65</v>
      </c>
      <c r="C5" s="6" t="str">
        <f>IF(M6=M7,"ok","ng")</f>
        <v>ok</v>
      </c>
      <c r="E5" t="s">
        <v>21</v>
      </c>
      <c r="F5" t="s">
        <v>23</v>
      </c>
      <c r="L5" t="s">
        <v>65</v>
      </c>
    </row>
    <row r="6" spans="2:28" x14ac:dyDescent="0.4">
      <c r="B6" s="6" t="s">
        <v>67</v>
      </c>
      <c r="C6" s="6">
        <f>COUNTIF(AK29:AP30,FALSE)</f>
        <v>0</v>
      </c>
      <c r="E6" t="s">
        <v>24</v>
      </c>
      <c r="F6" t="str" cm="1">
        <f t="array" ref="F6">_xll.ExLibris.Json.CreateJsonArray(E8:J14)</f>
        <v>JsonObject:A6BB95DE-D6D4-4E3E-BD7F-83877ED0A045</v>
      </c>
      <c r="L6" t="s">
        <v>60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_date":44632,"start_date":44452,"end_date":44632,"day_count_type":"ACT/360","amount":10000000,"fixed_rate":0.001},{"payment _date":44812,"start_date":44632,"end_date":44812,"day_count_type":"ACT/360","amount":11000000,"fixed_rate":0.001},{"payment _date":44992,"start_date":44812,"end_date":44992,"day_count_type":"ACT/360","amount":12000000,"fixed_rate":0.001},{"payment _date":45172,"start_date":44992,"end_date":45172,"day_count_type":"ACT/360","amount":13000000,"fixed_rate":0.001},{"payment _date":45352,"start_date":45172,"end_date":45352,"day_count_type":"ACT/360","amount":14000000,"fixed_rate":0.001},{"payment _date":45532,"start_date":45352,"end_date":45532,"day_count_type":"ACT/360","amount":15000000,"fixed_rate":0.001}]}}</v>
      </c>
    </row>
    <row r="7" spans="2:28" x14ac:dyDescent="0.4">
      <c r="B7" s="6" t="s">
        <v>95</v>
      </c>
      <c r="C7" s="6">
        <f>COUNTIF(AR19:AS21,FALSE)</f>
        <v>0</v>
      </c>
      <c r="L7" t="s">
        <v>66</v>
      </c>
      <c r="M7" t="s">
        <v>182</v>
      </c>
    </row>
    <row r="8" spans="2:28" x14ac:dyDescent="0.4">
      <c r="B8" s="6" t="s">
        <v>96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175</v>
      </c>
      <c r="J8" t="s">
        <v>11</v>
      </c>
    </row>
    <row r="9" spans="2:28" x14ac:dyDescent="0.4">
      <c r="B9" s="6" t="s">
        <v>171</v>
      </c>
      <c r="C9" s="6">
        <f>COUNTIF(AR67:AS72,FALSE)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B10" s="6" t="s">
        <v>172</v>
      </c>
      <c r="C10" s="6">
        <f>COUNTIF(AR74:AS79,FALSE)</f>
        <v>0</v>
      </c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B11" s="6" t="s">
        <v>173</v>
      </c>
      <c r="C11" s="6">
        <f>COUNTIF(AK32:AN38,FALSE)</f>
        <v>0</v>
      </c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B12" s="6" t="s">
        <v>187</v>
      </c>
      <c r="C12" s="6">
        <f>COUNTIF(AK40:AP45,FALSE)</f>
        <v>0</v>
      </c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B13" s="6" t="s">
        <v>188</v>
      </c>
      <c r="C13" s="6">
        <f>COUNTIF(AK48:AM53,FALSE)</f>
        <v>0</v>
      </c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60</v>
      </c>
      <c r="S16" s="4" t="s">
        <v>61</v>
      </c>
      <c r="AB16" s="4" t="s">
        <v>62</v>
      </c>
    </row>
    <row r="18" spans="5:45" x14ac:dyDescent="0.4">
      <c r="E18" t="s">
        <v>27</v>
      </c>
      <c r="I18" t="s">
        <v>29</v>
      </c>
      <c r="S18" t="s">
        <v>26</v>
      </c>
      <c r="W18" t="s">
        <v>28</v>
      </c>
      <c r="AG18" t="s">
        <v>26</v>
      </c>
      <c r="AK18" t="s">
        <v>28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JsonObject:DA4B7CFC-7BC8-424E-819E-6A4EA0030839</v>
      </c>
      <c r="P19" t="str" cm="1">
        <f t="array" ref="P19:Q27">_xll.ExLibris.Json.GetJsonKeyValues(F1,3)</f>
        <v>trade_code</v>
      </c>
      <c r="Q19" t="str">
        <v>money_00001</v>
      </c>
      <c r="S19" t="s">
        <v>12</v>
      </c>
      <c r="T19" t="s">
        <v>14</v>
      </c>
      <c r="U19" t="s">
        <v>14</v>
      </c>
      <c r="AD19" t="s">
        <v>12</v>
      </c>
      <c r="AE19" t="s">
        <v>14</v>
      </c>
      <c r="AG19" t="b">
        <f t="shared" ref="AG19:AG57" si="4">E19=S19</f>
        <v>1</v>
      </c>
      <c r="AH19" t="b">
        <f t="shared" ref="AH19:AI57" si="5">E19=S19</f>
        <v>1</v>
      </c>
      <c r="AI19" t="b">
        <f t="shared" si="5"/>
        <v>1</v>
      </c>
      <c r="AR19" t="b">
        <f t="shared" ref="AR19:AS21" si="6">P19=AD19</f>
        <v>1</v>
      </c>
      <c r="AS19" t="b">
        <f t="shared" si="6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amount</v>
      </c>
      <c r="N20" t="str">
        <v>fixed_rate</v>
      </c>
      <c r="P20" t="str">
        <v>couter_party</v>
      </c>
      <c r="Q20" t="str">
        <v>CP00001</v>
      </c>
      <c r="S20" t="s">
        <v>16</v>
      </c>
      <c r="T20" t="s">
        <v>18</v>
      </c>
      <c r="U20" t="s">
        <v>18</v>
      </c>
      <c r="W20" t="s">
        <v>0</v>
      </c>
      <c r="X20" t="s">
        <v>2</v>
      </c>
      <c r="Y20" t="s">
        <v>4</v>
      </c>
      <c r="Z20" t="s">
        <v>6</v>
      </c>
      <c r="AA20" t="s">
        <v>175</v>
      </c>
      <c r="AB20" t="s">
        <v>10</v>
      </c>
      <c r="AD20" t="s">
        <v>16</v>
      </c>
      <c r="AE20" t="s">
        <v>18</v>
      </c>
      <c r="AG20" t="b">
        <f t="shared" si="4"/>
        <v>1</v>
      </c>
      <c r="AH20" t="b">
        <f t="shared" si="5"/>
        <v>1</v>
      </c>
      <c r="AI20" t="b">
        <f t="shared" si="5"/>
        <v>1</v>
      </c>
      <c r="AK20" t="b">
        <f t="shared" ref="AK20:AP26" si="7">I20=W20</f>
        <v>1</v>
      </c>
      <c r="AL20" t="b">
        <f t="shared" si="7"/>
        <v>1</v>
      </c>
      <c r="AM20" t="b">
        <f t="shared" si="7"/>
        <v>1</v>
      </c>
      <c r="AN20" t="b">
        <f t="shared" si="7"/>
        <v>1</v>
      </c>
      <c r="AO20" t="b">
        <f t="shared" si="7"/>
        <v>1</v>
      </c>
      <c r="AP20" t="b">
        <f t="shared" si="7"/>
        <v>1</v>
      </c>
      <c r="AR20" t="b">
        <f t="shared" si="6"/>
        <v>1</v>
      </c>
      <c r="AS20" t="b">
        <f t="shared" si="6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20</v>
      </c>
      <c r="T21" t="s">
        <v>22</v>
      </c>
      <c r="U21" t="s">
        <v>22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20</v>
      </c>
      <c r="AE21" t="s">
        <v>22</v>
      </c>
      <c r="AG21" t="b">
        <f t="shared" si="4"/>
        <v>1</v>
      </c>
      <c r="AH21" t="b">
        <f t="shared" si="5"/>
        <v>1</v>
      </c>
      <c r="AI21" t="b">
        <f t="shared" si="5"/>
        <v>1</v>
      </c>
      <c r="AK21" t="b">
        <f t="shared" si="7"/>
        <v>1</v>
      </c>
      <c r="AL21" t="b">
        <f t="shared" si="7"/>
        <v>1</v>
      </c>
      <c r="AM21" t="b">
        <f t="shared" si="7"/>
        <v>1</v>
      </c>
      <c r="AN21" t="b">
        <f t="shared" si="7"/>
        <v>1</v>
      </c>
      <c r="AO21" t="b">
        <f t="shared" si="7"/>
        <v>1</v>
      </c>
      <c r="AP21" t="b">
        <f t="shared" si="7"/>
        <v>1</v>
      </c>
      <c r="AR21" t="b">
        <f t="shared" si="6"/>
        <v>1</v>
      </c>
      <c r="AS21" t="b">
        <f t="shared" si="6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JsonObject:A75D6759-DC17-47A6-B967-46E32BBC25FA</v>
      </c>
      <c r="S22" t="s">
        <v>30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5"/>
        <v>1</v>
      </c>
      <c r="AK22" t="b">
        <f t="shared" si="7"/>
        <v>1</v>
      </c>
      <c r="AL22" t="b">
        <f t="shared" si="7"/>
        <v>1</v>
      </c>
      <c r="AM22" t="b">
        <f t="shared" si="7"/>
        <v>1</v>
      </c>
      <c r="AN22" t="b">
        <f t="shared" si="7"/>
        <v>1</v>
      </c>
      <c r="AO22" t="b">
        <f t="shared" si="7"/>
        <v>1</v>
      </c>
      <c r="AP22" t="b">
        <f t="shared" si="7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JsonObject:F290241A-31EE-4787-9FF1-192184AFE7B5</v>
      </c>
      <c r="S23" t="s">
        <v>31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5"/>
        <v>1</v>
      </c>
      <c r="AK23" t="b">
        <f t="shared" si="7"/>
        <v>1</v>
      </c>
      <c r="AL23" t="b">
        <f t="shared" si="7"/>
        <v>1</v>
      </c>
      <c r="AM23" t="b">
        <f t="shared" si="7"/>
        <v>1</v>
      </c>
      <c r="AN23" t="b">
        <f t="shared" si="7"/>
        <v>1</v>
      </c>
      <c r="AO23" t="b">
        <f t="shared" si="7"/>
        <v>1</v>
      </c>
      <c r="AP23" t="b">
        <f t="shared" si="7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JsonObject:3E22439B-A3B1-471F-B251-44792FA4D151</v>
      </c>
      <c r="S24" t="s">
        <v>32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5"/>
        <v>1</v>
      </c>
      <c r="AK24" t="b">
        <f t="shared" si="7"/>
        <v>1</v>
      </c>
      <c r="AL24" t="b">
        <f t="shared" si="7"/>
        <v>1</v>
      </c>
      <c r="AM24" t="b">
        <f t="shared" si="7"/>
        <v>1</v>
      </c>
      <c r="AN24" t="b">
        <f t="shared" si="7"/>
        <v>1</v>
      </c>
      <c r="AO24" t="b">
        <f t="shared" si="7"/>
        <v>1</v>
      </c>
      <c r="AP24" t="b">
        <f t="shared" si="7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JsonObject:55E23224-8611-43E1-BCBC-BFE0185DD537</v>
      </c>
      <c r="S25" t="s">
        <v>33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5"/>
        <v>1</v>
      </c>
      <c r="AK25" t="b">
        <f t="shared" si="7"/>
        <v>1</v>
      </c>
      <c r="AL25" t="b">
        <f t="shared" si="7"/>
        <v>1</v>
      </c>
      <c r="AM25" t="b">
        <f t="shared" si="7"/>
        <v>1</v>
      </c>
      <c r="AN25" t="b">
        <f t="shared" si="7"/>
        <v>1</v>
      </c>
      <c r="AO25" t="b">
        <f t="shared" si="7"/>
        <v>1</v>
      </c>
      <c r="AP25" t="b">
        <f t="shared" si="7"/>
        <v>1</v>
      </c>
    </row>
    <row r="26" spans="5:45" x14ac:dyDescent="0.4">
      <c r="E26" t="str">
        <v>fixed_leg.cashflows.[0].amount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JsonObject:B1A995A1-5850-42D6-BBE4-109EB818A285</v>
      </c>
      <c r="S26" t="s">
        <v>176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5"/>
        <v>1</v>
      </c>
      <c r="AK26" t="b">
        <f t="shared" si="7"/>
        <v>1</v>
      </c>
      <c r="AL26" t="b">
        <f t="shared" si="7"/>
        <v>1</v>
      </c>
      <c r="AM26" t="b">
        <f t="shared" si="7"/>
        <v>1</v>
      </c>
      <c r="AN26" t="b">
        <f t="shared" si="7"/>
        <v>1</v>
      </c>
      <c r="AO26" t="b">
        <f t="shared" si="7"/>
        <v>1</v>
      </c>
      <c r="AP26" t="b">
        <f t="shared" si="7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JsonObject:F252E6F3-382B-403C-BBA8-0A81230C96D5</v>
      </c>
      <c r="S27" t="s">
        <v>34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5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JsonObject:389D722F-9AD0-4395-84B9-1B6BAD6073DC</v>
      </c>
      <c r="S28" t="s">
        <v>35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5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amount</v>
      </c>
      <c r="N29" t="str">
        <v>fixed_rate</v>
      </c>
      <c r="P29" t="str" cm="1">
        <f t="array" ref="P29">_xll.ExLibris.Json.CreateJsonObject(P22:Q27)</f>
        <v>JsonObject:1C730280-3958-455F-8637-D1BB9C3415DB</v>
      </c>
      <c r="S29" t="s">
        <v>36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175</v>
      </c>
      <c r="AB29" t="s">
        <v>10</v>
      </c>
      <c r="AG29" t="b">
        <f t="shared" si="4"/>
        <v>1</v>
      </c>
      <c r="AH29" t="b">
        <f t="shared" si="5"/>
        <v>1</v>
      </c>
      <c r="AI29" t="b">
        <f t="shared" si="5"/>
        <v>1</v>
      </c>
      <c r="AK29" t="b">
        <f t="shared" ref="AK29:AP30" si="8">I29=W29</f>
        <v>1</v>
      </c>
      <c r="AL29" t="b">
        <f t="shared" si="8"/>
        <v>1</v>
      </c>
      <c r="AM29" t="b">
        <f t="shared" si="8"/>
        <v>1</v>
      </c>
      <c r="AN29" t="b">
        <f t="shared" si="8"/>
        <v>1</v>
      </c>
      <c r="AO29" t="b">
        <f t="shared" si="8"/>
        <v>1</v>
      </c>
      <c r="AP29" t="b">
        <f t="shared" si="8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37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30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5"/>
        <v>1</v>
      </c>
      <c r="AK30" t="b">
        <f t="shared" si="8"/>
        <v>1</v>
      </c>
      <c r="AL30" t="b">
        <f t="shared" si="8"/>
        <v>1</v>
      </c>
      <c r="AM30" t="b">
        <f t="shared" si="8"/>
        <v>1</v>
      </c>
      <c r="AN30" t="b">
        <f t="shared" si="8"/>
        <v>1</v>
      </c>
      <c r="AO30" t="b">
        <f t="shared" si="8"/>
        <v>1</v>
      </c>
      <c r="AP30" t="b">
        <f t="shared" si="8"/>
        <v>1</v>
      </c>
      <c r="AR30" t="b">
        <f t="shared" ref="AR30:AS64" si="9">P30=AD30</f>
        <v>1</v>
      </c>
      <c r="AS30" t="b">
        <f t="shared" si="9"/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38</v>
      </c>
      <c r="T31" t="s">
        <v>8</v>
      </c>
      <c r="U31" t="s">
        <v>8</v>
      </c>
      <c r="AD31" t="s">
        <v>31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5"/>
        <v>1</v>
      </c>
      <c r="AR31" t="b">
        <f t="shared" si="9"/>
        <v>1</v>
      </c>
      <c r="AS31" t="b">
        <f t="shared" si="9"/>
        <v>1</v>
      </c>
    </row>
    <row r="32" spans="5:45" x14ac:dyDescent="0.4">
      <c r="E32" t="str">
        <v>fixed_leg.cashflows.[1].amount</v>
      </c>
      <c r="F32">
        <v>11000000</v>
      </c>
      <c r="G32" cm="1">
        <f t="array" ref="G32">_xll.ExLibris.Json.GetJsonValue($F$1,E32)</f>
        <v>11000000</v>
      </c>
      <c r="I32" t="str" cm="1">
        <f t="array" ref="I32:L38">_xll.ExLibris.Json.GetJsonTable(I19,E8:H8)</f>
        <v>payment _date</v>
      </c>
      <c r="J32" t="str">
        <v>start_date</v>
      </c>
      <c r="K32" t="str">
        <v>end_date</v>
      </c>
      <c r="L32" t="str">
        <v>day_count_type</v>
      </c>
      <c r="P32" t="str">
        <v>fixed_leg.cashflows.[0].end_date</v>
      </c>
      <c r="Q32">
        <v>44632</v>
      </c>
      <c r="S32" t="s">
        <v>177</v>
      </c>
      <c r="T32">
        <v>11000000</v>
      </c>
      <c r="U32">
        <v>11000000</v>
      </c>
      <c r="W32" t="s">
        <v>0</v>
      </c>
      <c r="X32" t="s">
        <v>2</v>
      </c>
      <c r="Y32" t="s">
        <v>4</v>
      </c>
      <c r="Z32" t="s">
        <v>6</v>
      </c>
      <c r="AD32" t="s">
        <v>32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5"/>
        <v>1</v>
      </c>
      <c r="AK32" t="b">
        <f t="shared" ref="AK32:AK38" si="10">I32=W32</f>
        <v>1</v>
      </c>
      <c r="AL32" t="b">
        <f t="shared" ref="AL32:AL38" si="11">J32=X32</f>
        <v>1</v>
      </c>
      <c r="AM32" t="b">
        <f t="shared" ref="AM32:AM38" si="12">K32=Y32</f>
        <v>1</v>
      </c>
      <c r="AN32" t="b">
        <f t="shared" ref="AN32:AN38" si="13">L32=Z32</f>
        <v>1</v>
      </c>
      <c r="AR32" t="b">
        <f t="shared" si="9"/>
        <v>1</v>
      </c>
      <c r="AS32" t="b">
        <f t="shared" si="9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I33">
        <v>44632</v>
      </c>
      <c r="J33">
        <v>44452</v>
      </c>
      <c r="K33">
        <v>44632</v>
      </c>
      <c r="L33" t="str">
        <v>ACT/360</v>
      </c>
      <c r="P33" t="str">
        <v>fixed_leg.cashflows.[0].day_count_type</v>
      </c>
      <c r="Q33" t="str">
        <v>ACT/360</v>
      </c>
      <c r="S33" t="s">
        <v>39</v>
      </c>
      <c r="T33">
        <v>1E-3</v>
      </c>
      <c r="U33">
        <v>1E-3</v>
      </c>
      <c r="W33">
        <v>44632</v>
      </c>
      <c r="X33">
        <v>44452</v>
      </c>
      <c r="Y33">
        <v>44632</v>
      </c>
      <c r="Z33" t="s">
        <v>8</v>
      </c>
      <c r="AD33" t="s">
        <v>33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5"/>
        <v>1</v>
      </c>
      <c r="AK33" t="b">
        <f t="shared" si="10"/>
        <v>1</v>
      </c>
      <c r="AL33" t="b">
        <f t="shared" si="11"/>
        <v>1</v>
      </c>
      <c r="AM33" t="b">
        <f t="shared" si="12"/>
        <v>1</v>
      </c>
      <c r="AN33" t="b">
        <f t="shared" si="13"/>
        <v>1</v>
      </c>
      <c r="AR33" t="b">
        <f t="shared" si="9"/>
        <v>1</v>
      </c>
      <c r="AS33" t="b">
        <f t="shared" si="9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I34">
        <v>44812</v>
      </c>
      <c r="J34">
        <v>44632</v>
      </c>
      <c r="K34">
        <v>44812</v>
      </c>
      <c r="L34" t="str">
        <v>ACT/360</v>
      </c>
      <c r="P34" t="str">
        <v>fixed_leg.cashflows.[0].amount</v>
      </c>
      <c r="Q34">
        <v>10000000</v>
      </c>
      <c r="S34" t="s">
        <v>40</v>
      </c>
      <c r="T34">
        <v>44992</v>
      </c>
      <c r="U34">
        <v>44992</v>
      </c>
      <c r="W34">
        <v>44812</v>
      </c>
      <c r="X34">
        <v>44632</v>
      </c>
      <c r="Y34">
        <v>44812</v>
      </c>
      <c r="Z34" t="s">
        <v>8</v>
      </c>
      <c r="AD34" t="s">
        <v>176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5"/>
        <v>1</v>
      </c>
      <c r="AK34" t="b">
        <f t="shared" si="10"/>
        <v>1</v>
      </c>
      <c r="AL34" t="b">
        <f t="shared" si="11"/>
        <v>1</v>
      </c>
      <c r="AM34" t="b">
        <f t="shared" si="12"/>
        <v>1</v>
      </c>
      <c r="AN34" t="b">
        <f t="shared" si="13"/>
        <v>1</v>
      </c>
      <c r="AR34" t="b">
        <f t="shared" si="9"/>
        <v>1</v>
      </c>
      <c r="AS34" t="b">
        <f t="shared" si="9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I35">
        <v>44992</v>
      </c>
      <c r="J35">
        <v>44812</v>
      </c>
      <c r="K35">
        <v>44992</v>
      </c>
      <c r="L35" t="str">
        <v>ACT/360</v>
      </c>
      <c r="P35" t="str">
        <v>fixed_leg.cashflows.[0].fixed_rate</v>
      </c>
      <c r="Q35">
        <v>1E-3</v>
      </c>
      <c r="S35" t="s">
        <v>41</v>
      </c>
      <c r="T35">
        <v>44812</v>
      </c>
      <c r="U35">
        <v>44812</v>
      </c>
      <c r="W35">
        <v>44992</v>
      </c>
      <c r="X35">
        <v>44812</v>
      </c>
      <c r="Y35">
        <v>44992</v>
      </c>
      <c r="Z35" t="s">
        <v>8</v>
      </c>
      <c r="AD35" t="s">
        <v>34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5"/>
        <v>1</v>
      </c>
      <c r="AK35" t="b">
        <f t="shared" si="10"/>
        <v>1</v>
      </c>
      <c r="AL35" t="b">
        <f t="shared" si="11"/>
        <v>1</v>
      </c>
      <c r="AM35" t="b">
        <f t="shared" si="12"/>
        <v>1</v>
      </c>
      <c r="AN35" t="b">
        <f t="shared" si="13"/>
        <v>1</v>
      </c>
      <c r="AR35" t="b">
        <f t="shared" si="9"/>
        <v>1</v>
      </c>
      <c r="AS35" t="b">
        <f t="shared" si="9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I36">
        <v>45172</v>
      </c>
      <c r="J36">
        <v>44992</v>
      </c>
      <c r="K36">
        <v>45172</v>
      </c>
      <c r="L36" t="str">
        <v>ACT/360</v>
      </c>
      <c r="P36" t="str">
        <v>fixed_leg.cashflows.[1].payment _date</v>
      </c>
      <c r="Q36">
        <v>44812</v>
      </c>
      <c r="S36" t="s">
        <v>42</v>
      </c>
      <c r="T36">
        <v>44992</v>
      </c>
      <c r="U36">
        <v>44992</v>
      </c>
      <c r="W36">
        <v>45172</v>
      </c>
      <c r="X36">
        <v>44992</v>
      </c>
      <c r="Y36">
        <v>45172</v>
      </c>
      <c r="Z36" t="s">
        <v>8</v>
      </c>
      <c r="AD36" t="s">
        <v>35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5"/>
        <v>1</v>
      </c>
      <c r="AK36" t="b">
        <f t="shared" si="10"/>
        <v>1</v>
      </c>
      <c r="AL36" t="b">
        <f t="shared" si="11"/>
        <v>1</v>
      </c>
      <c r="AM36" t="b">
        <f t="shared" si="12"/>
        <v>1</v>
      </c>
      <c r="AN36" t="b">
        <f t="shared" si="13"/>
        <v>1</v>
      </c>
      <c r="AR36" t="b">
        <f t="shared" si="9"/>
        <v>1</v>
      </c>
      <c r="AS36" t="b">
        <f t="shared" si="9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I37">
        <v>45352</v>
      </c>
      <c r="J37">
        <v>45172</v>
      </c>
      <c r="K37">
        <v>45352</v>
      </c>
      <c r="L37" t="str">
        <v>ACT/360</v>
      </c>
      <c r="P37" t="str">
        <v>fixed_leg.cashflows.[1].start_date</v>
      </c>
      <c r="Q37">
        <v>44632</v>
      </c>
      <c r="S37" t="s">
        <v>43</v>
      </c>
      <c r="T37" t="s">
        <v>8</v>
      </c>
      <c r="U37" t="s">
        <v>8</v>
      </c>
      <c r="W37">
        <v>45352</v>
      </c>
      <c r="X37">
        <v>45172</v>
      </c>
      <c r="Y37">
        <v>45352</v>
      </c>
      <c r="Z37" t="s">
        <v>8</v>
      </c>
      <c r="AD37" t="s">
        <v>36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5"/>
        <v>1</v>
      </c>
      <c r="AK37" t="b">
        <f t="shared" si="10"/>
        <v>1</v>
      </c>
      <c r="AL37" t="b">
        <f t="shared" si="11"/>
        <v>1</v>
      </c>
      <c r="AM37" t="b">
        <f t="shared" si="12"/>
        <v>1</v>
      </c>
      <c r="AN37" t="b">
        <f t="shared" si="13"/>
        <v>1</v>
      </c>
      <c r="AR37" t="b">
        <f t="shared" si="9"/>
        <v>1</v>
      </c>
      <c r="AS37" t="b">
        <f t="shared" si="9"/>
        <v>1</v>
      </c>
    </row>
    <row r="38" spans="5:45" x14ac:dyDescent="0.4">
      <c r="E38" t="str">
        <v>fixed_leg.cashflows.[2].amount</v>
      </c>
      <c r="F38">
        <v>12000000</v>
      </c>
      <c r="G38" cm="1">
        <f t="array" ref="G38">_xll.ExLibris.Json.GetJsonValue($F$1,E38)</f>
        <v>12000000</v>
      </c>
      <c r="I38">
        <v>45532</v>
      </c>
      <c r="J38">
        <v>45352</v>
      </c>
      <c r="K38">
        <v>45532</v>
      </c>
      <c r="L38" t="str">
        <v>ACT/360</v>
      </c>
      <c r="P38" t="str">
        <v>fixed_leg.cashflows.[1].end_date</v>
      </c>
      <c r="Q38">
        <v>44812</v>
      </c>
      <c r="S38" t="s">
        <v>178</v>
      </c>
      <c r="T38">
        <v>12000000</v>
      </c>
      <c r="U38">
        <v>12000000</v>
      </c>
      <c r="W38">
        <v>45532</v>
      </c>
      <c r="X38">
        <v>45352</v>
      </c>
      <c r="Y38">
        <v>45532</v>
      </c>
      <c r="Z38" t="s">
        <v>8</v>
      </c>
      <c r="AD38" t="s">
        <v>37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5"/>
        <v>1</v>
      </c>
      <c r="AK38" t="b">
        <f t="shared" si="10"/>
        <v>1</v>
      </c>
      <c r="AL38" t="b">
        <f t="shared" si="11"/>
        <v>1</v>
      </c>
      <c r="AM38" t="b">
        <f t="shared" si="12"/>
        <v>1</v>
      </c>
      <c r="AN38" t="b">
        <f t="shared" si="13"/>
        <v>1</v>
      </c>
      <c r="AR38" t="b">
        <f t="shared" si="9"/>
        <v>1</v>
      </c>
      <c r="AS38" t="b">
        <f t="shared" si="9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44</v>
      </c>
      <c r="T39">
        <v>1E-3</v>
      </c>
      <c r="U39">
        <v>1E-3</v>
      </c>
      <c r="AD39" t="s">
        <v>38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5"/>
        <v>1</v>
      </c>
      <c r="AR39" t="b">
        <f t="shared" si="9"/>
        <v>1</v>
      </c>
      <c r="AS39" t="b">
        <f t="shared" si="9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I40" cm="1">
        <f t="array" ref="I40:N45">_xll.ExLibris.Json.GetJsonTable(I19,,TRUE)</f>
        <v>44632</v>
      </c>
      <c r="J40">
        <v>44452</v>
      </c>
      <c r="K40">
        <v>44632</v>
      </c>
      <c r="L40" t="str">
        <v>ACT/360</v>
      </c>
      <c r="M40">
        <v>10000000</v>
      </c>
      <c r="N40">
        <v>1E-3</v>
      </c>
      <c r="P40" t="str">
        <v>fixed_leg.cashflows.[1].amount</v>
      </c>
      <c r="Q40">
        <v>11000000</v>
      </c>
      <c r="S40" t="s">
        <v>45</v>
      </c>
      <c r="T40">
        <v>45172</v>
      </c>
      <c r="U40">
        <v>45172</v>
      </c>
      <c r="W40">
        <v>44632</v>
      </c>
      <c r="X40">
        <v>44452</v>
      </c>
      <c r="Y40">
        <v>44632</v>
      </c>
      <c r="Z40" t="s">
        <v>8</v>
      </c>
      <c r="AA40">
        <v>10000000</v>
      </c>
      <c r="AB40">
        <v>1E-3</v>
      </c>
      <c r="AD40" t="s">
        <v>177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5"/>
        <v>1</v>
      </c>
      <c r="AK40" t="b">
        <f t="shared" ref="AK40:AP45" si="14">I40=W40</f>
        <v>1</v>
      </c>
      <c r="AL40" t="b">
        <f t="shared" ref="AL40:AP45" si="15">J40=X40</f>
        <v>1</v>
      </c>
      <c r="AM40" t="b">
        <f t="shared" ref="AM40:AP45" si="16">K40=Y40</f>
        <v>1</v>
      </c>
      <c r="AN40" t="b">
        <f t="shared" ref="AN40:AP45" si="17">L40=Z40</f>
        <v>1</v>
      </c>
      <c r="AO40" t="b">
        <f t="shared" ref="AO40:AP45" si="18">M40=AA40</f>
        <v>1</v>
      </c>
      <c r="AP40" t="b">
        <f t="shared" ref="AP40:AP45" si="19">N40=AB40</f>
        <v>1</v>
      </c>
      <c r="AR40" t="b">
        <f t="shared" si="9"/>
        <v>1</v>
      </c>
      <c r="AS40" t="b">
        <f t="shared" si="9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I41">
        <v>44812</v>
      </c>
      <c r="J41">
        <v>44632</v>
      </c>
      <c r="K41">
        <v>44812</v>
      </c>
      <c r="L41" t="str">
        <v>ACT/360</v>
      </c>
      <c r="M41">
        <v>11000000</v>
      </c>
      <c r="N41">
        <v>1E-3</v>
      </c>
      <c r="P41" t="str">
        <v>fixed_leg.cashflows.[1].fixed_rate</v>
      </c>
      <c r="Q41">
        <v>1E-3</v>
      </c>
      <c r="S41" t="s">
        <v>46</v>
      </c>
      <c r="T41">
        <v>44992</v>
      </c>
      <c r="U41">
        <v>44992</v>
      </c>
      <c r="W41">
        <v>44812</v>
      </c>
      <c r="X41">
        <v>44632</v>
      </c>
      <c r="Y41">
        <v>44812</v>
      </c>
      <c r="Z41" t="s">
        <v>8</v>
      </c>
      <c r="AA41">
        <v>11000000</v>
      </c>
      <c r="AB41">
        <v>1E-3</v>
      </c>
      <c r="AD41" t="s">
        <v>39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5"/>
        <v>1</v>
      </c>
      <c r="AK41" t="b">
        <f t="shared" si="14"/>
        <v>1</v>
      </c>
      <c r="AL41" t="b">
        <f t="shared" si="15"/>
        <v>1</v>
      </c>
      <c r="AM41" t="b">
        <f t="shared" si="16"/>
        <v>1</v>
      </c>
      <c r="AN41" t="b">
        <f t="shared" si="17"/>
        <v>1</v>
      </c>
      <c r="AO41" t="b">
        <f t="shared" si="18"/>
        <v>1</v>
      </c>
      <c r="AP41" t="b">
        <f t="shared" si="19"/>
        <v>1</v>
      </c>
      <c r="AR41" t="b">
        <f t="shared" si="9"/>
        <v>1</v>
      </c>
      <c r="AS41" t="b">
        <f t="shared" si="9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I42">
        <v>44992</v>
      </c>
      <c r="J42">
        <v>44812</v>
      </c>
      <c r="K42">
        <v>44992</v>
      </c>
      <c r="L42" t="str">
        <v>ACT/360</v>
      </c>
      <c r="M42">
        <v>12000000</v>
      </c>
      <c r="N42">
        <v>1E-3</v>
      </c>
      <c r="P42" t="str">
        <v>fixed_leg.cashflows.[2].payment _date</v>
      </c>
      <c r="Q42">
        <v>44992</v>
      </c>
      <c r="S42" t="s">
        <v>47</v>
      </c>
      <c r="T42">
        <v>45172</v>
      </c>
      <c r="U42">
        <v>45172</v>
      </c>
      <c r="W42">
        <v>44992</v>
      </c>
      <c r="X42">
        <v>44812</v>
      </c>
      <c r="Y42">
        <v>44992</v>
      </c>
      <c r="Z42" t="s">
        <v>8</v>
      </c>
      <c r="AA42">
        <v>12000000</v>
      </c>
      <c r="AB42">
        <v>1E-3</v>
      </c>
      <c r="AD42" t="s">
        <v>40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5"/>
        <v>1</v>
      </c>
      <c r="AK42" t="b">
        <f t="shared" si="14"/>
        <v>1</v>
      </c>
      <c r="AL42" t="b">
        <f t="shared" si="15"/>
        <v>1</v>
      </c>
      <c r="AM42" t="b">
        <f t="shared" si="16"/>
        <v>1</v>
      </c>
      <c r="AN42" t="b">
        <f t="shared" si="17"/>
        <v>1</v>
      </c>
      <c r="AO42" t="b">
        <f t="shared" si="18"/>
        <v>1</v>
      </c>
      <c r="AP42" t="b">
        <f t="shared" si="19"/>
        <v>1</v>
      </c>
      <c r="AR42" t="b">
        <f t="shared" si="9"/>
        <v>1</v>
      </c>
      <c r="AS42" t="b">
        <f t="shared" si="9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I43">
        <v>45172</v>
      </c>
      <c r="J43">
        <v>44992</v>
      </c>
      <c r="K43">
        <v>45172</v>
      </c>
      <c r="L43" t="str">
        <v>ACT/360</v>
      </c>
      <c r="M43">
        <v>13000000</v>
      </c>
      <c r="N43">
        <v>1E-3</v>
      </c>
      <c r="P43" t="str">
        <v>fixed_leg.cashflows.[2].start_date</v>
      </c>
      <c r="Q43">
        <v>44812</v>
      </c>
      <c r="S43" t="s">
        <v>48</v>
      </c>
      <c r="T43" t="s">
        <v>8</v>
      </c>
      <c r="U43" t="s">
        <v>8</v>
      </c>
      <c r="W43">
        <v>45172</v>
      </c>
      <c r="X43">
        <v>44992</v>
      </c>
      <c r="Y43">
        <v>45172</v>
      </c>
      <c r="Z43" t="s">
        <v>8</v>
      </c>
      <c r="AA43">
        <v>13000000</v>
      </c>
      <c r="AB43">
        <v>1E-3</v>
      </c>
      <c r="AD43" t="s">
        <v>41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5"/>
        <v>1</v>
      </c>
      <c r="AK43" t="b">
        <f t="shared" si="14"/>
        <v>1</v>
      </c>
      <c r="AL43" t="b">
        <f t="shared" si="15"/>
        <v>1</v>
      </c>
      <c r="AM43" t="b">
        <f t="shared" si="16"/>
        <v>1</v>
      </c>
      <c r="AN43" t="b">
        <f t="shared" si="17"/>
        <v>1</v>
      </c>
      <c r="AO43" t="b">
        <f t="shared" si="18"/>
        <v>1</v>
      </c>
      <c r="AP43" t="b">
        <f t="shared" si="19"/>
        <v>1</v>
      </c>
      <c r="AR43" t="b">
        <f t="shared" si="9"/>
        <v>1</v>
      </c>
      <c r="AS43" t="b">
        <f t="shared" si="9"/>
        <v>1</v>
      </c>
    </row>
    <row r="44" spans="5:45" x14ac:dyDescent="0.4">
      <c r="E44" t="str">
        <v>fixed_leg.cashflows.[3].amount</v>
      </c>
      <c r="F44">
        <v>13000000</v>
      </c>
      <c r="G44" cm="1">
        <f t="array" ref="G44">_xll.ExLibris.Json.GetJsonValue($F$1,E44)</f>
        <v>13000000</v>
      </c>
      <c r="I44">
        <v>45352</v>
      </c>
      <c r="J44">
        <v>45172</v>
      </c>
      <c r="K44">
        <v>45352</v>
      </c>
      <c r="L44" t="str">
        <v>ACT/360</v>
      </c>
      <c r="M44">
        <v>14000000</v>
      </c>
      <c r="N44">
        <v>1E-3</v>
      </c>
      <c r="P44" t="str">
        <v>fixed_leg.cashflows.[2].end_date</v>
      </c>
      <c r="Q44">
        <v>44992</v>
      </c>
      <c r="S44" t="s">
        <v>179</v>
      </c>
      <c r="T44">
        <v>13000000</v>
      </c>
      <c r="U44">
        <v>13000000</v>
      </c>
      <c r="W44">
        <v>45352</v>
      </c>
      <c r="X44">
        <v>45172</v>
      </c>
      <c r="Y44">
        <v>45352</v>
      </c>
      <c r="Z44" t="s">
        <v>8</v>
      </c>
      <c r="AA44">
        <v>14000000</v>
      </c>
      <c r="AB44">
        <v>1E-3</v>
      </c>
      <c r="AD44" t="s">
        <v>42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5"/>
        <v>1</v>
      </c>
      <c r="AK44" t="b">
        <f t="shared" si="14"/>
        <v>1</v>
      </c>
      <c r="AL44" t="b">
        <f t="shared" si="15"/>
        <v>1</v>
      </c>
      <c r="AM44" t="b">
        <f t="shared" si="16"/>
        <v>1</v>
      </c>
      <c r="AN44" t="b">
        <f t="shared" si="17"/>
        <v>1</v>
      </c>
      <c r="AO44" t="b">
        <f t="shared" si="18"/>
        <v>1</v>
      </c>
      <c r="AP44" t="b">
        <f t="shared" si="19"/>
        <v>1</v>
      </c>
      <c r="AR44" t="b">
        <f t="shared" si="9"/>
        <v>1</v>
      </c>
      <c r="AS44" t="b">
        <f t="shared" si="9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I45">
        <v>45532</v>
      </c>
      <c r="J45">
        <v>45352</v>
      </c>
      <c r="K45">
        <v>45532</v>
      </c>
      <c r="L45" t="str">
        <v>ACT/360</v>
      </c>
      <c r="M45">
        <v>15000000</v>
      </c>
      <c r="N45">
        <v>1E-3</v>
      </c>
      <c r="P45" t="str">
        <v>fixed_leg.cashflows.[2].day_count_type</v>
      </c>
      <c r="Q45" t="str">
        <v>ACT/360</v>
      </c>
      <c r="S45" t="s">
        <v>49</v>
      </c>
      <c r="T45">
        <v>1E-3</v>
      </c>
      <c r="U45">
        <v>1E-3</v>
      </c>
      <c r="W45">
        <v>45532</v>
      </c>
      <c r="X45">
        <v>45352</v>
      </c>
      <c r="Y45">
        <v>45532</v>
      </c>
      <c r="Z45" t="s">
        <v>8</v>
      </c>
      <c r="AA45">
        <v>15000000</v>
      </c>
      <c r="AB45">
        <v>1E-3</v>
      </c>
      <c r="AD45" t="s">
        <v>43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5"/>
        <v>1</v>
      </c>
      <c r="AK45" t="b">
        <f t="shared" si="14"/>
        <v>1</v>
      </c>
      <c r="AL45" t="b">
        <f t="shared" si="15"/>
        <v>1</v>
      </c>
      <c r="AM45" t="b">
        <f t="shared" si="16"/>
        <v>1</v>
      </c>
      <c r="AN45" t="b">
        <f t="shared" si="17"/>
        <v>1</v>
      </c>
      <c r="AO45" t="b">
        <f t="shared" si="18"/>
        <v>1</v>
      </c>
      <c r="AP45" t="b">
        <f t="shared" si="19"/>
        <v>1</v>
      </c>
      <c r="AR45" t="b">
        <f t="shared" si="9"/>
        <v>1</v>
      </c>
      <c r="AS45" t="b">
        <f t="shared" si="9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fixed_leg.cashflows.[2].amount</v>
      </c>
      <c r="Q46">
        <v>12000000</v>
      </c>
      <c r="S46" t="s">
        <v>50</v>
      </c>
      <c r="T46">
        <v>45352</v>
      </c>
      <c r="U46">
        <v>45352</v>
      </c>
      <c r="AD46" t="s">
        <v>178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5"/>
        <v>1</v>
      </c>
      <c r="AR46" t="b">
        <f t="shared" si="9"/>
        <v>1</v>
      </c>
      <c r="AS46" t="b">
        <f t="shared" si="9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I47" t="str">
        <f>E8</f>
        <v>payment _date</v>
      </c>
      <c r="J47" t="str">
        <f>H8</f>
        <v>day_count_type</v>
      </c>
      <c r="K47" t="str">
        <f>I8</f>
        <v>amount</v>
      </c>
      <c r="P47" t="str">
        <v>fixed_leg.cashflows.[2].fixed_rate</v>
      </c>
      <c r="Q47">
        <v>1E-3</v>
      </c>
      <c r="S47" t="s">
        <v>51</v>
      </c>
      <c r="T47">
        <v>45172</v>
      </c>
      <c r="U47">
        <v>45172</v>
      </c>
      <c r="W47" t="s">
        <v>0</v>
      </c>
      <c r="X47" t="s">
        <v>6</v>
      </c>
      <c r="Y47" t="s">
        <v>174</v>
      </c>
      <c r="AD47" t="s">
        <v>44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5"/>
        <v>1</v>
      </c>
      <c r="AR47" t="b">
        <f t="shared" si="9"/>
        <v>1</v>
      </c>
      <c r="AS47" t="b">
        <f t="shared" si="9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I48" cm="1">
        <f t="array" ref="I48:K53">_xll.ExLibris.Json.GetJsonTable(I19,I47:K47,TRUE)</f>
        <v>44632</v>
      </c>
      <c r="J48" t="str">
        <v>ACT/360</v>
      </c>
      <c r="K48">
        <v>10000000</v>
      </c>
      <c r="P48" t="str">
        <v>fixed_leg.cashflows.[3].payment _date</v>
      </c>
      <c r="Q48">
        <v>45172</v>
      </c>
      <c r="S48" t="s">
        <v>52</v>
      </c>
      <c r="T48">
        <v>45352</v>
      </c>
      <c r="U48">
        <v>45352</v>
      </c>
      <c r="W48">
        <v>44632</v>
      </c>
      <c r="X48" t="s">
        <v>8</v>
      </c>
      <c r="Y48">
        <v>10000000</v>
      </c>
      <c r="AD48" t="s">
        <v>45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5"/>
        <v>1</v>
      </c>
      <c r="AK48" t="b">
        <f t="shared" ref="AK48:AM53" si="20">I48=W48</f>
        <v>1</v>
      </c>
      <c r="AL48" t="b">
        <f t="shared" ref="AL48:AM53" si="21">J48=X48</f>
        <v>1</v>
      </c>
      <c r="AM48" t="b">
        <f t="shared" ref="AM48:AM53" si="22">K48=Y48</f>
        <v>1</v>
      </c>
      <c r="AR48" t="b">
        <f t="shared" si="9"/>
        <v>1</v>
      </c>
      <c r="AS48" t="b">
        <f t="shared" si="9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I49">
        <v>44812</v>
      </c>
      <c r="J49" t="str">
        <v>ACT/360</v>
      </c>
      <c r="K49">
        <v>11000000</v>
      </c>
      <c r="P49" t="str">
        <v>fixed_leg.cashflows.[3].start_date</v>
      </c>
      <c r="Q49">
        <v>44992</v>
      </c>
      <c r="S49" t="s">
        <v>53</v>
      </c>
      <c r="T49" t="s">
        <v>8</v>
      </c>
      <c r="U49" t="s">
        <v>8</v>
      </c>
      <c r="W49">
        <v>44812</v>
      </c>
      <c r="X49" t="s">
        <v>8</v>
      </c>
      <c r="Y49">
        <v>11000000</v>
      </c>
      <c r="AD49" t="s">
        <v>46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5"/>
        <v>1</v>
      </c>
      <c r="AK49" t="b">
        <f t="shared" si="20"/>
        <v>1</v>
      </c>
      <c r="AL49" t="b">
        <f t="shared" si="21"/>
        <v>1</v>
      </c>
      <c r="AM49" t="b">
        <f t="shared" si="22"/>
        <v>1</v>
      </c>
      <c r="AR49" t="b">
        <f t="shared" si="9"/>
        <v>1</v>
      </c>
      <c r="AS49" t="b">
        <f t="shared" si="9"/>
        <v>1</v>
      </c>
    </row>
    <row r="50" spans="5:45" x14ac:dyDescent="0.4">
      <c r="E50" t="str">
        <v>fixed_leg.cashflows.[4].amount</v>
      </c>
      <c r="F50">
        <v>14000000</v>
      </c>
      <c r="G50" cm="1">
        <f t="array" ref="G50">_xll.ExLibris.Json.GetJsonValue($F$1,E50)</f>
        <v>14000000</v>
      </c>
      <c r="I50">
        <v>44992</v>
      </c>
      <c r="J50" t="str">
        <v>ACT/360</v>
      </c>
      <c r="K50">
        <v>12000000</v>
      </c>
      <c r="P50" t="str">
        <v>fixed_leg.cashflows.[3].end_date</v>
      </c>
      <c r="Q50">
        <v>45172</v>
      </c>
      <c r="S50" t="s">
        <v>180</v>
      </c>
      <c r="T50">
        <v>14000000</v>
      </c>
      <c r="U50">
        <v>14000000</v>
      </c>
      <c r="W50">
        <v>44992</v>
      </c>
      <c r="X50" t="s">
        <v>8</v>
      </c>
      <c r="Y50">
        <v>12000000</v>
      </c>
      <c r="AD50" t="s">
        <v>47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5"/>
        <v>1</v>
      </c>
      <c r="AK50" t="b">
        <f t="shared" si="20"/>
        <v>1</v>
      </c>
      <c r="AL50" t="b">
        <f t="shared" si="21"/>
        <v>1</v>
      </c>
      <c r="AM50" t="b">
        <f t="shared" si="22"/>
        <v>1</v>
      </c>
      <c r="AR50" t="b">
        <f t="shared" si="9"/>
        <v>1</v>
      </c>
      <c r="AS50" t="b">
        <f t="shared" si="9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I51">
        <v>45172</v>
      </c>
      <c r="J51" t="str">
        <v>ACT/360</v>
      </c>
      <c r="K51">
        <v>13000000</v>
      </c>
      <c r="P51" t="str">
        <v>fixed_leg.cashflows.[3].day_count_type</v>
      </c>
      <c r="Q51" t="str">
        <v>ACT/360</v>
      </c>
      <c r="S51" t="s">
        <v>54</v>
      </c>
      <c r="T51">
        <v>1E-3</v>
      </c>
      <c r="U51">
        <v>1E-3</v>
      </c>
      <c r="W51">
        <v>45172</v>
      </c>
      <c r="X51" t="s">
        <v>8</v>
      </c>
      <c r="Y51">
        <v>13000000</v>
      </c>
      <c r="AD51" t="s">
        <v>48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5"/>
        <v>1</v>
      </c>
      <c r="AK51" t="b">
        <f t="shared" si="20"/>
        <v>1</v>
      </c>
      <c r="AL51" t="b">
        <f t="shared" si="21"/>
        <v>1</v>
      </c>
      <c r="AM51" t="b">
        <f t="shared" si="22"/>
        <v>1</v>
      </c>
      <c r="AR51" t="b">
        <f t="shared" si="9"/>
        <v>1</v>
      </c>
      <c r="AS51" t="b">
        <f t="shared" si="9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I52">
        <v>45352</v>
      </c>
      <c r="J52" t="str">
        <v>ACT/360</v>
      </c>
      <c r="K52">
        <v>14000000</v>
      </c>
      <c r="P52" t="str">
        <v>fixed_leg.cashflows.[3].amount</v>
      </c>
      <c r="Q52">
        <v>13000000</v>
      </c>
      <c r="S52" t="s">
        <v>55</v>
      </c>
      <c r="T52">
        <v>45532</v>
      </c>
      <c r="U52">
        <v>45532</v>
      </c>
      <c r="W52">
        <v>45352</v>
      </c>
      <c r="X52" t="s">
        <v>8</v>
      </c>
      <c r="Y52">
        <v>14000000</v>
      </c>
      <c r="AD52" t="s">
        <v>179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5"/>
        <v>1</v>
      </c>
      <c r="AK52" t="b">
        <f t="shared" si="20"/>
        <v>1</v>
      </c>
      <c r="AL52" t="b">
        <f t="shared" si="21"/>
        <v>1</v>
      </c>
      <c r="AM52" t="b">
        <f t="shared" si="22"/>
        <v>1</v>
      </c>
      <c r="AR52" t="b">
        <f t="shared" si="9"/>
        <v>1</v>
      </c>
      <c r="AS52" t="b">
        <f t="shared" si="9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I53">
        <v>45532</v>
      </c>
      <c r="J53" t="str">
        <v>ACT/360</v>
      </c>
      <c r="K53">
        <v>15000000</v>
      </c>
      <c r="P53" t="str">
        <v>fixed_leg.cashflows.[3].fixed_rate</v>
      </c>
      <c r="Q53">
        <v>1E-3</v>
      </c>
      <c r="S53" t="s">
        <v>56</v>
      </c>
      <c r="T53">
        <v>45352</v>
      </c>
      <c r="U53">
        <v>45352</v>
      </c>
      <c r="W53">
        <v>45532</v>
      </c>
      <c r="X53" t="s">
        <v>8</v>
      </c>
      <c r="Y53">
        <v>15000000</v>
      </c>
      <c r="AD53" t="s">
        <v>49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5"/>
        <v>1</v>
      </c>
      <c r="AK53" t="b">
        <f t="shared" si="20"/>
        <v>1</v>
      </c>
      <c r="AL53" t="b">
        <f t="shared" si="21"/>
        <v>1</v>
      </c>
      <c r="AM53" t="b">
        <f t="shared" si="22"/>
        <v>1</v>
      </c>
      <c r="AR53" t="b">
        <f t="shared" si="9"/>
        <v>1</v>
      </c>
      <c r="AS53" t="b">
        <f t="shared" si="9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57</v>
      </c>
      <c r="T54">
        <v>45532</v>
      </c>
      <c r="U54">
        <v>45532</v>
      </c>
      <c r="AD54" t="s">
        <v>50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5"/>
        <v>1</v>
      </c>
      <c r="AR54" t="b">
        <f t="shared" si="9"/>
        <v>1</v>
      </c>
      <c r="AS54" t="b">
        <f t="shared" si="9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58</v>
      </c>
      <c r="T55" t="s">
        <v>8</v>
      </c>
      <c r="U55" t="s">
        <v>8</v>
      </c>
      <c r="AD55" t="s">
        <v>51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5"/>
        <v>1</v>
      </c>
      <c r="AR55" t="b">
        <f t="shared" si="9"/>
        <v>1</v>
      </c>
      <c r="AS55" t="b">
        <f t="shared" si="9"/>
        <v>1</v>
      </c>
    </row>
    <row r="56" spans="5:45" x14ac:dyDescent="0.4">
      <c r="E56" t="str">
        <v>fixed_leg.cashflows.[5].amount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181</v>
      </c>
      <c r="T56">
        <v>15000000</v>
      </c>
      <c r="U56">
        <v>15000000</v>
      </c>
      <c r="AD56" t="s">
        <v>52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5"/>
        <v>1</v>
      </c>
      <c r="AR56" t="b">
        <f t="shared" si="9"/>
        <v>1</v>
      </c>
      <c r="AS56" t="b">
        <f t="shared" si="9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59</v>
      </c>
      <c r="T57">
        <v>1E-3</v>
      </c>
      <c r="U57">
        <v>1E-3</v>
      </c>
      <c r="AD57" t="s">
        <v>53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5"/>
        <v>1</v>
      </c>
      <c r="AR57" t="b">
        <f t="shared" si="9"/>
        <v>1</v>
      </c>
      <c r="AS57" t="b">
        <f t="shared" si="9"/>
        <v>1</v>
      </c>
    </row>
    <row r="58" spans="5:45" x14ac:dyDescent="0.4">
      <c r="P58" t="str">
        <v>fixed_leg.cashflows.[4].amount</v>
      </c>
      <c r="Q58">
        <v>14000000</v>
      </c>
      <c r="AD58" t="s">
        <v>180</v>
      </c>
      <c r="AE58">
        <v>14000000</v>
      </c>
      <c r="AR58" t="b">
        <f t="shared" si="9"/>
        <v>1</v>
      </c>
      <c r="AS58" t="b">
        <f t="shared" si="9"/>
        <v>1</v>
      </c>
    </row>
    <row r="59" spans="5:45" x14ac:dyDescent="0.4">
      <c r="P59" t="str">
        <v>fixed_leg.cashflows.[4].fixed_rate</v>
      </c>
      <c r="Q59">
        <v>1E-3</v>
      </c>
      <c r="AD59" t="s">
        <v>54</v>
      </c>
      <c r="AE59">
        <v>1E-3</v>
      </c>
      <c r="AR59" t="b">
        <f t="shared" si="9"/>
        <v>1</v>
      </c>
      <c r="AS59" t="b">
        <f t="shared" si="9"/>
        <v>1</v>
      </c>
    </row>
    <row r="60" spans="5:45" x14ac:dyDescent="0.4">
      <c r="P60" t="str">
        <v>fixed_leg.cashflows.[5].payment _date</v>
      </c>
      <c r="Q60">
        <v>45532</v>
      </c>
      <c r="AD60" t="s">
        <v>55</v>
      </c>
      <c r="AE60">
        <v>45532</v>
      </c>
      <c r="AR60" t="b">
        <f t="shared" si="9"/>
        <v>1</v>
      </c>
      <c r="AS60" t="b">
        <f t="shared" si="9"/>
        <v>1</v>
      </c>
    </row>
    <row r="61" spans="5:45" x14ac:dyDescent="0.4">
      <c r="P61" t="str">
        <v>fixed_leg.cashflows.[5].start_date</v>
      </c>
      <c r="Q61">
        <v>45352</v>
      </c>
      <c r="AD61" t="s">
        <v>56</v>
      </c>
      <c r="AE61">
        <v>45352</v>
      </c>
      <c r="AR61" t="b">
        <f t="shared" si="9"/>
        <v>1</v>
      </c>
      <c r="AS61" t="b">
        <f t="shared" si="9"/>
        <v>1</v>
      </c>
    </row>
    <row r="62" spans="5:45" x14ac:dyDescent="0.4">
      <c r="P62" t="str">
        <v>fixed_leg.cashflows.[5].end_date</v>
      </c>
      <c r="Q62">
        <v>45532</v>
      </c>
      <c r="AD62" t="s">
        <v>57</v>
      </c>
      <c r="AE62">
        <v>45532</v>
      </c>
      <c r="AR62" t="b">
        <f t="shared" si="9"/>
        <v>1</v>
      </c>
      <c r="AS62" t="b">
        <f t="shared" si="9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58</v>
      </c>
      <c r="AE63" t="s">
        <v>8</v>
      </c>
      <c r="AR63" t="b">
        <f t="shared" si="9"/>
        <v>1</v>
      </c>
      <c r="AS63" t="b">
        <f t="shared" si="9"/>
        <v>1</v>
      </c>
    </row>
    <row r="64" spans="5:45" x14ac:dyDescent="0.4">
      <c r="P64" t="str">
        <v>fixed_leg.cashflows.[5].amount</v>
      </c>
      <c r="Q64">
        <v>15000000</v>
      </c>
      <c r="AD64" t="s">
        <v>181</v>
      </c>
      <c r="AE64">
        <v>15000000</v>
      </c>
      <c r="AR64" t="b">
        <f t="shared" si="9"/>
        <v>1</v>
      </c>
      <c r="AS64" t="b">
        <f t="shared" si="9"/>
        <v>1</v>
      </c>
    </row>
    <row r="65" spans="16:45" x14ac:dyDescent="0.4">
      <c r="P65" t="str">
        <v>fixed_leg.cashflows.[5].fixed_rate</v>
      </c>
      <c r="Q65">
        <v>1E-3</v>
      </c>
      <c r="AD65" t="s">
        <v>59</v>
      </c>
      <c r="AE65">
        <v>1E-3</v>
      </c>
      <c r="AR65" t="b">
        <f>P65=AD65</f>
        <v>1</v>
      </c>
      <c r="AS65" t="b">
        <f>Q65=AE65</f>
        <v>1</v>
      </c>
    </row>
    <row r="67" spans="16:45" x14ac:dyDescent="0.4">
      <c r="P67" t="str" cm="1">
        <f t="array" ref="P67:Q72">_xll.ExLibris.Json.GetJsonKeyValues(F1,"fixed_leg.cashflows.*.payment _date")</f>
        <v>fixed_leg.cashflows.[0].payment _date</v>
      </c>
      <c r="Q67">
        <v>44632</v>
      </c>
      <c r="AD67" t="s">
        <v>30</v>
      </c>
      <c r="AE67">
        <v>44632</v>
      </c>
      <c r="AR67" t="b">
        <f t="shared" ref="AR67:AR79" si="23">P67=AD67</f>
        <v>1</v>
      </c>
      <c r="AS67" t="b">
        <f t="shared" ref="AS67:AS79" si="24">Q67=AE67</f>
        <v>1</v>
      </c>
    </row>
    <row r="68" spans="16:45" x14ac:dyDescent="0.4">
      <c r="P68" t="str">
        <v>fixed_leg.cashflows.[1].payment _date</v>
      </c>
      <c r="Q68">
        <v>44812</v>
      </c>
      <c r="AD68" t="s">
        <v>35</v>
      </c>
      <c r="AE68">
        <v>44812</v>
      </c>
      <c r="AR68" t="b">
        <f t="shared" si="23"/>
        <v>1</v>
      </c>
      <c r="AS68" t="b">
        <f t="shared" si="24"/>
        <v>1</v>
      </c>
    </row>
    <row r="69" spans="16:45" x14ac:dyDescent="0.4">
      <c r="P69" t="str">
        <v>fixed_leg.cashflows.[2].payment _date</v>
      </c>
      <c r="Q69">
        <v>44992</v>
      </c>
      <c r="AD69" t="s">
        <v>40</v>
      </c>
      <c r="AE69">
        <v>44992</v>
      </c>
      <c r="AR69" t="b">
        <f t="shared" si="23"/>
        <v>1</v>
      </c>
      <c r="AS69" t="b">
        <f t="shared" si="24"/>
        <v>1</v>
      </c>
    </row>
    <row r="70" spans="16:45" x14ac:dyDescent="0.4">
      <c r="P70" t="str">
        <v>fixed_leg.cashflows.[3].payment _date</v>
      </c>
      <c r="Q70">
        <v>45172</v>
      </c>
      <c r="AD70" t="s">
        <v>45</v>
      </c>
      <c r="AE70">
        <v>45172</v>
      </c>
      <c r="AR70" t="b">
        <f t="shared" si="23"/>
        <v>1</v>
      </c>
      <c r="AS70" t="b">
        <f t="shared" si="24"/>
        <v>1</v>
      </c>
    </row>
    <row r="71" spans="16:45" x14ac:dyDescent="0.4">
      <c r="P71" t="str">
        <v>fixed_leg.cashflows.[4].payment _date</v>
      </c>
      <c r="Q71">
        <v>45352</v>
      </c>
      <c r="AD71" t="s">
        <v>50</v>
      </c>
      <c r="AE71">
        <v>45352</v>
      </c>
      <c r="AR71" t="b">
        <f t="shared" si="23"/>
        <v>1</v>
      </c>
      <c r="AS71" t="b">
        <f t="shared" si="24"/>
        <v>1</v>
      </c>
    </row>
    <row r="72" spans="16:45" x14ac:dyDescent="0.4">
      <c r="P72" t="str">
        <v>fixed_leg.cashflows.[5].payment _date</v>
      </c>
      <c r="Q72">
        <v>45532</v>
      </c>
      <c r="AD72" t="s">
        <v>55</v>
      </c>
      <c r="AE72">
        <v>45532</v>
      </c>
      <c r="AR72" t="b">
        <f t="shared" si="23"/>
        <v>1</v>
      </c>
      <c r="AS72" t="b">
        <f t="shared" si="24"/>
        <v>1</v>
      </c>
    </row>
    <row r="74" spans="16:45" x14ac:dyDescent="0.4">
      <c r="P74" t="str" cm="1">
        <f t="array" ref="P74:Q79">_xll.ExLibris.Json.GetJsonKeyValues(F1,"fixed_leg.cashflows.[3].*")</f>
        <v>fixed_leg.cashflows.[3].payment _date</v>
      </c>
      <c r="Q74">
        <v>45172</v>
      </c>
      <c r="AD74" t="s">
        <v>45</v>
      </c>
      <c r="AE74">
        <v>45172</v>
      </c>
      <c r="AR74" t="b">
        <f t="shared" si="23"/>
        <v>1</v>
      </c>
      <c r="AS74" t="b">
        <f t="shared" si="24"/>
        <v>1</v>
      </c>
    </row>
    <row r="75" spans="16:45" x14ac:dyDescent="0.4">
      <c r="P75" t="str">
        <v>fixed_leg.cashflows.[3].start_date</v>
      </c>
      <c r="Q75">
        <v>44992</v>
      </c>
      <c r="AD75" t="s">
        <v>46</v>
      </c>
      <c r="AE75">
        <v>44992</v>
      </c>
      <c r="AR75" t="b">
        <f t="shared" si="23"/>
        <v>1</v>
      </c>
      <c r="AS75" t="b">
        <f t="shared" si="24"/>
        <v>1</v>
      </c>
    </row>
    <row r="76" spans="16:45" x14ac:dyDescent="0.4">
      <c r="P76" t="str">
        <v>fixed_leg.cashflows.[3].end_date</v>
      </c>
      <c r="Q76">
        <v>45172</v>
      </c>
      <c r="AD76" t="s">
        <v>47</v>
      </c>
      <c r="AE76">
        <v>45172</v>
      </c>
      <c r="AR76" t="b">
        <f t="shared" si="23"/>
        <v>1</v>
      </c>
      <c r="AS76" t="b">
        <f t="shared" si="24"/>
        <v>1</v>
      </c>
    </row>
    <row r="77" spans="16:45" x14ac:dyDescent="0.4">
      <c r="P77" t="str">
        <v>fixed_leg.cashflows.[3].day_count_type</v>
      </c>
      <c r="Q77" t="str">
        <v>ACT/360</v>
      </c>
      <c r="AD77" t="s">
        <v>48</v>
      </c>
      <c r="AE77" t="s">
        <v>8</v>
      </c>
      <c r="AR77" t="b">
        <f t="shared" si="23"/>
        <v>1</v>
      </c>
      <c r="AS77" t="b">
        <f t="shared" si="24"/>
        <v>1</v>
      </c>
    </row>
    <row r="78" spans="16:45" x14ac:dyDescent="0.4">
      <c r="P78" t="str">
        <v>fixed_leg.cashflows.[3].amount</v>
      </c>
      <c r="Q78">
        <v>13000000</v>
      </c>
      <c r="AD78" t="s">
        <v>183</v>
      </c>
      <c r="AE78">
        <v>13000000</v>
      </c>
      <c r="AR78" t="b">
        <f t="shared" si="23"/>
        <v>1</v>
      </c>
      <c r="AS78" t="b">
        <f t="shared" si="24"/>
        <v>1</v>
      </c>
    </row>
    <row r="79" spans="16:45" x14ac:dyDescent="0.4">
      <c r="P79" t="str">
        <v>fixed_leg.cashflows.[3].fixed_rate</v>
      </c>
      <c r="Q79">
        <v>1E-3</v>
      </c>
      <c r="AD79" t="s">
        <v>49</v>
      </c>
      <c r="AE79">
        <v>1E-3</v>
      </c>
      <c r="AR79" t="b">
        <f t="shared" si="23"/>
        <v>1</v>
      </c>
      <c r="AS79" t="b">
        <f t="shared" si="24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79"/>
  <sheetViews>
    <sheetView zoomScaleNormal="100" workbookViewId="0"/>
  </sheetViews>
  <sheetFormatPr defaultRowHeight="18.75" x14ac:dyDescent="0.4"/>
  <cols>
    <col min="1" max="1" width="2.25" customWidth="1"/>
    <col min="2" max="2" width="15.5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3.875" customWidth="1"/>
    <col min="17" max="17" width="54.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25</v>
      </c>
      <c r="F1" t="str" cm="1">
        <f t="array" ref="F1">_xll.ExLibris.Json.CreateJsonObjectAsync(E3:F6)</f>
        <v>JsonObject:83F8ED29-929D-492C-9032-4856AD088F8E</v>
      </c>
      <c r="K1" t="str">
        <f>EXLIBRIS_CONFIGURATION</f>
        <v>ExLibris.Core.ExLibrisConfiguration:B757D65E-70E4-4BE1-AC2F-AD0EBE726B7C</v>
      </c>
    </row>
    <row r="2" spans="2:28" x14ac:dyDescent="0.4">
      <c r="B2" s="5" t="s">
        <v>62</v>
      </c>
      <c r="C2" s="5"/>
    </row>
    <row r="3" spans="2:28" x14ac:dyDescent="0.4">
      <c r="B3" s="6" t="s">
        <v>63</v>
      </c>
      <c r="C3" s="6">
        <f>COUNTIF(AG19:AI57,FALSE)</f>
        <v>0</v>
      </c>
      <c r="E3" t="s">
        <v>13</v>
      </c>
      <c r="F3" t="s">
        <v>15</v>
      </c>
    </row>
    <row r="4" spans="2:28" x14ac:dyDescent="0.4">
      <c r="B4" s="6" t="s">
        <v>64</v>
      </c>
      <c r="C4" s="6">
        <f>COUNTIF(AK20:AP26,FALSE)</f>
        <v>0</v>
      </c>
      <c r="E4" t="s">
        <v>17</v>
      </c>
      <c r="F4" t="s">
        <v>19</v>
      </c>
    </row>
    <row r="5" spans="2:28" x14ac:dyDescent="0.4">
      <c r="B5" s="6" t="s">
        <v>65</v>
      </c>
      <c r="C5" s="6" t="str">
        <f>IF(M6=M7,"ok","ng")</f>
        <v>ok</v>
      </c>
      <c r="E5" t="s">
        <v>21</v>
      </c>
      <c r="F5" t="s">
        <v>23</v>
      </c>
      <c r="L5" t="s">
        <v>65</v>
      </c>
    </row>
    <row r="6" spans="2:28" x14ac:dyDescent="0.4">
      <c r="B6" s="6" t="s">
        <v>67</v>
      </c>
      <c r="C6" s="6">
        <f>COUNTIF(AK29:AP30,FALSE)</f>
        <v>0</v>
      </c>
      <c r="E6" t="s">
        <v>24</v>
      </c>
      <c r="F6" t="str" cm="1">
        <f t="array" ref="F6">_xll.ExLibris.Json.CreateJsonArrayAsync(E8:J14)</f>
        <v>JsonObject:C19874F4-0741-4571-BB67-8F0380608706</v>
      </c>
      <c r="L6" t="s">
        <v>60</v>
      </c>
      <c r="M6" t="str" cm="1">
        <f t="array" ref="M6">_xll.ExLibris.Json.ShowJsonTextAsync(F1)</f>
        <v>{"trade_code":"money_00001","couter_party":"CP00001","fixed_leg":{"pay_or_recieve":"Receive","cashflows":[{"payment _date":44632,"start_date":44452,"end_date":44632,"day_count_type":"ACT/360","amount":10000000,"fixed_rate":0.001},{"payment _date":44812,"start_date":44632,"end_date":44812,"day_count_type":"ACT/360","amount":11000000,"fixed_rate":0.001},{"payment _date":44992,"start_date":44812,"end_date":44992,"day_count_type":"ACT/360","amount":12000000,"fixed_rate":0.001},{"payment _date":45172,"start_date":44992,"end_date":45172,"day_count_type":"ACT/360","amount":13000000,"fixed_rate":0.001},{"payment _date":45352,"start_date":45172,"end_date":45352,"day_count_type":"ACT/360","amount":14000000,"fixed_rate":0.001},{"payment _date":45532,"start_date":45352,"end_date":45532,"day_count_type":"ACT/360","amount":15000000,"fixed_rate":0.001}]}}</v>
      </c>
    </row>
    <row r="7" spans="2:28" x14ac:dyDescent="0.4">
      <c r="B7" s="6" t="s">
        <v>95</v>
      </c>
      <c r="C7" s="6">
        <f>COUNTIF(AR19:AS21,FALSE)</f>
        <v>0</v>
      </c>
      <c r="L7" t="s">
        <v>66</v>
      </c>
      <c r="M7" t="s">
        <v>182</v>
      </c>
    </row>
    <row r="8" spans="2:28" x14ac:dyDescent="0.4">
      <c r="B8" s="6" t="s">
        <v>96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175</v>
      </c>
      <c r="J8" t="s">
        <v>11</v>
      </c>
    </row>
    <row r="9" spans="2:28" x14ac:dyDescent="0.4">
      <c r="B9" s="6" t="s">
        <v>171</v>
      </c>
      <c r="C9" s="6">
        <f>COUNTIF(AR67:AS72,FALSE)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B10" s="6" t="s">
        <v>172</v>
      </c>
      <c r="C10" s="6">
        <f>COUNTIF(AR74:AS79,FALSE)</f>
        <v>0</v>
      </c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B11" s="6" t="s">
        <v>173</v>
      </c>
      <c r="C11" s="6">
        <f>COUNTIF(AK32:AN38,FALSE)</f>
        <v>0</v>
      </c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B12" s="6" t="s">
        <v>187</v>
      </c>
      <c r="C12" s="6">
        <f>COUNTIF(AK40:AP45,FALSE)</f>
        <v>0</v>
      </c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B13" s="6" t="s">
        <v>188</v>
      </c>
      <c r="C13" s="6">
        <f>COUNTIF(AK48:AM53,FALSE)</f>
        <v>0</v>
      </c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60</v>
      </c>
      <c r="S16" s="4" t="s">
        <v>184</v>
      </c>
      <c r="AB16" s="4" t="s">
        <v>185</v>
      </c>
    </row>
    <row r="18" spans="5:45" x14ac:dyDescent="0.4">
      <c r="E18" t="s">
        <v>27</v>
      </c>
      <c r="I18" t="s">
        <v>29</v>
      </c>
      <c r="S18" t="s">
        <v>26</v>
      </c>
      <c r="W18" t="s">
        <v>28</v>
      </c>
      <c r="AG18" t="s">
        <v>26</v>
      </c>
      <c r="AK18" t="s">
        <v>28</v>
      </c>
    </row>
    <row r="19" spans="5:45" x14ac:dyDescent="0.4">
      <c r="E19" t="str" cm="1">
        <f t="array" ref="E19:F57">_xll.ExLibris.Json.GetJsonKeyValuesAsync(F1)</f>
        <v>trade_code</v>
      </c>
      <c r="F19" t="str">
        <v>money_00001</v>
      </c>
      <c r="G19" t="str" cm="1">
        <f t="array" ref="G19">_xll.ExLibris.Json.GetJsonValueAsync($F$1,E19)</f>
        <v>money_00001</v>
      </c>
      <c r="I19" t="str" cm="1">
        <f t="array" ref="I19">_xll.ExLibris.Json.GetJsonValueAsync(F1,E6)</f>
        <v>JsonObject:78074F34-2A76-4FDD-A7A5-EA6B18BC28AF</v>
      </c>
      <c r="P19" t="str" cm="1">
        <f t="array" ref="P19:Q27">_xll.ExLibris.Json.GetJsonKeyValuesAsync(F1,3)</f>
        <v>trade_code</v>
      </c>
      <c r="Q19" t="str">
        <v>money_00001</v>
      </c>
      <c r="S19" t="s">
        <v>12</v>
      </c>
      <c r="T19" t="s">
        <v>14</v>
      </c>
      <c r="U19" t="s">
        <v>14</v>
      </c>
      <c r="AD19" t="s">
        <v>12</v>
      </c>
      <c r="AE19" t="s">
        <v>14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_xll.ExLibris.Json.GetJsonValueAsync($F$1,E20)</f>
        <v>CP00001</v>
      </c>
      <c r="I20" t="str" cm="1">
        <f t="array" ref="I20:N26">_xll.ExLibris.Json.GetJsonTableAsync(I19)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amount</v>
      </c>
      <c r="N20" t="str">
        <v>fixed_rate</v>
      </c>
      <c r="P20" t="str">
        <v>couter_party</v>
      </c>
      <c r="Q20" t="str">
        <v>CP00001</v>
      </c>
      <c r="S20" t="s">
        <v>16</v>
      </c>
      <c r="T20" t="s">
        <v>18</v>
      </c>
      <c r="U20" t="s">
        <v>18</v>
      </c>
      <c r="W20" t="s">
        <v>0</v>
      </c>
      <c r="X20" t="s">
        <v>2</v>
      </c>
      <c r="Y20" t="s">
        <v>4</v>
      </c>
      <c r="Z20" t="s">
        <v>6</v>
      </c>
      <c r="AA20" t="s">
        <v>174</v>
      </c>
      <c r="AB20" t="s">
        <v>10</v>
      </c>
      <c r="AD20" t="s">
        <v>16</v>
      </c>
      <c r="AE20" t="s">
        <v>18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_xll.ExLibris.Json.GetJsonValueAsync($F$1,E21)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20</v>
      </c>
      <c r="T21" t="s">
        <v>22</v>
      </c>
      <c r="U21" t="s">
        <v>22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20</v>
      </c>
      <c r="AE21" t="s">
        <v>22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_xll.ExLibris.Json.GetJsonValueAsync($F$1,E22)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JsonObject:3CE6B1E8-E3FA-40CD-914D-9C73489F4264</v>
      </c>
      <c r="S22" t="s">
        <v>30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_xll.ExLibris.Json.GetJsonValueAsync($F$1,E23)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JsonObject:24736553-4D11-4D30-9D47-3B3133D0B066</v>
      </c>
      <c r="S23" t="s">
        <v>31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_xll.ExLibris.Json.GetJsonValueAsync($F$1,E24)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JsonObject:6E0B9315-7F04-4297-B548-1934524F4D0E</v>
      </c>
      <c r="S24" t="s">
        <v>32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JsonObject:665EF199-7C22-4BAE-9D3B-0D878C2E7653</v>
      </c>
      <c r="S25" t="s">
        <v>33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fixed_leg.cashflows.[0].amount</v>
      </c>
      <c r="F26">
        <v>10000000</v>
      </c>
      <c r="G26" cm="1">
        <f t="array" ref="G26">_xll.ExLibris.Json.GetJsonValueAsync($F$1,E26)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JsonObject:822D5D09-9B4B-4110-841D-05BA22805051</v>
      </c>
      <c r="S26" t="s">
        <v>176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_xll.ExLibris.Json.GetJsonValueAsync($F$1,E27)</f>
        <v>1E-3</v>
      </c>
      <c r="P27" t="str">
        <v>fixed_leg.cashflows.[5]</v>
      </c>
      <c r="Q27" t="str">
        <v>JsonObject:EB6EC5A4-BFDC-4B67-8B3B-E1C512D2C1B8</v>
      </c>
      <c r="S27" t="s">
        <v>34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_xll.ExLibris.Json.GetJsonValueAsync($F$1,E28)</f>
        <v>44812</v>
      </c>
      <c r="I28" t="str" cm="1">
        <f t="array" ref="I28">_xll.ExLibris.Json.GetJsonValueAsync(I19,"[2]")</f>
        <v>JsonObject:2E1DD465-3B8C-4FC8-94F6-743A57E20F4F</v>
      </c>
      <c r="S28" t="s">
        <v>35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_xll.ExLibris.Json.GetJsonValueAsync($F$1,E29)</f>
        <v>44632</v>
      </c>
      <c r="I29" t="str" cm="1">
        <f t="array" ref="I29:N30">_xll.ExLibris.Json.GetJsonTableAsync(I28)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amount</v>
      </c>
      <c r="N29" t="str">
        <v>fixed_rate</v>
      </c>
      <c r="P29" t="str" cm="1">
        <f t="array" ref="P29">_xll.ExLibris.Json.CreateJsonObjectAsync(P22:Q27)</f>
        <v>JsonObject:6B012B77-5FB8-473C-8B42-FBAF8B9B9B3E</v>
      </c>
      <c r="S29" t="s">
        <v>36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174</v>
      </c>
      <c r="AB29" t="s">
        <v>10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_xll.ExLibris.Json.GetJsonValueAsync($F$1,E30)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37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30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_xll.ExLibris.Json.GetJsonValueAsync($F$1,E31)</f>
        <v>ACT/360</v>
      </c>
      <c r="P31" t="str">
        <v>fixed_leg.cashflows.[0].start_date</v>
      </c>
      <c r="Q31">
        <v>44452</v>
      </c>
      <c r="S31" t="s">
        <v>38</v>
      </c>
      <c r="T31" t="s">
        <v>8</v>
      </c>
      <c r="U31" t="s">
        <v>8</v>
      </c>
      <c r="AD31" t="s">
        <v>31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fixed_leg.cashflows.[1].amount</v>
      </c>
      <c r="F32">
        <v>11000000</v>
      </c>
      <c r="G32" cm="1">
        <f t="array" ref="G32">_xll.ExLibris.Json.GetJsonValueAsync($F$1,E32)</f>
        <v>11000000</v>
      </c>
      <c r="I32" t="str" cm="1">
        <f t="array" ref="I32:L38">_xll.ExLibris.Json.GetJsonTableAsync(I19,E8:H8)</f>
        <v>payment _date</v>
      </c>
      <c r="J32" t="str">
        <v>start_date</v>
      </c>
      <c r="K32" t="str">
        <v>end_date</v>
      </c>
      <c r="L32" t="str">
        <v>day_count_type</v>
      </c>
      <c r="P32" t="str">
        <v>fixed_leg.cashflows.[0].end_date</v>
      </c>
      <c r="Q32">
        <v>44632</v>
      </c>
      <c r="S32" t="s">
        <v>177</v>
      </c>
      <c r="T32">
        <v>11000000</v>
      </c>
      <c r="U32">
        <v>11000000</v>
      </c>
      <c r="W32" t="s">
        <v>0</v>
      </c>
      <c r="X32" t="s">
        <v>2</v>
      </c>
      <c r="Y32" t="s">
        <v>4</v>
      </c>
      <c r="Z32" t="s">
        <v>6</v>
      </c>
      <c r="AD32" t="s">
        <v>32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K32" t="b">
        <f t="shared" ref="AK32:AN38" si="12">I32=W32</f>
        <v>1</v>
      </c>
      <c r="AL32" t="b">
        <f t="shared" si="12"/>
        <v>1</v>
      </c>
      <c r="AM32" t="b">
        <f t="shared" si="12"/>
        <v>1</v>
      </c>
      <c r="AN32" t="b">
        <f t="shared" si="12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_xll.ExLibris.Json.GetJsonValueAsync($F$1,E33)</f>
        <v>1E-3</v>
      </c>
      <c r="I33">
        <v>44632</v>
      </c>
      <c r="J33">
        <v>44452</v>
      </c>
      <c r="K33">
        <v>44632</v>
      </c>
      <c r="L33" t="str">
        <v>ACT/360</v>
      </c>
      <c r="P33" t="str">
        <v>fixed_leg.cashflows.[0].day_count_type</v>
      </c>
      <c r="Q33" t="str">
        <v>ACT/360</v>
      </c>
      <c r="S33" t="s">
        <v>39</v>
      </c>
      <c r="T33">
        <v>1E-3</v>
      </c>
      <c r="U33">
        <v>1E-3</v>
      </c>
      <c r="W33">
        <v>44632</v>
      </c>
      <c r="X33">
        <v>44452</v>
      </c>
      <c r="Y33">
        <v>44632</v>
      </c>
      <c r="Z33" t="s">
        <v>8</v>
      </c>
      <c r="AD33" t="s">
        <v>33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K33" t="b">
        <f t="shared" si="12"/>
        <v>1</v>
      </c>
      <c r="AL33" t="b">
        <f t="shared" si="12"/>
        <v>1</v>
      </c>
      <c r="AM33" t="b">
        <f t="shared" si="12"/>
        <v>1</v>
      </c>
      <c r="AN33" t="b">
        <f t="shared" si="12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_xll.ExLibris.Json.GetJsonValueAsync($F$1,E34)</f>
        <v>44992</v>
      </c>
      <c r="I34">
        <v>44812</v>
      </c>
      <c r="J34">
        <v>44632</v>
      </c>
      <c r="K34">
        <v>44812</v>
      </c>
      <c r="L34" t="str">
        <v>ACT/360</v>
      </c>
      <c r="P34" t="str">
        <v>fixed_leg.cashflows.[0].amount</v>
      </c>
      <c r="Q34">
        <v>10000000</v>
      </c>
      <c r="S34" t="s">
        <v>40</v>
      </c>
      <c r="T34">
        <v>44992</v>
      </c>
      <c r="U34">
        <v>44992</v>
      </c>
      <c r="W34">
        <v>44812</v>
      </c>
      <c r="X34">
        <v>44632</v>
      </c>
      <c r="Y34">
        <v>44812</v>
      </c>
      <c r="Z34" t="s">
        <v>8</v>
      </c>
      <c r="AD34" t="s">
        <v>176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K34" t="b">
        <f t="shared" si="12"/>
        <v>1</v>
      </c>
      <c r="AL34" t="b">
        <f t="shared" si="12"/>
        <v>1</v>
      </c>
      <c r="AM34" t="b">
        <f t="shared" si="12"/>
        <v>1</v>
      </c>
      <c r="AN34" t="b">
        <f t="shared" si="12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_xll.ExLibris.Json.GetJsonValueAsync($F$1,E35)</f>
        <v>44812</v>
      </c>
      <c r="I35">
        <v>44992</v>
      </c>
      <c r="J35">
        <v>44812</v>
      </c>
      <c r="K35">
        <v>44992</v>
      </c>
      <c r="L35" t="str">
        <v>ACT/360</v>
      </c>
      <c r="P35" t="str">
        <v>fixed_leg.cashflows.[0].fixed_rate</v>
      </c>
      <c r="Q35">
        <v>1E-3</v>
      </c>
      <c r="S35" t="s">
        <v>41</v>
      </c>
      <c r="T35">
        <v>44812</v>
      </c>
      <c r="U35">
        <v>44812</v>
      </c>
      <c r="W35">
        <v>44992</v>
      </c>
      <c r="X35">
        <v>44812</v>
      </c>
      <c r="Y35">
        <v>44992</v>
      </c>
      <c r="Z35" t="s">
        <v>8</v>
      </c>
      <c r="AD35" t="s">
        <v>34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K35" t="b">
        <f t="shared" si="12"/>
        <v>1</v>
      </c>
      <c r="AL35" t="b">
        <f t="shared" si="12"/>
        <v>1</v>
      </c>
      <c r="AM35" t="b">
        <f t="shared" si="12"/>
        <v>1</v>
      </c>
      <c r="AN35" t="b">
        <f t="shared" si="12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_xll.ExLibris.Json.GetJsonValueAsync($F$1,E36)</f>
        <v>44992</v>
      </c>
      <c r="I36">
        <v>45172</v>
      </c>
      <c r="J36">
        <v>44992</v>
      </c>
      <c r="K36">
        <v>45172</v>
      </c>
      <c r="L36" t="str">
        <v>ACT/360</v>
      </c>
      <c r="P36" t="str">
        <v>fixed_leg.cashflows.[1].payment _date</v>
      </c>
      <c r="Q36">
        <v>44812</v>
      </c>
      <c r="S36" t="s">
        <v>42</v>
      </c>
      <c r="T36">
        <v>44992</v>
      </c>
      <c r="U36">
        <v>44992</v>
      </c>
      <c r="W36">
        <v>45172</v>
      </c>
      <c r="X36">
        <v>44992</v>
      </c>
      <c r="Y36">
        <v>45172</v>
      </c>
      <c r="Z36" t="s">
        <v>8</v>
      </c>
      <c r="AD36" t="s">
        <v>35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K36" t="b">
        <f t="shared" si="12"/>
        <v>1</v>
      </c>
      <c r="AL36" t="b">
        <f t="shared" si="12"/>
        <v>1</v>
      </c>
      <c r="AM36" t="b">
        <f t="shared" si="12"/>
        <v>1</v>
      </c>
      <c r="AN36" t="b">
        <f t="shared" si="12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_xll.ExLibris.Json.GetJsonValueAsync($F$1,E37)</f>
        <v>ACT/360</v>
      </c>
      <c r="I37">
        <v>45352</v>
      </c>
      <c r="J37">
        <v>45172</v>
      </c>
      <c r="K37">
        <v>45352</v>
      </c>
      <c r="L37" t="str">
        <v>ACT/360</v>
      </c>
      <c r="P37" t="str">
        <v>fixed_leg.cashflows.[1].start_date</v>
      </c>
      <c r="Q37">
        <v>44632</v>
      </c>
      <c r="S37" t="s">
        <v>43</v>
      </c>
      <c r="T37" t="s">
        <v>8</v>
      </c>
      <c r="U37" t="s">
        <v>8</v>
      </c>
      <c r="W37">
        <v>45352</v>
      </c>
      <c r="X37">
        <v>45172</v>
      </c>
      <c r="Y37">
        <v>45352</v>
      </c>
      <c r="Z37" t="s">
        <v>8</v>
      </c>
      <c r="AD37" t="s">
        <v>36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K37" t="b">
        <f t="shared" si="12"/>
        <v>1</v>
      </c>
      <c r="AL37" t="b">
        <f t="shared" si="12"/>
        <v>1</v>
      </c>
      <c r="AM37" t="b">
        <f t="shared" si="12"/>
        <v>1</v>
      </c>
      <c r="AN37" t="b">
        <f t="shared" si="12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fixed_leg.cashflows.[2].amount</v>
      </c>
      <c r="F38">
        <v>12000000</v>
      </c>
      <c r="G38" cm="1">
        <f t="array" ref="G38">_xll.ExLibris.Json.GetJsonValueAsync($F$1,E38)</f>
        <v>12000000</v>
      </c>
      <c r="I38">
        <v>45532</v>
      </c>
      <c r="J38">
        <v>45352</v>
      </c>
      <c r="K38">
        <v>45532</v>
      </c>
      <c r="L38" t="str">
        <v>ACT/360</v>
      </c>
      <c r="P38" t="str">
        <v>fixed_leg.cashflows.[1].end_date</v>
      </c>
      <c r="Q38">
        <v>44812</v>
      </c>
      <c r="S38" t="s">
        <v>178</v>
      </c>
      <c r="T38">
        <v>12000000</v>
      </c>
      <c r="U38">
        <v>12000000</v>
      </c>
      <c r="W38">
        <v>45532</v>
      </c>
      <c r="X38">
        <v>45352</v>
      </c>
      <c r="Y38">
        <v>45532</v>
      </c>
      <c r="Z38" t="s">
        <v>8</v>
      </c>
      <c r="AD38" t="s">
        <v>37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K38" t="b">
        <f t="shared" si="12"/>
        <v>1</v>
      </c>
      <c r="AL38" t="b">
        <f t="shared" si="12"/>
        <v>1</v>
      </c>
      <c r="AM38" t="b">
        <f t="shared" si="12"/>
        <v>1</v>
      </c>
      <c r="AN38" t="b">
        <f t="shared" si="12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_xll.ExLibris.Json.GetJsonValueAsync($F$1,E39)</f>
        <v>1E-3</v>
      </c>
      <c r="P39" t="str">
        <v>fixed_leg.cashflows.[1].day_count_type</v>
      </c>
      <c r="Q39" t="str">
        <v>ACT/360</v>
      </c>
      <c r="S39" t="s">
        <v>44</v>
      </c>
      <c r="T39">
        <v>1E-3</v>
      </c>
      <c r="U39">
        <v>1E-3</v>
      </c>
      <c r="AD39" t="s">
        <v>38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_xll.ExLibris.Json.GetJsonValueAsync($F$1,E40)</f>
        <v>45172</v>
      </c>
      <c r="I40" cm="1">
        <f t="array" ref="I40:N45">_xll.ExLibris.Json.GetJsonTableAsync(I19,,TRUE)</f>
        <v>44632</v>
      </c>
      <c r="J40">
        <v>44452</v>
      </c>
      <c r="K40">
        <v>44632</v>
      </c>
      <c r="L40" t="str">
        <v>ACT/360</v>
      </c>
      <c r="M40">
        <v>10000000</v>
      </c>
      <c r="N40">
        <v>1E-3</v>
      </c>
      <c r="P40" t="str">
        <v>fixed_leg.cashflows.[1].amount</v>
      </c>
      <c r="Q40">
        <v>11000000</v>
      </c>
      <c r="S40" t="s">
        <v>45</v>
      </c>
      <c r="T40">
        <v>45172</v>
      </c>
      <c r="U40">
        <v>45172</v>
      </c>
      <c r="W40">
        <v>44632</v>
      </c>
      <c r="X40">
        <v>44452</v>
      </c>
      <c r="Y40">
        <v>44632</v>
      </c>
      <c r="Z40" t="s">
        <v>8</v>
      </c>
      <c r="AA40">
        <v>10000000</v>
      </c>
      <c r="AB40">
        <v>1E-3</v>
      </c>
      <c r="AD40" t="s">
        <v>177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K40" t="b">
        <f t="shared" ref="AK40:AP45" si="13">I40=W40</f>
        <v>1</v>
      </c>
      <c r="AL40" t="b">
        <f t="shared" ref="AL40:AP45" si="14">J40=X40</f>
        <v>1</v>
      </c>
      <c r="AM40" t="b">
        <f t="shared" ref="AM40:AP45" si="15">K40=Y40</f>
        <v>1</v>
      </c>
      <c r="AN40" t="b">
        <f t="shared" ref="AN40:AP45" si="16">L40=Z40</f>
        <v>1</v>
      </c>
      <c r="AO40" t="b">
        <f t="shared" ref="AO40:AP45" si="17">M40=AA40</f>
        <v>1</v>
      </c>
      <c r="AP40" t="b">
        <f t="shared" ref="AP40:AP45" si="18">N40=AB40</f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_xll.ExLibris.Json.GetJsonValueAsync($F$1,E41)</f>
        <v>44992</v>
      </c>
      <c r="I41">
        <v>44812</v>
      </c>
      <c r="J41">
        <v>44632</v>
      </c>
      <c r="K41">
        <v>44812</v>
      </c>
      <c r="L41" t="str">
        <v>ACT/360</v>
      </c>
      <c r="M41">
        <v>11000000</v>
      </c>
      <c r="N41">
        <v>1E-3</v>
      </c>
      <c r="P41" t="str">
        <v>fixed_leg.cashflows.[1].fixed_rate</v>
      </c>
      <c r="Q41">
        <v>1E-3</v>
      </c>
      <c r="S41" t="s">
        <v>46</v>
      </c>
      <c r="T41">
        <v>44992</v>
      </c>
      <c r="U41">
        <v>44992</v>
      </c>
      <c r="W41">
        <v>44812</v>
      </c>
      <c r="X41">
        <v>44632</v>
      </c>
      <c r="Y41">
        <v>44812</v>
      </c>
      <c r="Z41" t="s">
        <v>8</v>
      </c>
      <c r="AA41">
        <v>11000000</v>
      </c>
      <c r="AB41">
        <v>1E-3</v>
      </c>
      <c r="AD41" t="s">
        <v>39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K41" t="b">
        <f t="shared" si="13"/>
        <v>1</v>
      </c>
      <c r="AL41" t="b">
        <f t="shared" si="14"/>
        <v>1</v>
      </c>
      <c r="AM41" t="b">
        <f t="shared" si="15"/>
        <v>1</v>
      </c>
      <c r="AN41" t="b">
        <f t="shared" si="16"/>
        <v>1</v>
      </c>
      <c r="AO41" t="b">
        <f t="shared" si="17"/>
        <v>1</v>
      </c>
      <c r="AP41" t="b">
        <f t="shared" si="18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_xll.ExLibris.Json.GetJsonValueAsync($F$1,E42)</f>
        <v>45172</v>
      </c>
      <c r="I42">
        <v>44992</v>
      </c>
      <c r="J42">
        <v>44812</v>
      </c>
      <c r="K42">
        <v>44992</v>
      </c>
      <c r="L42" t="str">
        <v>ACT/360</v>
      </c>
      <c r="M42">
        <v>12000000</v>
      </c>
      <c r="N42">
        <v>1E-3</v>
      </c>
      <c r="P42" t="str">
        <v>fixed_leg.cashflows.[2].payment _date</v>
      </c>
      <c r="Q42">
        <v>44992</v>
      </c>
      <c r="S42" t="s">
        <v>47</v>
      </c>
      <c r="T42">
        <v>45172</v>
      </c>
      <c r="U42">
        <v>45172</v>
      </c>
      <c r="W42">
        <v>44992</v>
      </c>
      <c r="X42">
        <v>44812</v>
      </c>
      <c r="Y42">
        <v>44992</v>
      </c>
      <c r="Z42" t="s">
        <v>8</v>
      </c>
      <c r="AA42">
        <v>12000000</v>
      </c>
      <c r="AB42">
        <v>1E-3</v>
      </c>
      <c r="AD42" t="s">
        <v>40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K42" t="b">
        <f t="shared" si="13"/>
        <v>1</v>
      </c>
      <c r="AL42" t="b">
        <f t="shared" si="14"/>
        <v>1</v>
      </c>
      <c r="AM42" t="b">
        <f t="shared" si="15"/>
        <v>1</v>
      </c>
      <c r="AN42" t="b">
        <f t="shared" si="16"/>
        <v>1</v>
      </c>
      <c r="AO42" t="b">
        <f t="shared" si="17"/>
        <v>1</v>
      </c>
      <c r="AP42" t="b">
        <f t="shared" si="18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_xll.ExLibris.Json.GetJsonValueAsync($F$1,E43)</f>
        <v>ACT/360</v>
      </c>
      <c r="I43">
        <v>45172</v>
      </c>
      <c r="J43">
        <v>44992</v>
      </c>
      <c r="K43">
        <v>45172</v>
      </c>
      <c r="L43" t="str">
        <v>ACT/360</v>
      </c>
      <c r="M43">
        <v>13000000</v>
      </c>
      <c r="N43">
        <v>1E-3</v>
      </c>
      <c r="P43" t="str">
        <v>fixed_leg.cashflows.[2].start_date</v>
      </c>
      <c r="Q43">
        <v>44812</v>
      </c>
      <c r="S43" t="s">
        <v>48</v>
      </c>
      <c r="T43" t="s">
        <v>8</v>
      </c>
      <c r="U43" t="s">
        <v>8</v>
      </c>
      <c r="W43">
        <v>45172</v>
      </c>
      <c r="X43">
        <v>44992</v>
      </c>
      <c r="Y43">
        <v>45172</v>
      </c>
      <c r="Z43" t="s">
        <v>8</v>
      </c>
      <c r="AA43">
        <v>13000000</v>
      </c>
      <c r="AB43">
        <v>1E-3</v>
      </c>
      <c r="AD43" t="s">
        <v>41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K43" t="b">
        <f t="shared" si="13"/>
        <v>1</v>
      </c>
      <c r="AL43" t="b">
        <f t="shared" si="14"/>
        <v>1</v>
      </c>
      <c r="AM43" t="b">
        <f t="shared" si="15"/>
        <v>1</v>
      </c>
      <c r="AN43" t="b">
        <f t="shared" si="16"/>
        <v>1</v>
      </c>
      <c r="AO43" t="b">
        <f t="shared" si="17"/>
        <v>1</v>
      </c>
      <c r="AP43" t="b">
        <f t="shared" si="18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fixed_leg.cashflows.[3].amount</v>
      </c>
      <c r="F44">
        <v>13000000</v>
      </c>
      <c r="G44" cm="1">
        <f t="array" ref="G44">_xll.ExLibris.Json.GetJsonValueAsync($F$1,E44)</f>
        <v>13000000</v>
      </c>
      <c r="I44">
        <v>45352</v>
      </c>
      <c r="J44">
        <v>45172</v>
      </c>
      <c r="K44">
        <v>45352</v>
      </c>
      <c r="L44" t="str">
        <v>ACT/360</v>
      </c>
      <c r="M44">
        <v>14000000</v>
      </c>
      <c r="N44">
        <v>1E-3</v>
      </c>
      <c r="P44" t="str">
        <v>fixed_leg.cashflows.[2].end_date</v>
      </c>
      <c r="Q44">
        <v>44992</v>
      </c>
      <c r="S44" t="s">
        <v>179</v>
      </c>
      <c r="T44">
        <v>13000000</v>
      </c>
      <c r="U44">
        <v>13000000</v>
      </c>
      <c r="W44">
        <v>45352</v>
      </c>
      <c r="X44">
        <v>45172</v>
      </c>
      <c r="Y44">
        <v>45352</v>
      </c>
      <c r="Z44" t="s">
        <v>8</v>
      </c>
      <c r="AA44">
        <v>14000000</v>
      </c>
      <c r="AB44">
        <v>1E-3</v>
      </c>
      <c r="AD44" t="s">
        <v>42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K44" t="b">
        <f t="shared" si="13"/>
        <v>1</v>
      </c>
      <c r="AL44" t="b">
        <f t="shared" si="14"/>
        <v>1</v>
      </c>
      <c r="AM44" t="b">
        <f t="shared" si="15"/>
        <v>1</v>
      </c>
      <c r="AN44" t="b">
        <f t="shared" si="16"/>
        <v>1</v>
      </c>
      <c r="AO44" t="b">
        <f t="shared" si="17"/>
        <v>1</v>
      </c>
      <c r="AP44" t="b">
        <f t="shared" si="18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_xll.ExLibris.Json.GetJsonValueAsync($F$1,E45)</f>
        <v>1E-3</v>
      </c>
      <c r="I45">
        <v>45532</v>
      </c>
      <c r="J45">
        <v>45352</v>
      </c>
      <c r="K45">
        <v>45532</v>
      </c>
      <c r="L45" t="str">
        <v>ACT/360</v>
      </c>
      <c r="M45">
        <v>15000000</v>
      </c>
      <c r="N45">
        <v>1E-3</v>
      </c>
      <c r="P45" t="str">
        <v>fixed_leg.cashflows.[2].day_count_type</v>
      </c>
      <c r="Q45" t="str">
        <v>ACT/360</v>
      </c>
      <c r="S45" t="s">
        <v>49</v>
      </c>
      <c r="T45">
        <v>1E-3</v>
      </c>
      <c r="U45">
        <v>1E-3</v>
      </c>
      <c r="W45">
        <v>45532</v>
      </c>
      <c r="X45">
        <v>45352</v>
      </c>
      <c r="Y45">
        <v>45532</v>
      </c>
      <c r="Z45" t="s">
        <v>8</v>
      </c>
      <c r="AA45">
        <v>15000000</v>
      </c>
      <c r="AB45">
        <v>1E-3</v>
      </c>
      <c r="AD45" t="s">
        <v>43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K45" t="b">
        <f t="shared" si="13"/>
        <v>1</v>
      </c>
      <c r="AL45" t="b">
        <f t="shared" si="14"/>
        <v>1</v>
      </c>
      <c r="AM45" t="b">
        <f t="shared" si="15"/>
        <v>1</v>
      </c>
      <c r="AN45" t="b">
        <f t="shared" si="16"/>
        <v>1</v>
      </c>
      <c r="AO45" t="b">
        <f t="shared" si="17"/>
        <v>1</v>
      </c>
      <c r="AP45" t="b">
        <f t="shared" si="18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_xll.ExLibris.Json.GetJsonValueAsync($F$1,E46)</f>
        <v>45352</v>
      </c>
      <c r="P46" t="str">
        <v>fixed_leg.cashflows.[2].amount</v>
      </c>
      <c r="Q46">
        <v>12000000</v>
      </c>
      <c r="S46" t="s">
        <v>50</v>
      </c>
      <c r="T46">
        <v>45352</v>
      </c>
      <c r="U46">
        <v>45352</v>
      </c>
      <c r="AD46" t="s">
        <v>178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_xll.ExLibris.Json.GetJsonValueAsync($F$1,E47)</f>
        <v>45172</v>
      </c>
      <c r="I47" t="str">
        <f>E8</f>
        <v>payment _date</v>
      </c>
      <c r="J47" t="str">
        <f>H8</f>
        <v>day_count_type</v>
      </c>
      <c r="K47" t="str">
        <f>I8</f>
        <v>amount</v>
      </c>
      <c r="P47" t="str">
        <v>fixed_leg.cashflows.[2].fixed_rate</v>
      </c>
      <c r="Q47">
        <v>1E-3</v>
      </c>
      <c r="S47" t="s">
        <v>51</v>
      </c>
      <c r="T47">
        <v>45172</v>
      </c>
      <c r="U47">
        <v>45172</v>
      </c>
      <c r="AD47" t="s">
        <v>44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_xll.ExLibris.Json.GetJsonValueAsync($F$1,E48)</f>
        <v>45352</v>
      </c>
      <c r="I48" cm="1">
        <f t="array" ref="I48:K53">_xll.ExLibris.Json.GetJsonTableAsync(I19,I47:K47,TRUE)</f>
        <v>44632</v>
      </c>
      <c r="J48" t="str">
        <v>ACT/360</v>
      </c>
      <c r="K48">
        <v>10000000</v>
      </c>
      <c r="P48" t="str">
        <v>fixed_leg.cashflows.[3].payment _date</v>
      </c>
      <c r="Q48">
        <v>45172</v>
      </c>
      <c r="S48" t="s">
        <v>52</v>
      </c>
      <c r="T48">
        <v>45352</v>
      </c>
      <c r="U48">
        <v>45352</v>
      </c>
      <c r="W48">
        <v>44632</v>
      </c>
      <c r="X48" t="s">
        <v>8</v>
      </c>
      <c r="Y48">
        <v>10000000</v>
      </c>
      <c r="AD48" t="s">
        <v>45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K48" t="b">
        <f t="shared" ref="AK48:AM53" si="19">I48=W48</f>
        <v>1</v>
      </c>
      <c r="AL48" t="b">
        <f t="shared" ref="AL48:AM53" si="20">J48=X48</f>
        <v>1</v>
      </c>
      <c r="AM48" t="b">
        <f t="shared" ref="AM48:AM53" si="21">K48=Y48</f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_xll.ExLibris.Json.GetJsonValueAsync($F$1,E49)</f>
        <v>ACT/360</v>
      </c>
      <c r="I49">
        <v>44812</v>
      </c>
      <c r="J49" t="str">
        <v>ACT/360</v>
      </c>
      <c r="K49">
        <v>11000000</v>
      </c>
      <c r="P49" t="str">
        <v>fixed_leg.cashflows.[3].start_date</v>
      </c>
      <c r="Q49">
        <v>44992</v>
      </c>
      <c r="S49" t="s">
        <v>53</v>
      </c>
      <c r="T49" t="s">
        <v>8</v>
      </c>
      <c r="U49" t="s">
        <v>8</v>
      </c>
      <c r="W49">
        <v>44812</v>
      </c>
      <c r="X49" t="s">
        <v>8</v>
      </c>
      <c r="Y49">
        <v>11000000</v>
      </c>
      <c r="AD49" t="s">
        <v>46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K49" t="b">
        <f t="shared" si="19"/>
        <v>1</v>
      </c>
      <c r="AL49" t="b">
        <f t="shared" si="20"/>
        <v>1</v>
      </c>
      <c r="AM49" t="b">
        <f t="shared" si="21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fixed_leg.cashflows.[4].amount</v>
      </c>
      <c r="F50">
        <v>14000000</v>
      </c>
      <c r="G50" cm="1">
        <f t="array" ref="G50">_xll.ExLibris.Json.GetJsonValueAsync($F$1,E50)</f>
        <v>14000000</v>
      </c>
      <c r="I50">
        <v>44992</v>
      </c>
      <c r="J50" t="str">
        <v>ACT/360</v>
      </c>
      <c r="K50">
        <v>12000000</v>
      </c>
      <c r="P50" t="str">
        <v>fixed_leg.cashflows.[3].end_date</v>
      </c>
      <c r="Q50">
        <v>45172</v>
      </c>
      <c r="S50" t="s">
        <v>180</v>
      </c>
      <c r="T50">
        <v>14000000</v>
      </c>
      <c r="U50">
        <v>14000000</v>
      </c>
      <c r="W50">
        <v>44992</v>
      </c>
      <c r="X50" t="s">
        <v>8</v>
      </c>
      <c r="Y50">
        <v>12000000</v>
      </c>
      <c r="AD50" t="s">
        <v>47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K50" t="b">
        <f t="shared" si="19"/>
        <v>1</v>
      </c>
      <c r="AL50" t="b">
        <f t="shared" si="20"/>
        <v>1</v>
      </c>
      <c r="AM50" t="b">
        <f t="shared" si="21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_xll.ExLibris.Json.GetJsonValueAsync($F$1,E51)</f>
        <v>1E-3</v>
      </c>
      <c r="I51">
        <v>45172</v>
      </c>
      <c r="J51" t="str">
        <v>ACT/360</v>
      </c>
      <c r="K51">
        <v>13000000</v>
      </c>
      <c r="P51" t="str">
        <v>fixed_leg.cashflows.[3].day_count_type</v>
      </c>
      <c r="Q51" t="str">
        <v>ACT/360</v>
      </c>
      <c r="S51" t="s">
        <v>54</v>
      </c>
      <c r="T51">
        <v>1E-3</v>
      </c>
      <c r="U51">
        <v>1E-3</v>
      </c>
      <c r="W51">
        <v>45172</v>
      </c>
      <c r="X51" t="s">
        <v>8</v>
      </c>
      <c r="Y51">
        <v>13000000</v>
      </c>
      <c r="AD51" t="s">
        <v>48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K51" t="b">
        <f t="shared" si="19"/>
        <v>1</v>
      </c>
      <c r="AL51" t="b">
        <f t="shared" si="20"/>
        <v>1</v>
      </c>
      <c r="AM51" t="b">
        <f t="shared" si="21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_xll.ExLibris.Json.GetJsonValueAsync($F$1,E52)</f>
        <v>45532</v>
      </c>
      <c r="I52">
        <v>45352</v>
      </c>
      <c r="J52" t="str">
        <v>ACT/360</v>
      </c>
      <c r="K52">
        <v>14000000</v>
      </c>
      <c r="P52" t="str">
        <v>fixed_leg.cashflows.[3].amount</v>
      </c>
      <c r="Q52">
        <v>13000000</v>
      </c>
      <c r="S52" t="s">
        <v>55</v>
      </c>
      <c r="T52">
        <v>45532</v>
      </c>
      <c r="U52">
        <v>45532</v>
      </c>
      <c r="W52">
        <v>45352</v>
      </c>
      <c r="X52" t="s">
        <v>8</v>
      </c>
      <c r="Y52">
        <v>14000000</v>
      </c>
      <c r="AD52" t="s">
        <v>179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K52" t="b">
        <f t="shared" si="19"/>
        <v>1</v>
      </c>
      <c r="AL52" t="b">
        <f t="shared" si="20"/>
        <v>1</v>
      </c>
      <c r="AM52" t="b">
        <f t="shared" si="21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_xll.ExLibris.Json.GetJsonValueAsync($F$1,E53)</f>
        <v>45352</v>
      </c>
      <c r="I53">
        <v>45532</v>
      </c>
      <c r="J53" t="str">
        <v>ACT/360</v>
      </c>
      <c r="K53">
        <v>15000000</v>
      </c>
      <c r="P53" t="str">
        <v>fixed_leg.cashflows.[3].fixed_rate</v>
      </c>
      <c r="Q53">
        <v>1E-3</v>
      </c>
      <c r="S53" t="s">
        <v>56</v>
      </c>
      <c r="T53">
        <v>45352</v>
      </c>
      <c r="U53">
        <v>45352</v>
      </c>
      <c r="W53">
        <v>45532</v>
      </c>
      <c r="X53" t="s">
        <v>8</v>
      </c>
      <c r="Y53">
        <v>15000000</v>
      </c>
      <c r="AD53" t="s">
        <v>49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K53" t="b">
        <f t="shared" si="19"/>
        <v>1</v>
      </c>
      <c r="AL53" t="b">
        <f t="shared" si="20"/>
        <v>1</v>
      </c>
      <c r="AM53" t="b">
        <f t="shared" si="21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_xll.ExLibris.Json.GetJsonValueAsync($F$1,E54)</f>
        <v>45532</v>
      </c>
      <c r="P54" t="str">
        <v>fixed_leg.cashflows.[4].payment _date</v>
      </c>
      <c r="Q54">
        <v>45352</v>
      </c>
      <c r="S54" t="s">
        <v>57</v>
      </c>
      <c r="T54">
        <v>45532</v>
      </c>
      <c r="U54">
        <v>45532</v>
      </c>
      <c r="AD54" t="s">
        <v>50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_xll.ExLibris.Json.GetJsonValueAsync($F$1,E55)</f>
        <v>ACT/360</v>
      </c>
      <c r="P55" t="str">
        <v>fixed_leg.cashflows.[4].start_date</v>
      </c>
      <c r="Q55">
        <v>45172</v>
      </c>
      <c r="S55" t="s">
        <v>58</v>
      </c>
      <c r="T55" t="s">
        <v>8</v>
      </c>
      <c r="U55" t="s">
        <v>8</v>
      </c>
      <c r="AD55" t="s">
        <v>51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fixed_leg.cashflows.[5].amount</v>
      </c>
      <c r="F56">
        <v>15000000</v>
      </c>
      <c r="G56" cm="1">
        <f t="array" ref="G56">_xll.ExLibris.Json.GetJsonValueAsync($F$1,E56)</f>
        <v>15000000</v>
      </c>
      <c r="P56" t="str">
        <v>fixed_leg.cashflows.[4].end_date</v>
      </c>
      <c r="Q56">
        <v>45352</v>
      </c>
      <c r="S56" t="s">
        <v>181</v>
      </c>
      <c r="T56">
        <v>15000000</v>
      </c>
      <c r="U56">
        <v>15000000</v>
      </c>
      <c r="AD56" t="s">
        <v>52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_xll.ExLibris.Json.GetJsonValueAsync($F$1,E57)</f>
        <v>1E-3</v>
      </c>
      <c r="P57" t="str">
        <v>fixed_leg.cashflows.[4].day_count_type</v>
      </c>
      <c r="Q57" t="str">
        <v>ACT/360</v>
      </c>
      <c r="S57" t="s">
        <v>59</v>
      </c>
      <c r="T57">
        <v>1E-3</v>
      </c>
      <c r="U57">
        <v>1E-3</v>
      </c>
      <c r="AD57" t="s">
        <v>53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fixed_leg.cashflows.[4].amount</v>
      </c>
      <c r="Q58">
        <v>14000000</v>
      </c>
      <c r="AD58" t="s">
        <v>180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54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55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56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57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58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fixed_leg.cashflows.[5].amount</v>
      </c>
      <c r="Q64">
        <v>15000000</v>
      </c>
      <c r="AD64" t="s">
        <v>181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59</v>
      </c>
      <c r="AE65">
        <v>1E-3</v>
      </c>
      <c r="AR65" t="b">
        <f>P65=AD65</f>
        <v>1</v>
      </c>
      <c r="AS65" t="b">
        <f>Q65=AE65</f>
        <v>1</v>
      </c>
    </row>
    <row r="67" spans="16:45" x14ac:dyDescent="0.4">
      <c r="P67" t="str" cm="1">
        <f t="array" ref="P67:Q72">_xll.ExLibris.Json.GetJsonKeyValuesAsync(F1,"fixed_leg.cashflows.*.payment _date")</f>
        <v>fixed_leg.cashflows.[0].payment _date</v>
      </c>
      <c r="Q67">
        <v>44632</v>
      </c>
      <c r="AD67" t="s">
        <v>30</v>
      </c>
      <c r="AE67">
        <v>44632</v>
      </c>
      <c r="AR67" t="b">
        <f t="shared" ref="AR67:AS79" si="22">P67=AD67</f>
        <v>1</v>
      </c>
      <c r="AS67" t="b">
        <f t="shared" si="22"/>
        <v>1</v>
      </c>
    </row>
    <row r="68" spans="16:45" x14ac:dyDescent="0.4">
      <c r="P68" t="str">
        <v>fixed_leg.cashflows.[1].payment _date</v>
      </c>
      <c r="Q68">
        <v>44812</v>
      </c>
      <c r="AD68" t="s">
        <v>35</v>
      </c>
      <c r="AE68">
        <v>44812</v>
      </c>
      <c r="AR68" t="b">
        <f t="shared" si="22"/>
        <v>1</v>
      </c>
      <c r="AS68" t="b">
        <f t="shared" si="22"/>
        <v>1</v>
      </c>
    </row>
    <row r="69" spans="16:45" x14ac:dyDescent="0.4">
      <c r="P69" t="str">
        <v>fixed_leg.cashflows.[2].payment _date</v>
      </c>
      <c r="Q69">
        <v>44992</v>
      </c>
      <c r="AD69" t="s">
        <v>40</v>
      </c>
      <c r="AE69">
        <v>44992</v>
      </c>
      <c r="AR69" t="b">
        <f t="shared" si="22"/>
        <v>1</v>
      </c>
      <c r="AS69" t="b">
        <f t="shared" si="22"/>
        <v>1</v>
      </c>
    </row>
    <row r="70" spans="16:45" x14ac:dyDescent="0.4">
      <c r="P70" t="str">
        <v>fixed_leg.cashflows.[3].payment _date</v>
      </c>
      <c r="Q70">
        <v>45172</v>
      </c>
      <c r="AD70" t="s">
        <v>45</v>
      </c>
      <c r="AE70">
        <v>45172</v>
      </c>
      <c r="AR70" t="b">
        <f t="shared" si="22"/>
        <v>1</v>
      </c>
      <c r="AS70" t="b">
        <f t="shared" si="22"/>
        <v>1</v>
      </c>
    </row>
    <row r="71" spans="16:45" x14ac:dyDescent="0.4">
      <c r="P71" t="str">
        <v>fixed_leg.cashflows.[4].payment _date</v>
      </c>
      <c r="Q71">
        <v>45352</v>
      </c>
      <c r="AD71" t="s">
        <v>50</v>
      </c>
      <c r="AE71">
        <v>45352</v>
      </c>
      <c r="AR71" t="b">
        <f t="shared" si="22"/>
        <v>1</v>
      </c>
      <c r="AS71" t="b">
        <f t="shared" si="22"/>
        <v>1</v>
      </c>
    </row>
    <row r="72" spans="16:45" x14ac:dyDescent="0.4">
      <c r="P72" t="str">
        <v>fixed_leg.cashflows.[5].payment _date</v>
      </c>
      <c r="Q72">
        <v>45532</v>
      </c>
      <c r="AD72" t="s">
        <v>55</v>
      </c>
      <c r="AE72">
        <v>45532</v>
      </c>
      <c r="AR72" t="b">
        <f t="shared" si="22"/>
        <v>1</v>
      </c>
      <c r="AS72" t="b">
        <f t="shared" si="22"/>
        <v>1</v>
      </c>
    </row>
    <row r="74" spans="16:45" x14ac:dyDescent="0.4">
      <c r="P74" t="str" cm="1">
        <f t="array" ref="P74:Q79">_xll.ExLibris.Json.GetJsonKeyValuesAsync(F1,"fixed_leg.cashflows.[3].*")</f>
        <v>fixed_leg.cashflows.[3].payment _date</v>
      </c>
      <c r="Q74">
        <v>45172</v>
      </c>
      <c r="AD74" t="s">
        <v>45</v>
      </c>
      <c r="AE74">
        <v>45172</v>
      </c>
      <c r="AR74" t="b">
        <f t="shared" si="22"/>
        <v>1</v>
      </c>
      <c r="AS74" t="b">
        <f t="shared" si="22"/>
        <v>1</v>
      </c>
    </row>
    <row r="75" spans="16:45" x14ac:dyDescent="0.4">
      <c r="P75" t="str">
        <v>fixed_leg.cashflows.[3].start_date</v>
      </c>
      <c r="Q75">
        <v>44992</v>
      </c>
      <c r="AD75" t="s">
        <v>46</v>
      </c>
      <c r="AE75">
        <v>44992</v>
      </c>
      <c r="AR75" t="b">
        <f t="shared" si="22"/>
        <v>1</v>
      </c>
      <c r="AS75" t="b">
        <f t="shared" si="22"/>
        <v>1</v>
      </c>
    </row>
    <row r="76" spans="16:45" x14ac:dyDescent="0.4">
      <c r="P76" t="str">
        <v>fixed_leg.cashflows.[3].end_date</v>
      </c>
      <c r="Q76">
        <v>45172</v>
      </c>
      <c r="AD76" t="s">
        <v>47</v>
      </c>
      <c r="AE76">
        <v>45172</v>
      </c>
      <c r="AR76" t="b">
        <f t="shared" si="22"/>
        <v>1</v>
      </c>
      <c r="AS76" t="b">
        <f t="shared" si="22"/>
        <v>1</v>
      </c>
    </row>
    <row r="77" spans="16:45" x14ac:dyDescent="0.4">
      <c r="P77" t="str">
        <v>fixed_leg.cashflows.[3].day_count_type</v>
      </c>
      <c r="Q77" t="str">
        <v>ACT/360</v>
      </c>
      <c r="AD77" t="s">
        <v>48</v>
      </c>
      <c r="AE77" t="s">
        <v>8</v>
      </c>
      <c r="AR77" t="b">
        <f t="shared" si="22"/>
        <v>1</v>
      </c>
      <c r="AS77" t="b">
        <f t="shared" si="22"/>
        <v>1</v>
      </c>
    </row>
    <row r="78" spans="16:45" x14ac:dyDescent="0.4">
      <c r="P78" t="str">
        <v>fixed_leg.cashflows.[3].amount</v>
      </c>
      <c r="Q78">
        <v>13000000</v>
      </c>
      <c r="AD78" t="s">
        <v>179</v>
      </c>
      <c r="AE78">
        <v>13000000</v>
      </c>
      <c r="AR78" t="b">
        <f t="shared" si="22"/>
        <v>1</v>
      </c>
      <c r="AS78" t="b">
        <f t="shared" si="22"/>
        <v>1</v>
      </c>
    </row>
    <row r="79" spans="16:45" x14ac:dyDescent="0.4">
      <c r="P79" t="str">
        <v>fixed_leg.cashflows.[3].fixed_rate</v>
      </c>
      <c r="Q79">
        <v>1E-3</v>
      </c>
      <c r="AD79" t="s">
        <v>49</v>
      </c>
      <c r="AE79">
        <v>1E-3</v>
      </c>
      <c r="AR79" t="b">
        <f t="shared" si="22"/>
        <v>1</v>
      </c>
      <c r="AS79" t="b">
        <f t="shared" si="22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25</v>
      </c>
      <c r="F1" t="str" cm="1">
        <f t="array" ref="F1">_xll.ExLibris.Json.CreateJsonObjectAsync(E3:F6, EXLIBRIS_CONFIGURATION)</f>
        <v>JsonObject:2689C2FA-2F6D-4A03-91A8-7BAC6D40ED38</v>
      </c>
      <c r="K1" t="str">
        <f>EXLIBRIS_CONFIGURATION</f>
        <v>ExLibris.Core.ExLibrisConfiguration:B757D65E-70E4-4BE1-AC2F-AD0EBE726B7C</v>
      </c>
    </row>
    <row r="2" spans="2:25" x14ac:dyDescent="0.4">
      <c r="B2" s="5" t="s">
        <v>62</v>
      </c>
      <c r="C2" s="5"/>
    </row>
    <row r="3" spans="2:25" x14ac:dyDescent="0.4">
      <c r="B3" s="6" t="s">
        <v>63</v>
      </c>
      <c r="C3" s="6">
        <f>COUNTIF(AA19:AC57,FALSE)</f>
        <v>0</v>
      </c>
      <c r="E3" t="s">
        <v>13</v>
      </c>
      <c r="F3" t="s">
        <v>15</v>
      </c>
    </row>
    <row r="4" spans="2:25" x14ac:dyDescent="0.4">
      <c r="B4" s="6" t="s">
        <v>64</v>
      </c>
      <c r="C4" s="6">
        <f>COUNTIF(AE20:AJ26,FALSE)</f>
        <v>0</v>
      </c>
      <c r="E4" t="s">
        <v>17</v>
      </c>
      <c r="F4" t="s">
        <v>19</v>
      </c>
    </row>
    <row r="5" spans="2:25" x14ac:dyDescent="0.4">
      <c r="B5" s="6" t="s">
        <v>65</v>
      </c>
      <c r="C5" s="6" t="str">
        <f>IF(M6=M7,"ok","ng")</f>
        <v>ok</v>
      </c>
      <c r="E5" t="s">
        <v>21</v>
      </c>
      <c r="F5" t="s">
        <v>23</v>
      </c>
      <c r="L5" t="s">
        <v>65</v>
      </c>
    </row>
    <row r="6" spans="2:25" x14ac:dyDescent="0.4">
      <c r="B6" s="6" t="s">
        <v>67</v>
      </c>
      <c r="C6" s="6">
        <f>COUNTIF(AE29:AJ30,FALSE)</f>
        <v>0</v>
      </c>
      <c r="E6" t="s">
        <v>24</v>
      </c>
      <c r="F6" t="str" cm="1">
        <f t="array" ref="F6">_xll.ExLibris.Json.CreateJsonArrayAsync(E8:J14, EXLIBRIS_CONFIGURATION)</f>
        <v>JsonObject:F31AE2FF-4CCA-40E5-8DEF-3106A237C82C</v>
      </c>
      <c r="L6" t="s">
        <v>60</v>
      </c>
      <c r="M6" t="str" cm="1">
        <f t="array" ref="M6">_xll.ExLibris.Json.ShowJsonTextAsync(F1)</f>
        <v>{"trade_code":"money_00001","couter_party":"CP00001","fixed_leg":{"pay_or_recieve":"Receive","cashflows":[{"payment _date":"2022-03-12","start_date":"2021-09-13","end_date":"2022-03-12","day_count_type":"ACT/360","amount":10000000,"fixed_rate":0.001},{"payment _date":"2022-09-08","start_date":"2022-03-12","end_date":"2022-09-08","day_count_type":"ACT/360","amount":10000000,"fixed_rate":0.0011},{"payment _date":"2023-03-07","start_date":"2022-09-08","end_date":"2023-03-07","day_count_type":"ACT/360","amount":11000000,"fixed_rate":0.0012000000000000001},{"payment _date":"2023-09-03","start_date":"2023-03-07","end_date":"2023-09-03","day_count_type":"ACT/360","amount":11000000,"fixed_rate":0.0013000000000000002},{"payment _date":"2024-03-01","start_date":"2023-09-03","end_date":"2024-03-01","day_count_type":"ACT/360","amount":12000000,"fixed_rate":0.0014000000000000002},{"payment _date":"2024-08-28","start_date":"2024-03-01","end_date":"2024-08-28","day_count_type":"ACT/360","amount":12000000,"fixed_rate":0.0015000000000000002}]}}</v>
      </c>
    </row>
    <row r="7" spans="2:25" x14ac:dyDescent="0.4">
      <c r="B7" s="6" t="s">
        <v>98</v>
      </c>
      <c r="C7" s="6">
        <f>COUNTIF(AE34:AJ36,FALSE)</f>
        <v>0</v>
      </c>
      <c r="L7" t="s">
        <v>66</v>
      </c>
      <c r="M7" t="s">
        <v>186</v>
      </c>
    </row>
    <row r="8" spans="2:25" x14ac:dyDescent="0.4">
      <c r="B8" s="6" t="s">
        <v>99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175</v>
      </c>
      <c r="J8" t="s">
        <v>11</v>
      </c>
    </row>
    <row r="9" spans="2:25" x14ac:dyDescent="0.4">
      <c r="B9" s="6" t="s">
        <v>100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60</v>
      </c>
      <c r="P16" s="4" t="s">
        <v>61</v>
      </c>
      <c r="Y16" s="4" t="s">
        <v>62</v>
      </c>
    </row>
    <row r="18" spans="5:36" x14ac:dyDescent="0.4">
      <c r="E18" t="s">
        <v>27</v>
      </c>
      <c r="I18" t="s">
        <v>29</v>
      </c>
      <c r="P18" t="s">
        <v>26</v>
      </c>
      <c r="T18" t="s">
        <v>28</v>
      </c>
      <c r="AA18" t="s">
        <v>26</v>
      </c>
      <c r="AE18" t="s">
        <v>28</v>
      </c>
    </row>
    <row r="19" spans="5:36" x14ac:dyDescent="0.4">
      <c r="E19" t="str" cm="1">
        <f t="array" ref="E19:F57">_xll.ExLibris.Json.GetJsonKeyValuesAsync(F1,, EXLIBRIS_CONFIGURATION)</f>
        <v>trade_code</v>
      </c>
      <c r="F19" t="str">
        <v>money_00001</v>
      </c>
      <c r="G19" t="str" cm="1">
        <f t="array" ref="G19">_xll.ExLibris.Json.GetJsonValueAsync($F$1,E19, EXLIBRIS_CONFIGURATION)</f>
        <v>money_00001</v>
      </c>
      <c r="I19" t="str" cm="1">
        <f t="array" ref="I19">_xll.ExLibris.Json.GetJsonValueAsync(F1,E6, EXLIBRIS_CONFIGURATION)</f>
        <v>JsonObject:614EAC64-A164-47D8-B2BA-9F9D8C0759A9</v>
      </c>
      <c r="P19" t="s">
        <v>12</v>
      </c>
      <c r="Q19" t="s">
        <v>14</v>
      </c>
      <c r="R19" t="s">
        <v>14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_xll.ExLibris.Json.GetJsonValueAsync($F$1,E20, EXLIBRIS_CONFIGURATION)</f>
        <v>CP00001</v>
      </c>
      <c r="I20" t="str" cm="1">
        <f t="array" ref="I20:N26">_xll.ExLibris.Json.GetJsonTableAsync(I19,,,EXLIBRIS_CONFIGURATION)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amount</v>
      </c>
      <c r="N20" t="str">
        <v>fixed_rate</v>
      </c>
      <c r="P20" t="s">
        <v>16</v>
      </c>
      <c r="Q20" t="s">
        <v>18</v>
      </c>
      <c r="R20" t="s">
        <v>18</v>
      </c>
      <c r="T20" t="s">
        <v>0</v>
      </c>
      <c r="U20" t="s">
        <v>2</v>
      </c>
      <c r="V20" t="s">
        <v>4</v>
      </c>
      <c r="W20" t="s">
        <v>6</v>
      </c>
      <c r="X20" t="s">
        <v>175</v>
      </c>
      <c r="Y20" t="s">
        <v>10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_xll.ExLibris.Json.GetJsonValueAsync($F$1,E21,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20</v>
      </c>
      <c r="Q21" t="s">
        <v>22</v>
      </c>
      <c r="R21" t="s">
        <v>22</v>
      </c>
      <c r="T21" t="s">
        <v>85</v>
      </c>
      <c r="U21" t="s">
        <v>86</v>
      </c>
      <c r="V21" t="s">
        <v>85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t="str" cm="1">
        <f t="array" ref="G22">_xll.ExLibris.Json.GetJsonValueAsync($F$1,E22,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30</v>
      </c>
      <c r="Q22" t="s">
        <v>85</v>
      </c>
      <c r="R22" t="s">
        <v>85</v>
      </c>
      <c r="T22" t="s">
        <v>87</v>
      </c>
      <c r="U22" t="s">
        <v>85</v>
      </c>
      <c r="V22" t="s">
        <v>87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_xll.ExLibris.Json.GetJsonValueAsync($F$1,E23,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31</v>
      </c>
      <c r="Q23" t="s">
        <v>86</v>
      </c>
      <c r="R23" t="s">
        <v>86</v>
      </c>
      <c r="T23" t="s">
        <v>88</v>
      </c>
      <c r="U23" t="s">
        <v>87</v>
      </c>
      <c r="V23" t="s">
        <v>88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_xll.ExLibris.Json.GetJsonValueAsync($F$1,E24,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32</v>
      </c>
      <c r="Q24" t="s">
        <v>85</v>
      </c>
      <c r="R24" t="s">
        <v>85</v>
      </c>
      <c r="T24" t="s">
        <v>89</v>
      </c>
      <c r="U24" t="s">
        <v>88</v>
      </c>
      <c r="V24" t="s">
        <v>89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33</v>
      </c>
      <c r="Q25" t="s">
        <v>8</v>
      </c>
      <c r="R25" t="s">
        <v>8</v>
      </c>
      <c r="T25" t="s">
        <v>90</v>
      </c>
      <c r="U25" t="s">
        <v>89</v>
      </c>
      <c r="V25" t="s">
        <v>90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fixed_leg.cashflows.[0].amount</v>
      </c>
      <c r="F26">
        <v>10000000</v>
      </c>
      <c r="G26" cm="1">
        <f t="array" ref="G26">_xll.ExLibris.Json.GetJsonValueAsync($F$1,E26,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176</v>
      </c>
      <c r="Q26">
        <v>10000000</v>
      </c>
      <c r="R26">
        <v>10000000</v>
      </c>
      <c r="T26" t="s">
        <v>91</v>
      </c>
      <c r="U26" t="s">
        <v>90</v>
      </c>
      <c r="V26" t="s">
        <v>91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_xll.ExLibris.Json.GetJsonValueAsync($F$1,E27, EXLIBRIS_CONFIGURATION)</f>
        <v>1E-3</v>
      </c>
      <c r="P27" t="s">
        <v>34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_xll.ExLibris.Json.GetJsonValueAsync($F$1,E28, EXLIBRIS_CONFIGURATION)</f>
        <v>2022-09-08</v>
      </c>
      <c r="I28" t="str" cm="1">
        <f t="array" ref="I28">_xll.ExLibris.Json.GetJsonValueAsync(I19,"[2]", EXLIBRIS_CONFIGURATION)</f>
        <v>JsonObject:1F1EDFBE-2CE2-4991-9C98-F3F76E4B793C</v>
      </c>
      <c r="P28" t="s">
        <v>35</v>
      </c>
      <c r="Q28" t="s">
        <v>87</v>
      </c>
      <c r="R28" t="s">
        <v>87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_xll.ExLibris.Json.GetJsonValueAsync($F$1,E29, EXLIBRIS_CONFIGURATION)</f>
        <v>2022-03-12</v>
      </c>
      <c r="I29" t="str" cm="1">
        <f t="array" ref="I29:N30">_xll.ExLibris.Json.GetJsonTableAsync(I28,,,EXLIBRIS_CONFIGURATION)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amount</v>
      </c>
      <c r="N29" t="str">
        <v>fixed_rate</v>
      </c>
      <c r="P29" t="s">
        <v>36</v>
      </c>
      <c r="Q29" t="s">
        <v>85</v>
      </c>
      <c r="R29" t="s">
        <v>85</v>
      </c>
      <c r="T29" t="s">
        <v>0</v>
      </c>
      <c r="U29" t="s">
        <v>2</v>
      </c>
      <c r="V29" t="s">
        <v>4</v>
      </c>
      <c r="W29" t="s">
        <v>6</v>
      </c>
      <c r="X29" t="s">
        <v>175</v>
      </c>
      <c r="Y29" t="s">
        <v>10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_xll.ExLibris.Json.GetJsonValueAsync($F$1,E30,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37</v>
      </c>
      <c r="Q30" t="s">
        <v>87</v>
      </c>
      <c r="R30" t="s">
        <v>87</v>
      </c>
      <c r="T30" t="s">
        <v>88</v>
      </c>
      <c r="U30" t="s">
        <v>87</v>
      </c>
      <c r="V30" t="s">
        <v>88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_xll.ExLibris.Json.GetJsonValueAsync($F$1,E31, EXLIBRIS_CONFIGURATION)</f>
        <v>ACT/360</v>
      </c>
      <c r="P31" t="s">
        <v>38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fixed_leg.cashflows.[1].amount</v>
      </c>
      <c r="F32">
        <v>10000000</v>
      </c>
      <c r="G32" cm="1">
        <f t="array" ref="G32">_xll.ExLibris.Json.GetJsonValueAsync($F$1,E32, EXLIBRIS_CONFIGURATION)</f>
        <v>10000000</v>
      </c>
      <c r="I32" t="str" cm="1">
        <f t="array" ref="I32">_xll.ExLibris.Json.GetJsonValueAsync(F1,E6,EXLIBRIS_CONFIGURATION)</f>
        <v>JsonObject:614EAC64-A164-47D8-B2BA-9F9D8C0759A9</v>
      </c>
      <c r="P32" t="s">
        <v>177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_xll.ExLibris.Json.GetJsonValueAsync($F$1,E33, EXLIBRIS_CONFIGURATION)</f>
        <v>1.1000000000000001E-3</v>
      </c>
      <c r="I33" t="str" cm="1">
        <f t="array" ref="I33">_xll.ExLibris.Json.SearchJsonArrayElementsAsync(I32,I8,I11,EXLIBRIS_CONFIGURATION)</f>
        <v>JsonObject:6E4DB88E-191B-43CE-9B84-31D60AAFA0ED</v>
      </c>
      <c r="P33" t="s">
        <v>39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_xll.ExLibris.Json.GetJsonValueAsync($F$1,E34, EXLIBRIS_CONFIGURATION)</f>
        <v>2023-03-07</v>
      </c>
      <c r="I34" t="str" cm="1">
        <f t="array" ref="I34:N36">_xll.ExLibris.Json.GetJsonTableAsync(I33,,,EXLIBRIS_CONFIGURATION)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amount</v>
      </c>
      <c r="N34" t="str">
        <v>fixed_rate</v>
      </c>
      <c r="P34" t="s">
        <v>40</v>
      </c>
      <c r="Q34" t="s">
        <v>88</v>
      </c>
      <c r="R34" t="s">
        <v>88</v>
      </c>
      <c r="T34" t="s">
        <v>0</v>
      </c>
      <c r="U34" t="s">
        <v>2</v>
      </c>
      <c r="V34" t="s">
        <v>4</v>
      </c>
      <c r="W34" t="s">
        <v>6</v>
      </c>
      <c r="X34" t="s">
        <v>175</v>
      </c>
      <c r="Y34" t="s">
        <v>10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_xll.ExLibris.Json.GetJsonValueAsync($F$1,E35,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41</v>
      </c>
      <c r="Q35" t="s">
        <v>87</v>
      </c>
      <c r="R35" t="s">
        <v>87</v>
      </c>
      <c r="T35" t="s">
        <v>88</v>
      </c>
      <c r="U35" t="s">
        <v>87</v>
      </c>
      <c r="V35" t="s">
        <v>88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_xll.ExLibris.Json.GetJsonValueAsync($F$1,E36,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42</v>
      </c>
      <c r="Q36" t="s">
        <v>88</v>
      </c>
      <c r="R36" t="s">
        <v>88</v>
      </c>
      <c r="T36" t="s">
        <v>89</v>
      </c>
      <c r="U36" t="s">
        <v>88</v>
      </c>
      <c r="V36" t="s">
        <v>89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_xll.ExLibris.Json.GetJsonValueAsync($F$1,E37, EXLIBRIS_CONFIGURATION)</f>
        <v>ACT/360</v>
      </c>
      <c r="P37" t="s">
        <v>43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fixed_leg.cashflows.[2].amount</v>
      </c>
      <c r="F38">
        <v>11000000</v>
      </c>
      <c r="G38" cm="1">
        <f t="array" ref="G38">_xll.ExLibris.Json.GetJsonValueAsync($F$1,E38, EXLIBRIS_CONFIGURATION)</f>
        <v>11000000</v>
      </c>
      <c r="I38" t="str" cm="1">
        <f t="array" ref="I38">_xll.ExLibris.Json.SearchJsonArrayElementsAsync(I32,J8,J11,EXLIBRIS_CONFIGURATION)</f>
        <v>JsonObject:C0257BD0-DC6E-4852-AB2A-9C24A270EAF1</v>
      </c>
      <c r="P38" t="s">
        <v>178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_xll.ExLibris.Json.GetJsonValueAsync($F$1,E39, EXLIBRIS_CONFIGURATION)</f>
        <v>1.2000000000000001E-3</v>
      </c>
      <c r="I39" t="str" cm="1">
        <f t="array" ref="I39:N40">_xll.ExLibris.Json.GetJsonTableAsync(I38,,,EXLIBRIS_CONFIGURATION)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amount</v>
      </c>
      <c r="N39" t="str">
        <v>fixed_rate</v>
      </c>
      <c r="P39" t="s">
        <v>44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175</v>
      </c>
      <c r="Y39" t="s">
        <v>10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_xll.ExLibris.Json.GetJsonValueAsync($F$1,E40,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45</v>
      </c>
      <c r="Q40" t="s">
        <v>89</v>
      </c>
      <c r="R40" t="s">
        <v>89</v>
      </c>
      <c r="T40" t="s">
        <v>88</v>
      </c>
      <c r="U40" t="s">
        <v>87</v>
      </c>
      <c r="V40" t="s">
        <v>88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_xll.ExLibris.Json.GetJsonValueAsync($F$1,E41, EXLIBRIS_CONFIGURATION)</f>
        <v>2023-03-07</v>
      </c>
      <c r="P41" t="s">
        <v>46</v>
      </c>
      <c r="Q41" t="s">
        <v>88</v>
      </c>
      <c r="R41" t="s">
        <v>88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_xll.ExLibris.Json.GetJsonValueAsync($F$1,E42, EXLIBRIS_CONFIGURATION)</f>
        <v>2023-09-03</v>
      </c>
      <c r="I42" t="str" cm="1">
        <f t="array" ref="I42">_xll.ExLibris.Json.SearchJsonArrayElementsAsync(I32,J8,,EXLIBRIS_CONFIGURATION)</f>
        <v>JsonObject:FB1D8EB7-FA68-42D7-9DB6-D3CA93BD59DA</v>
      </c>
      <c r="P42" t="s">
        <v>47</v>
      </c>
      <c r="Q42" t="s">
        <v>89</v>
      </c>
      <c r="R42" t="s">
        <v>89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_xll.ExLibris.Json.GetJsonValueAsync($F$1,E43, EXLIBRIS_CONFIGURATION)</f>
        <v>ACT/360</v>
      </c>
      <c r="I43" t="str" cm="1">
        <f t="array" ref="I43">_xll.ExLibris.Json.GetJsonTableAsync(I42,,,EXLIBRIS_CONFIGURATION)</f>
        <v/>
      </c>
      <c r="P43" t="s">
        <v>48</v>
      </c>
      <c r="Q43" t="s">
        <v>8</v>
      </c>
      <c r="R43" t="s">
        <v>8</v>
      </c>
      <c r="T43" t="s">
        <v>97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fixed_leg.cashflows.[3].amount</v>
      </c>
      <c r="F44">
        <v>11000000</v>
      </c>
      <c r="G44" cm="1">
        <f t="array" ref="G44">_xll.ExLibris.Json.GetJsonValueAsync($F$1,E44, EXLIBRIS_CONFIGURATION)</f>
        <v>11000000</v>
      </c>
      <c r="P44" t="s">
        <v>179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_xll.ExLibris.Json.GetJsonValueAsync($F$1,E45, EXLIBRIS_CONFIGURATION)</f>
        <v>1.3000000000000002E-3</v>
      </c>
      <c r="P45" t="s">
        <v>49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_xll.ExLibris.Json.GetJsonValueAsync($F$1,E46, EXLIBRIS_CONFIGURATION)</f>
        <v>2024-03-01</v>
      </c>
      <c r="P46" t="s">
        <v>50</v>
      </c>
      <c r="Q46" t="s">
        <v>90</v>
      </c>
      <c r="R46" t="s">
        <v>90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_xll.ExLibris.Json.GetJsonValueAsync($F$1,E47, EXLIBRIS_CONFIGURATION)</f>
        <v>2023-09-03</v>
      </c>
      <c r="P47" t="s">
        <v>51</v>
      </c>
      <c r="Q47" t="s">
        <v>89</v>
      </c>
      <c r="R47" t="s">
        <v>89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_xll.ExLibris.Json.GetJsonValueAsync($F$1,E48, EXLIBRIS_CONFIGURATION)</f>
        <v>2024-03-01</v>
      </c>
      <c r="P48" t="s">
        <v>52</v>
      </c>
      <c r="Q48" t="s">
        <v>90</v>
      </c>
      <c r="R48" t="s">
        <v>90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_xll.ExLibris.Json.GetJsonValueAsync($F$1,E49, EXLIBRIS_CONFIGURATION)</f>
        <v>ACT/360</v>
      </c>
      <c r="P49" t="s">
        <v>53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fixed_leg.cashflows.[4].amount</v>
      </c>
      <c r="F50">
        <v>12000000</v>
      </c>
      <c r="G50" cm="1">
        <f t="array" ref="G50">_xll.ExLibris.Json.GetJsonValueAsync($F$1,E50, EXLIBRIS_CONFIGURATION)</f>
        <v>12000000</v>
      </c>
      <c r="P50" t="s">
        <v>180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_xll.ExLibris.Json.GetJsonValueAsync($F$1,E51, EXLIBRIS_CONFIGURATION)</f>
        <v>1.4000000000000002E-3</v>
      </c>
      <c r="P51" t="s">
        <v>54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_xll.ExLibris.Json.GetJsonValueAsync($F$1,E52, EXLIBRIS_CONFIGURATION)</f>
        <v>2024-08-28</v>
      </c>
      <c r="P52" t="s">
        <v>55</v>
      </c>
      <c r="Q52" t="s">
        <v>91</v>
      </c>
      <c r="R52" t="s">
        <v>91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_xll.ExLibris.Json.GetJsonValueAsync($F$1,E53, EXLIBRIS_CONFIGURATION)</f>
        <v>2024-03-01</v>
      </c>
      <c r="P53" t="s">
        <v>56</v>
      </c>
      <c r="Q53" t="s">
        <v>90</v>
      </c>
      <c r="R53" t="s">
        <v>90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_xll.ExLibris.Json.GetJsonValueAsync($F$1,E54, EXLIBRIS_CONFIGURATION)</f>
        <v>2024-08-28</v>
      </c>
      <c r="P54" t="s">
        <v>57</v>
      </c>
      <c r="Q54" t="s">
        <v>91</v>
      </c>
      <c r="R54" t="s">
        <v>91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_xll.ExLibris.Json.GetJsonValueAsync($F$1,E55, EXLIBRIS_CONFIGURATION)</f>
        <v>ACT/360</v>
      </c>
      <c r="P55" t="s">
        <v>58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fixed_leg.cashflows.[5].amount</v>
      </c>
      <c r="F56">
        <v>12000000</v>
      </c>
      <c r="G56" cm="1">
        <f t="array" ref="G56">_xll.ExLibris.Json.GetJsonValueAsync($F$1,E56, EXLIBRIS_CONFIGURATION)</f>
        <v>12000000</v>
      </c>
      <c r="P56" t="s">
        <v>181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_xll.ExLibris.Json.GetJsonValueAsync($F$1,E57, EXLIBRIS_CONFIGURATION)</f>
        <v>1.5000000000000002E-3</v>
      </c>
      <c r="P57" t="s">
        <v>59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76</v>
      </c>
      <c r="C2" t="str" cm="1">
        <f t="array" ref="C2">_xll.ExLibris.LoadConfigurationAsync(B6:C15)</f>
        <v>ExLibris.Core.ExLibrisConfiguration:B757D65E-70E4-4BE1-AC2F-AD0EBE726B7C</v>
      </c>
    </row>
    <row r="4" spans="2:6" s="4" customFormat="1" ht="18" x14ac:dyDescent="0.4">
      <c r="B4" s="4" t="s">
        <v>78</v>
      </c>
      <c r="E4" s="4" t="s">
        <v>77</v>
      </c>
    </row>
    <row r="6" spans="2:6" x14ac:dyDescent="0.4">
      <c r="B6" t="s">
        <v>68</v>
      </c>
      <c r="C6" t="s">
        <v>69</v>
      </c>
      <c r="E6" t="str" cm="1">
        <f t="array" ref="E6:F15">_xll.ExLibris.DumpObjectAsync(EXLIBRIS_CONFIGURATION)</f>
        <v>excel_value.excel_error_to</v>
      </c>
      <c r="F6" t="str">
        <v>Error</v>
      </c>
    </row>
    <row r="7" spans="2:6" x14ac:dyDescent="0.4">
      <c r="B7" t="s">
        <v>70</v>
      </c>
      <c r="C7" t="s">
        <v>71</v>
      </c>
      <c r="E7" t="str">
        <v>excel_value.excel_missing_to</v>
      </c>
      <c r="F7" t="str">
        <v>Null</v>
      </c>
    </row>
    <row r="8" spans="2:6" x14ac:dyDescent="0.4">
      <c r="B8" t="s">
        <v>72</v>
      </c>
      <c r="C8" t="s">
        <v>71</v>
      </c>
      <c r="E8" t="str">
        <v>excel_value.excel_empty_to</v>
      </c>
      <c r="F8" t="str">
        <v>Null</v>
      </c>
    </row>
    <row r="9" spans="2:6" x14ac:dyDescent="0.4">
      <c r="B9" t="s">
        <v>73</v>
      </c>
      <c r="C9" t="s">
        <v>71</v>
      </c>
      <c r="E9" t="str">
        <v>excel_value.excel_string_empty_to</v>
      </c>
      <c r="F9" t="str">
        <v>Null</v>
      </c>
    </row>
    <row r="10" spans="2:6" x14ac:dyDescent="0.4">
      <c r="B10" t="s">
        <v>74</v>
      </c>
      <c r="C10" t="s">
        <v>79</v>
      </c>
      <c r="E10" t="str">
        <v>excel_value.null_to_excel</v>
      </c>
      <c r="F10" t="str">
        <v>StringEmpty</v>
      </c>
    </row>
    <row r="11" spans="2:6" x14ac:dyDescent="0.4">
      <c r="B11" t="s">
        <v>75</v>
      </c>
      <c r="C11" t="s">
        <v>79</v>
      </c>
      <c r="E11" t="str">
        <v>excel_value.string_empty_to_excel</v>
      </c>
      <c r="F11" t="str">
        <v>StringEmpty</v>
      </c>
    </row>
    <row r="12" spans="2:6" x14ac:dyDescent="0.4">
      <c r="B12" t="s">
        <v>80</v>
      </c>
      <c r="C12" t="s">
        <v>81</v>
      </c>
      <c r="E12" t="str">
        <v>json.double_to_date_text.[0].date_format</v>
      </c>
      <c r="F12" t="str">
        <v>yyyy-MM-dd</v>
      </c>
    </row>
    <row r="13" spans="2:6" x14ac:dyDescent="0.4">
      <c r="B13" t="s">
        <v>82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83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84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J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28.875" customWidth="1"/>
    <col min="7" max="7" width="44.75" bestFit="1" customWidth="1"/>
    <col min="8" max="8" width="44.75" customWidth="1"/>
    <col min="9" max="10" width="39.125" bestFit="1" customWidth="1"/>
  </cols>
  <sheetData>
    <row r="2" spans="2:10" s="4" customFormat="1" ht="18" x14ac:dyDescent="0.4">
      <c r="B2" s="4" t="s">
        <v>92</v>
      </c>
    </row>
    <row r="3" spans="2:10" x14ac:dyDescent="0.4">
      <c r="D3" t="s">
        <v>138</v>
      </c>
      <c r="E3" t="s">
        <v>137</v>
      </c>
      <c r="F3" t="s">
        <v>93</v>
      </c>
      <c r="G3" t="s">
        <v>139</v>
      </c>
      <c r="H3" t="s">
        <v>146</v>
      </c>
      <c r="I3" t="s">
        <v>140</v>
      </c>
      <c r="J3" t="s">
        <v>141</v>
      </c>
    </row>
    <row r="4" spans="2:10" x14ac:dyDescent="0.4">
      <c r="D4" t="str" cm="1">
        <f t="array" ref="D4">_xll.ExLibris.WebSockets.OpenWebSocketAsync("ws://localhost:10101",,E4)</f>
        <v>ExLibris.Core.WebSockets.WebsocketClient:FC8CD32E-B5EE-4B59-BF8C-2512FF6A7D9E</v>
      </c>
      <c r="E4" t="s">
        <v>94</v>
      </c>
      <c r="F4" t="str" cm="1">
        <f t="array" ref="F4">_xll.ExLibris.WebSockets.ObserveWebSocketStatus(D4,1000)</f>
        <v>Closed</v>
      </c>
      <c r="G4" t="e" cm="1">
        <f t="array" ref="G4">_xll.ExLibris.WebSockets.ObserveWebSocketMessage(D4)</f>
        <v>#N/A</v>
      </c>
      <c r="H4" t="e" cm="1">
        <f t="array" ref="H4">_xll.ExLibris.Json.ShowJsonText(_xll.ExLibris.Json.CreateJsonArray($E$3:G4))</f>
        <v>#VALUE!</v>
      </c>
      <c r="I4" t="e" cm="1">
        <f t="array" ref="I4">_xll.ExLibris.WebSockets.SendWebSocketMessage(D4,H4,F4="Open")</f>
        <v>#VALUE!</v>
      </c>
      <c r="J4" t="e" cm="1">
        <f t="array" ref="J4">_xll.ExLibris.WebSockets.SendWebSocketMessage($D$4,"1# "&amp;H4,I4)</f>
        <v>#VALUE!</v>
      </c>
    </row>
    <row r="5" spans="2:10" x14ac:dyDescent="0.4">
      <c r="D5" t="str" cm="1">
        <f t="array" ref="D5">_xll.ExLibris.WebSockets.OpenWebSocketAsync("ws://localhost:10101",,E5)</f>
        <v>ExLibris.Core.WebSockets.WebsocketClient:98D2FC76-FEF6-4D84-8DEF-A9099C946C06</v>
      </c>
      <c r="E5" t="s">
        <v>142</v>
      </c>
      <c r="F5" t="str" cm="1">
        <f t="array" ref="F5">_xll.ExLibris.WebSockets.ObserveWebSocketStatus(D5,1000)</f>
        <v>Closed</v>
      </c>
      <c r="G5" t="e" cm="1">
        <f t="array" ref="G5">_xll.ExLibris.WebSockets.ObserveWebSocketMessage(D5)</f>
        <v>#N/A</v>
      </c>
      <c r="H5" t="e" cm="1">
        <f t="array" ref="H5">_xll.ExLibris.Json.ShowJsonText(_xll.ExLibris.Json.CreateJsonArray($E$3:G5))</f>
        <v>#VALUE!</v>
      </c>
      <c r="I5" t="e" cm="1">
        <f t="array" ref="I5">_xll.ExLibris.WebSockets.SendWebSocketMessage(D5,H5,F5="Open")</f>
        <v>#VALUE!</v>
      </c>
      <c r="J5" t="e" cm="1">
        <f t="array" ref="J5">_xll.ExLibris.WebSockets.SendWebSocketMessage($D$4,"1# "&amp;H5,I5)</f>
        <v>#VALUE!</v>
      </c>
    </row>
    <row r="6" spans="2:10" x14ac:dyDescent="0.4">
      <c r="D6" t="str" cm="1">
        <f t="array" ref="D6">_xll.ExLibris.WebSockets.OpenWebSocketAsync("ws://localhost:10101",,E6)</f>
        <v>ExLibris.Core.WebSockets.WebsocketClient:60572BB0-D57F-4A28-A61B-A565815F3194</v>
      </c>
      <c r="E6" t="s">
        <v>143</v>
      </c>
      <c r="F6" t="str" cm="1">
        <f t="array" ref="F6">_xll.ExLibris.WebSockets.ObserveWebSocketStatus(D6,1000)</f>
        <v>Closed</v>
      </c>
      <c r="G6" t="e" cm="1">
        <f t="array" ref="G6">_xll.ExLibris.WebSockets.ObserveWebSocketMessage(D6)</f>
        <v>#N/A</v>
      </c>
      <c r="H6" t="e" cm="1">
        <f t="array" ref="H6">_xll.ExLibris.Json.ShowJsonText(_xll.ExLibris.Json.CreateJsonArray($E$3:G6))</f>
        <v>#VALUE!</v>
      </c>
      <c r="I6" t="e" cm="1">
        <f t="array" ref="I6">_xll.ExLibris.WebSockets.SendWebSocketMessage(D6,H6,F6="Open")</f>
        <v>#VALUE!</v>
      </c>
      <c r="J6" t="e" cm="1">
        <f t="array" ref="J6">_xll.ExLibris.WebSockets.SendWebSocketMessage($D$4,"1# "&amp;H6,I6)</f>
        <v>#VALUE!</v>
      </c>
    </row>
    <row r="7" spans="2:10" x14ac:dyDescent="0.4">
      <c r="D7" t="str" cm="1">
        <f t="array" ref="D7">_xll.ExLibris.WebSockets.OpenWebSocketAsync("ws://localhost:10101",,E7)</f>
        <v>ExLibris.Core.WebSockets.WebsocketClient:149A3688-4522-4337-8796-F87C8A42227D</v>
      </c>
      <c r="E7" t="s">
        <v>144</v>
      </c>
      <c r="F7" t="str" cm="1">
        <f t="array" ref="F7">_xll.ExLibris.WebSockets.ObserveWebSocketStatus(D7,1000)</f>
        <v>Closed</v>
      </c>
      <c r="G7" t="e" cm="1">
        <f t="array" ref="G7">_xll.ExLibris.WebSockets.ObserveWebSocketMessage(D7)</f>
        <v>#N/A</v>
      </c>
      <c r="H7" t="e" cm="1">
        <f t="array" ref="H7">_xll.ExLibris.Json.ShowJsonText(_xll.ExLibris.Json.CreateJsonArray($E$3:G7))</f>
        <v>#VALUE!</v>
      </c>
      <c r="I7" t="e" cm="1">
        <f t="array" ref="I7">_xll.ExLibris.WebSockets.SendWebSocketMessage(D7,H7,F7="Open")</f>
        <v>#VALUE!</v>
      </c>
      <c r="J7" t="e" cm="1">
        <f t="array" ref="J7">_xll.ExLibris.WebSockets.SendWebSocketMessage($D$4,"1# "&amp;H7,I7)</f>
        <v>#VALUE!</v>
      </c>
    </row>
    <row r="8" spans="2:10" x14ac:dyDescent="0.4">
      <c r="D8" t="str" cm="1">
        <f t="array" ref="D8">_xll.ExLibris.WebSockets.OpenWebSocketAsync("ws://localhost:10101",,E8)</f>
        <v>ExLibris.Core.WebSockets.WebsocketClient:0AE14383-970D-4356-AA96-C4C2DED24B88</v>
      </c>
      <c r="E8" t="s">
        <v>145</v>
      </c>
      <c r="F8" t="str" cm="1">
        <f t="array" ref="F8">_xll.ExLibris.WebSockets.ObserveWebSocketStatus(D8,1000)</f>
        <v>Closed</v>
      </c>
      <c r="G8" t="e" cm="1">
        <f t="array" ref="G8">_xll.ExLibris.WebSockets.ObserveWebSocketMessage(D8)</f>
        <v>#N/A</v>
      </c>
      <c r="H8" t="e" cm="1">
        <f t="array" ref="H8">_xll.ExLibris.Json.ShowJsonText(_xll.ExLibris.Json.CreateJsonArray($E$3:G8))</f>
        <v>#VALUE!</v>
      </c>
      <c r="I8" t="e" cm="1">
        <f t="array" ref="I8">_xll.ExLibris.WebSockets.SendWebSocketMessage(D8,H8,F8="Open")</f>
        <v>#VALUE!</v>
      </c>
      <c r="J8" t="e" cm="1">
        <f t="array" ref="J8">_xll.ExLibris.WebSockets.SendWebSocketMessage($D$4,"1# "&amp;H8,I8)</f>
        <v>#VALUE!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K52"/>
  <sheetViews>
    <sheetView workbookViewId="0"/>
  </sheetViews>
  <sheetFormatPr defaultRowHeight="18.75" x14ac:dyDescent="0.4"/>
  <cols>
    <col min="2" max="2" width="26.5" customWidth="1"/>
    <col min="4" max="4" width="9.375" bestFit="1" customWidth="1"/>
    <col min="8" max="8" width="16.75" customWidth="1"/>
    <col min="9" max="9" width="10.25" bestFit="1" customWidth="1"/>
  </cols>
  <sheetData>
    <row r="2" spans="2:11" x14ac:dyDescent="0.4">
      <c r="B2" t="s">
        <v>101</v>
      </c>
      <c r="C2" s="7" t="s">
        <v>107</v>
      </c>
      <c r="E2" t="s">
        <v>109</v>
      </c>
      <c r="K2" t="s">
        <v>147</v>
      </c>
    </row>
    <row r="3" spans="2:11" x14ac:dyDescent="0.4">
      <c r="C3" t="s">
        <v>106</v>
      </c>
    </row>
    <row r="5" spans="2:11" x14ac:dyDescent="0.4">
      <c r="B5" t="str" cm="1">
        <f t="array" ref="B5">_xll.ExLibris.WebAPIs.CreateHeadersAsync(B6:C10)</f>
        <v>ExLibris.Core.WebAPIs.WebAPIHeaders:760CC286-9664-4A11-81DD-AC5873477A75</v>
      </c>
      <c r="H5" t="str" cm="1">
        <f t="array" ref="H5">_xll.ExLibris.Json.CreateJsonObjectAsync(H6:I11)</f>
        <v>JsonObject:26F9F0BF-9B62-4A0E-A353-6F9AB0289536</v>
      </c>
    </row>
    <row r="6" spans="2:11" x14ac:dyDescent="0.4">
      <c r="B6" t="s">
        <v>110</v>
      </c>
      <c r="C6" t="s">
        <v>111</v>
      </c>
      <c r="H6" t="s">
        <v>130</v>
      </c>
      <c r="I6" t="s">
        <v>132</v>
      </c>
    </row>
    <row r="7" spans="2:11" x14ac:dyDescent="0.4">
      <c r="B7" t="s">
        <v>112</v>
      </c>
      <c r="C7" t="s">
        <v>118</v>
      </c>
      <c r="H7" t="s">
        <v>131</v>
      </c>
      <c r="I7" t="s">
        <v>133</v>
      </c>
    </row>
    <row r="8" spans="2:11" x14ac:dyDescent="0.4">
      <c r="B8" t="s">
        <v>113</v>
      </c>
      <c r="C8" t="s">
        <v>119</v>
      </c>
      <c r="H8" t="s">
        <v>121</v>
      </c>
      <c r="I8">
        <v>108.5</v>
      </c>
    </row>
    <row r="9" spans="2:11" x14ac:dyDescent="0.4">
      <c r="B9" t="s">
        <v>114</v>
      </c>
      <c r="C9" t="s">
        <v>115</v>
      </c>
      <c r="H9" t="s">
        <v>122</v>
      </c>
      <c r="I9" t="s">
        <v>123</v>
      </c>
    </row>
    <row r="10" spans="2:11" x14ac:dyDescent="0.4">
      <c r="B10" t="s">
        <v>116</v>
      </c>
      <c r="C10" t="s">
        <v>117</v>
      </c>
      <c r="H10" t="s">
        <v>124</v>
      </c>
      <c r="I10" t="s">
        <v>125</v>
      </c>
    </row>
    <row r="11" spans="2:11" x14ac:dyDescent="0.4">
      <c r="H11" t="s">
        <v>126</v>
      </c>
      <c r="I11" s="1">
        <v>44463</v>
      </c>
    </row>
    <row r="12" spans="2:11" x14ac:dyDescent="0.4">
      <c r="B12" s="8">
        <f>COUNTIF(E14:E52,FALSE)</f>
        <v>0</v>
      </c>
      <c r="I12" s="1"/>
    </row>
    <row r="13" spans="2:11" x14ac:dyDescent="0.4">
      <c r="D13" t="s">
        <v>60</v>
      </c>
      <c r="E13" t="s">
        <v>167</v>
      </c>
      <c r="F13" s="1" t="s">
        <v>61</v>
      </c>
    </row>
    <row r="14" spans="2:11" x14ac:dyDescent="0.4">
      <c r="B14" t="s">
        <v>105</v>
      </c>
      <c r="C14" t="s">
        <v>104</v>
      </c>
      <c r="D14" t="str">
        <f>$C$2&amp;"get"</f>
        <v>http://localhost:80/get</v>
      </c>
      <c r="E14" t="b">
        <f t="shared" ref="E14:E52" si="0">D14=F14</f>
        <v>1</v>
      </c>
      <c r="F14" t="s">
        <v>148</v>
      </c>
    </row>
    <row r="15" spans="2:11" x14ac:dyDescent="0.4">
      <c r="C15" t="s">
        <v>102</v>
      </c>
      <c r="D15" t="e" cm="1">
        <f t="array" ref="D15">_xll.ExLibris.WebAPIs.GET(D14)</f>
        <v>#N/A</v>
      </c>
      <c r="F15" t="s">
        <v>149</v>
      </c>
    </row>
    <row r="16" spans="2:11" x14ac:dyDescent="0.4">
      <c r="C16" t="s">
        <v>93</v>
      </c>
      <c r="D16" t="e" cm="1">
        <f t="array" ref="D16">_xll.ExLibris.WebAPIs.WebAPIResponseStatus(D15,TRUE)</f>
        <v>#VALUE!</v>
      </c>
      <c r="E16" t="e">
        <f t="shared" si="0"/>
        <v>#VALUE!</v>
      </c>
      <c r="F16">
        <v>200</v>
      </c>
    </row>
    <row r="17" spans="2:6" x14ac:dyDescent="0.4">
      <c r="C17" t="s">
        <v>103</v>
      </c>
      <c r="D17" t="e" cm="1">
        <f t="array" ref="D17">_xll.ExLibris.WebAPIs.WebAPIResponseContent(D15)</f>
        <v>#VALUE!</v>
      </c>
      <c r="E17" t="e">
        <f t="shared" si="0"/>
        <v>#VALUE!</v>
      </c>
      <c r="F17" t="s">
        <v>168</v>
      </c>
    </row>
    <row r="19" spans="2:6" x14ac:dyDescent="0.4">
      <c r="B19" t="s">
        <v>108</v>
      </c>
      <c r="C19" t="s">
        <v>104</v>
      </c>
      <c r="D19" t="str">
        <f>$C$2&amp;"post"</f>
        <v>http://localhost:80/post</v>
      </c>
      <c r="E19" t="b">
        <f t="shared" si="0"/>
        <v>1</v>
      </c>
      <c r="F19" t="s">
        <v>150</v>
      </c>
    </row>
    <row r="20" spans="2:6" x14ac:dyDescent="0.4">
      <c r="C20" t="s">
        <v>102</v>
      </c>
      <c r="D20" t="e" cm="1">
        <f t="array" ref="D20">_xll.ExLibris.WebAPIs.POST(D19)</f>
        <v>#N/A</v>
      </c>
      <c r="F20" t="s">
        <v>151</v>
      </c>
    </row>
    <row r="21" spans="2:6" x14ac:dyDescent="0.4">
      <c r="C21" t="s">
        <v>93</v>
      </c>
      <c r="D21" t="e" cm="1">
        <f t="array" ref="D21">_xll.ExLibris.WebAPIs.WebAPIResponseStatus(D20,TRUE)</f>
        <v>#VALUE!</v>
      </c>
      <c r="E21" t="e">
        <f t="shared" si="0"/>
        <v>#VALUE!</v>
      </c>
      <c r="F21">
        <v>200</v>
      </c>
    </row>
    <row r="22" spans="2:6" x14ac:dyDescent="0.4">
      <c r="C22" t="s">
        <v>103</v>
      </c>
      <c r="D22" t="e" cm="1">
        <f t="array" ref="D22">_xll.ExLibris.WebAPIs.WebAPIResponseContent(D20)</f>
        <v>#VALUE!</v>
      </c>
      <c r="E22" t="e">
        <f t="shared" si="0"/>
        <v>#VALUE!</v>
      </c>
      <c r="F22" t="s">
        <v>170</v>
      </c>
    </row>
    <row r="24" spans="2:6" x14ac:dyDescent="0.4">
      <c r="B24" t="s">
        <v>120</v>
      </c>
      <c r="C24" t="s">
        <v>104</v>
      </c>
      <c r="D24" t="str">
        <f>$C$2&amp;"bearer"</f>
        <v>http://localhost:80/bearer</v>
      </c>
      <c r="E24" t="b">
        <f t="shared" si="0"/>
        <v>1</v>
      </c>
      <c r="F24" t="s">
        <v>152</v>
      </c>
    </row>
    <row r="25" spans="2:6" x14ac:dyDescent="0.4">
      <c r="C25" t="s">
        <v>102</v>
      </c>
      <c r="D25" t="e" cm="1">
        <f t="array" ref="D25">_xll.ExLibris.WebAPIs.GET(D24,$B$5)</f>
        <v>#N/A</v>
      </c>
      <c r="F25" t="s">
        <v>153</v>
      </c>
    </row>
    <row r="26" spans="2:6" x14ac:dyDescent="0.4">
      <c r="C26" t="s">
        <v>93</v>
      </c>
      <c r="D26" t="e" cm="1">
        <f t="array" ref="D26">_xll.ExLibris.WebAPIs.WebAPIResponseStatus(D25,TRUE)</f>
        <v>#VALUE!</v>
      </c>
      <c r="E26" t="e">
        <f t="shared" si="0"/>
        <v>#VALUE!</v>
      </c>
      <c r="F26">
        <v>200</v>
      </c>
    </row>
    <row r="27" spans="2:6" x14ac:dyDescent="0.4">
      <c r="C27" t="s">
        <v>103</v>
      </c>
      <c r="D27" t="e" cm="1">
        <f t="array" ref="D27">_xll.ExLibris.WebAPIs.WebAPIResponseContent(D25)</f>
        <v>#VALUE!</v>
      </c>
      <c r="E27" t="e">
        <f t="shared" si="0"/>
        <v>#VALUE!</v>
      </c>
      <c r="F27" t="s">
        <v>154</v>
      </c>
    </row>
    <row r="29" spans="2:6" x14ac:dyDescent="0.4">
      <c r="B29" t="s">
        <v>127</v>
      </c>
      <c r="C29" t="s">
        <v>104</v>
      </c>
      <c r="D29" t="str">
        <f>$C$2&amp;"post"</f>
        <v>http://localhost:80/post</v>
      </c>
      <c r="E29" t="b">
        <f t="shared" si="0"/>
        <v>1</v>
      </c>
      <c r="F29" t="s">
        <v>150</v>
      </c>
    </row>
    <row r="30" spans="2:6" x14ac:dyDescent="0.4">
      <c r="C30" t="s">
        <v>102</v>
      </c>
      <c r="D30" t="e" cm="1">
        <f t="array" ref="D30">_xll.ExLibris.WebAPIs.POST(D29,_xll.ExLibris.Json.ShowJsonText(H5),,$B$5)</f>
        <v>#N/A</v>
      </c>
      <c r="F30" t="s">
        <v>155</v>
      </c>
    </row>
    <row r="31" spans="2:6" x14ac:dyDescent="0.4">
      <c r="C31" t="s">
        <v>93</v>
      </c>
      <c r="D31" t="e" cm="1">
        <f t="array" ref="D31">_xll.ExLibris.WebAPIs.WebAPIResponseStatus(D30,TRUE)</f>
        <v>#VALUE!</v>
      </c>
      <c r="E31" t="e">
        <f t="shared" si="0"/>
        <v>#VALUE!</v>
      </c>
      <c r="F31">
        <v>200</v>
      </c>
    </row>
    <row r="32" spans="2:6" x14ac:dyDescent="0.4">
      <c r="C32" t="s">
        <v>103</v>
      </c>
      <c r="D32" t="e" cm="1">
        <f t="array" ref="D32">_xll.ExLibris.WebAPIs.WebAPIResponseContent(D30)</f>
        <v>#VALUE!</v>
      </c>
      <c r="E32" t="e">
        <f t="shared" si="0"/>
        <v>#VALUE!</v>
      </c>
      <c r="F32" t="s">
        <v>156</v>
      </c>
    </row>
    <row r="34" spans="2:6" x14ac:dyDescent="0.4">
      <c r="B34" t="s">
        <v>128</v>
      </c>
      <c r="C34" t="s">
        <v>104</v>
      </c>
      <c r="D34" t="str">
        <f>$C$2&amp;"post"</f>
        <v>http://localhost:80/post</v>
      </c>
      <c r="E34" t="b">
        <f t="shared" si="0"/>
        <v>1</v>
      </c>
      <c r="F34" t="s">
        <v>150</v>
      </c>
    </row>
    <row r="35" spans="2:6" x14ac:dyDescent="0.4">
      <c r="C35" t="s">
        <v>102</v>
      </c>
      <c r="D35" t="e" cm="1">
        <f t="array" ref="D35">_xll.ExLibris.WebAPIs.POST(D34,H5,TRUE,$B$5)</f>
        <v>#N/A</v>
      </c>
      <c r="F35" t="s">
        <v>157</v>
      </c>
    </row>
    <row r="36" spans="2:6" x14ac:dyDescent="0.4">
      <c r="C36" t="s">
        <v>93</v>
      </c>
      <c r="D36" t="e" cm="1">
        <f t="array" ref="D36">_xll.ExLibris.WebAPIs.WebAPIResponseStatus(D35,TRUE)</f>
        <v>#VALUE!</v>
      </c>
      <c r="E36" t="e">
        <f t="shared" si="0"/>
        <v>#VALUE!</v>
      </c>
      <c r="F36">
        <v>200</v>
      </c>
    </row>
    <row r="37" spans="2:6" x14ac:dyDescent="0.4">
      <c r="C37" t="s">
        <v>103</v>
      </c>
      <c r="D37" t="e" cm="1">
        <f t="array" ref="D37">_xll.ExLibris.WebAPIs.WebAPIResponseContent(D35)</f>
        <v>#VALUE!</v>
      </c>
      <c r="E37" t="e">
        <f t="shared" si="0"/>
        <v>#VALUE!</v>
      </c>
      <c r="F37" t="s">
        <v>158</v>
      </c>
    </row>
    <row r="39" spans="2:6" x14ac:dyDescent="0.4">
      <c r="B39" t="s">
        <v>129</v>
      </c>
      <c r="C39" t="s">
        <v>104</v>
      </c>
      <c r="D39" t="str" cm="1">
        <f t="array" ref="D39">_xll.ExLibris.WebAPIs.BuildUri($C$2&amp;"post",H6:I11)</f>
        <v>http://localhost:80/post?currency_pair.left=USD&amp;currency_pair.right=JPY&amp;strike=108.5&amp;call_or_put=CALL&amp;buy_or_sell=SELL&amp;date=44463</v>
      </c>
      <c r="E39" t="b">
        <f t="shared" si="0"/>
        <v>1</v>
      </c>
      <c r="F39" t="s">
        <v>159</v>
      </c>
    </row>
    <row r="40" spans="2:6" x14ac:dyDescent="0.4">
      <c r="C40" t="s">
        <v>102</v>
      </c>
      <c r="D40" t="e" cm="1">
        <f t="array" ref="D40">_xll.ExLibris.WebAPIs.POST(D39,H6:I11,TRUE,$B$5)</f>
        <v>#N/A</v>
      </c>
      <c r="F40" t="s">
        <v>160</v>
      </c>
    </row>
    <row r="41" spans="2:6" x14ac:dyDescent="0.4">
      <c r="C41" t="s">
        <v>93</v>
      </c>
      <c r="D41" t="e" cm="1">
        <f t="array" ref="D41">_xll.ExLibris.WebAPIs.WebAPIResponseStatus(D40,TRUE)</f>
        <v>#VALUE!</v>
      </c>
      <c r="E41" t="e">
        <f t="shared" si="0"/>
        <v>#VALUE!</v>
      </c>
      <c r="F41">
        <v>200</v>
      </c>
    </row>
    <row r="42" spans="2:6" x14ac:dyDescent="0.4">
      <c r="C42" t="s">
        <v>103</v>
      </c>
      <c r="D42" t="e" cm="1">
        <f t="array" ref="D42">_xll.ExLibris.WebAPIs.WebAPIResponseContent(D40)</f>
        <v>#VALUE!</v>
      </c>
      <c r="E42" t="e">
        <f t="shared" si="0"/>
        <v>#VALUE!</v>
      </c>
      <c r="F42" t="s">
        <v>161</v>
      </c>
    </row>
    <row r="44" spans="2:6" x14ac:dyDescent="0.4">
      <c r="B44" t="s">
        <v>134</v>
      </c>
      <c r="C44" t="s">
        <v>104</v>
      </c>
      <c r="D44" t="str" cm="1">
        <f t="array" ref="D44">_xll.ExLibris.WebAPIs.BuildUri($C$2&amp;"get",H6:I11)</f>
        <v>http://localhost:80/get?currency_pair.left=USD&amp;currency_pair.right=JPY&amp;strike=108.5&amp;call_or_put=CALL&amp;buy_or_sell=SELL&amp;date=44463</v>
      </c>
      <c r="E44" t="b">
        <f t="shared" si="0"/>
        <v>1</v>
      </c>
      <c r="F44" t="s">
        <v>162</v>
      </c>
    </row>
    <row r="45" spans="2:6" x14ac:dyDescent="0.4">
      <c r="C45" t="s">
        <v>102</v>
      </c>
      <c r="D45" t="e" cm="1">
        <f t="array" ref="D45">_xll.ExLibris.WebAPIs.GET(D44)</f>
        <v>#N/A</v>
      </c>
      <c r="F45" t="s">
        <v>163</v>
      </c>
    </row>
    <row r="46" spans="2:6" x14ac:dyDescent="0.4">
      <c r="C46" t="s">
        <v>93</v>
      </c>
      <c r="D46" t="e" cm="1">
        <f t="array" ref="D46">_xll.ExLibris.WebAPIs.WebAPIResponseStatus(D45,TRUE)</f>
        <v>#VALUE!</v>
      </c>
      <c r="E46" t="e">
        <f t="shared" si="0"/>
        <v>#VALUE!</v>
      </c>
      <c r="F46">
        <v>200</v>
      </c>
    </row>
    <row r="47" spans="2:6" x14ac:dyDescent="0.4">
      <c r="C47" t="s">
        <v>103</v>
      </c>
      <c r="D47" t="e" cm="1">
        <f t="array" ref="D47">_xll.ExLibris.WebAPIs.WebAPIResponseContent(D45)</f>
        <v>#VALUE!</v>
      </c>
      <c r="E47" t="e">
        <f t="shared" si="0"/>
        <v>#VALUE!</v>
      </c>
      <c r="F47" t="s">
        <v>164</v>
      </c>
    </row>
    <row r="49" spans="2:6" x14ac:dyDescent="0.4">
      <c r="B49" t="s">
        <v>136</v>
      </c>
      <c r="C49" t="s">
        <v>104</v>
      </c>
      <c r="D49" t="str">
        <f>$C$2&amp;"delay/10"</f>
        <v>http://localhost:80/delay/10</v>
      </c>
      <c r="E49" t="b">
        <f t="shared" si="0"/>
        <v>1</v>
      </c>
      <c r="F49" t="s">
        <v>165</v>
      </c>
    </row>
    <row r="50" spans="2:6" x14ac:dyDescent="0.4">
      <c r="C50" t="s">
        <v>102</v>
      </c>
      <c r="D50" t="e" cm="1">
        <f t="array" ref="D50">_xll.ExLibris.WebAPIs.GET(D49)</f>
        <v>#N/A</v>
      </c>
      <c r="F50" t="s">
        <v>166</v>
      </c>
    </row>
    <row r="51" spans="2:6" x14ac:dyDescent="0.4">
      <c r="C51" t="s">
        <v>93</v>
      </c>
      <c r="D51" t="e" cm="1">
        <f t="array" ref="D51">_xll.ExLibris.WebAPIs.WebAPIResponseStatus(D50,TRUE)</f>
        <v>#VALUE!</v>
      </c>
      <c r="E51" t="e">
        <f t="shared" si="0"/>
        <v>#VALUE!</v>
      </c>
      <c r="F51">
        <v>200</v>
      </c>
    </row>
    <row r="52" spans="2:6" x14ac:dyDescent="0.4">
      <c r="C52" t="s">
        <v>103</v>
      </c>
      <c r="D52" t="e" cm="1">
        <f t="array" ref="D52">_xll.ExLibris.WebAPIs.WebAPIResponseContent(D50)</f>
        <v>#VALUE!</v>
      </c>
      <c r="E52" t="e">
        <f t="shared" si="0"/>
        <v>#VALUE!</v>
      </c>
      <c r="F52" t="s">
        <v>169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B27FE-ED52-468A-9A6B-F83674C52684}">
  <dimension ref="B2:D42"/>
  <sheetViews>
    <sheetView workbookViewId="0"/>
  </sheetViews>
  <sheetFormatPr defaultRowHeight="18.75" x14ac:dyDescent="0.4"/>
  <cols>
    <col min="2" max="2" width="20.625" customWidth="1"/>
    <col min="3" max="3" width="18.25" customWidth="1"/>
  </cols>
  <sheetData>
    <row r="2" spans="2:4" x14ac:dyDescent="0.4">
      <c r="B2" t="str" cm="1">
        <f t="array" ref="B2">_xll.ExLibris.WebAPIs.CreateHeadersAsync(B3:C3)</f>
        <v>ExLibris.Core.WebAPIs.WebAPIHeaders:99456C6A-DD30-4D3F-A155-84C89E618C48</v>
      </c>
    </row>
    <row r="3" spans="2:4" x14ac:dyDescent="0.4">
      <c r="B3" t="s">
        <v>110</v>
      </c>
      <c r="C3" t="s">
        <v>135</v>
      </c>
    </row>
    <row r="5" spans="2:4" x14ac:dyDescent="0.4">
      <c r="B5" t="s">
        <v>104</v>
      </c>
      <c r="C5" t="str">
        <f>"https://api.github.com/users/"&amp;C3</f>
        <v>https://api.github.com/users/defunkt</v>
      </c>
    </row>
    <row r="6" spans="2:4" x14ac:dyDescent="0.4">
      <c r="B6" t="s">
        <v>102</v>
      </c>
      <c r="C6" t="str" cm="1">
        <f t="array" ref="C6">_xll.ExLibris.WebAPIs.GET(C5,B2)</f>
        <v>ExLibris.Core.WebAPIs.Response:7B6CE83E-1713-4AD2-BF20-B4CFC8A7502A</v>
      </c>
    </row>
    <row r="7" spans="2:4" x14ac:dyDescent="0.4">
      <c r="B7" t="s">
        <v>93</v>
      </c>
      <c r="C7" t="str" cm="1">
        <f t="array" ref="C7">_xll.ExLibris.WebAPIs.WebAPIResponseStatus(C6)</f>
        <v>OK(200)</v>
      </c>
    </row>
    <row r="8" spans="2:4" x14ac:dyDescent="0.4">
      <c r="B8" t="s">
        <v>103</v>
      </c>
      <c r="C8" t="str" cm="1">
        <f t="array" ref="C8">_xll.ExLibris.WebAPIs.WebAPIResponseContent(C6)</f>
        <v>{"login":"defunkt","id":2,"node_id":"MDQ6VXNlcjI=","avatar_url":"https://avatars.githubusercontent.com/u/2?v=4","gravatar_id":"","url":"https://api.github.com/users/defunkt","html_url":"https://github.com/defunkt","followers_url":"https://api.github.com/users/defunkt/followers","following_url":"https://api.github.com/users/defunkt/following{/other_user}","gists_url":"https://api.github.com/users/defunkt/gists{/gist_id}","starred_url":"https://api.github.com/users/defunkt/starred{/owner}{/repo}","subscriptions_url":"https://api.github.com/users/defunkt/subscriptions","organizations_url":"https://api.github.com/users/defunkt/orgs","repos_url":"https://api.github.com/users/defunkt/repos","events_url":"https://api.github.com/users/defunkt/events{/privacy}","received_events_url":"https://api.github.com/users/defunkt/received_events","type":"User","site_admin":false,"name":"Chris Wanstrath","company":null,"blog":"http://chriswanstrath.com/","location":null,"email":null,"hireable":null,"bio":"🍔","twitter_username":null,"public_repos":107,"public_gists":273,"followers":21402,"following":210,"created_at":"2007-10-20T05:24:19Z","updated_at":"2022-03-29T01:48:36Z"}</v>
      </c>
    </row>
    <row r="10" spans="2:4" x14ac:dyDescent="0.4">
      <c r="C10" t="str" cm="1">
        <f t="array" ref="C10">_xll.ExLibris.Json.CreateJsonObjectAsync(C8)</f>
        <v>JsonObject:3818E816-2167-4F03-B522-8402A1114104</v>
      </c>
    </row>
    <row r="11" spans="2:4" x14ac:dyDescent="0.4">
      <c r="C11" t="str" cm="1">
        <f t="array" ref="C11:D42">_xll.ExLibris.Json.GetJsonKeyValuesAsync(C10)</f>
        <v>login</v>
      </c>
      <c r="D11" t="str">
        <v>defunkt</v>
      </c>
    </row>
    <row r="12" spans="2:4" x14ac:dyDescent="0.4">
      <c r="C12" t="str">
        <v>id</v>
      </c>
      <c r="D12">
        <v>2</v>
      </c>
    </row>
    <row r="13" spans="2:4" x14ac:dyDescent="0.4">
      <c r="C13" t="str">
        <v>node_id</v>
      </c>
      <c r="D13" t="str">
        <v>MDQ6VXNlcjI=</v>
      </c>
    </row>
    <row r="14" spans="2:4" x14ac:dyDescent="0.4">
      <c r="C14" t="str">
        <v>avatar_url</v>
      </c>
      <c r="D14" t="str">
        <v>https://avatars.githubusercontent.com/u/2?v=4</v>
      </c>
    </row>
    <row r="15" spans="2:4" x14ac:dyDescent="0.4">
      <c r="C15" t="str">
        <v>gravatar_id</v>
      </c>
      <c r="D15">
        <v>0</v>
      </c>
    </row>
    <row r="16" spans="2:4" x14ac:dyDescent="0.4">
      <c r="C16" t="str">
        <v>url</v>
      </c>
      <c r="D16" t="str">
        <v>https://api.github.com/users/defunkt</v>
      </c>
    </row>
    <row r="17" spans="3:4" x14ac:dyDescent="0.4">
      <c r="C17" t="str">
        <v>html_url</v>
      </c>
      <c r="D17" t="str">
        <v>https://github.com/defunkt</v>
      </c>
    </row>
    <row r="18" spans="3:4" x14ac:dyDescent="0.4">
      <c r="C18" t="str">
        <v>followers_url</v>
      </c>
      <c r="D18" t="str">
        <v>https://api.github.com/users/defunkt/followers</v>
      </c>
    </row>
    <row r="19" spans="3:4" x14ac:dyDescent="0.4">
      <c r="C19" t="str">
        <v>following_url</v>
      </c>
      <c r="D19" t="str">
        <v>https://api.github.com/users/defunkt/following{/other_user}</v>
      </c>
    </row>
    <row r="20" spans="3:4" x14ac:dyDescent="0.4">
      <c r="C20" t="str">
        <v>gists_url</v>
      </c>
      <c r="D20" t="str">
        <v>https://api.github.com/users/defunkt/gists{/gist_id}</v>
      </c>
    </row>
    <row r="21" spans="3:4" x14ac:dyDescent="0.4">
      <c r="C21" t="str">
        <v>starred_url</v>
      </c>
      <c r="D21" t="str">
        <v>https://api.github.com/users/defunkt/starred{/owner}{/repo}</v>
      </c>
    </row>
    <row r="22" spans="3:4" x14ac:dyDescent="0.4">
      <c r="C22" t="str">
        <v>subscriptions_url</v>
      </c>
      <c r="D22" t="str">
        <v>https://api.github.com/users/defunkt/subscriptions</v>
      </c>
    </row>
    <row r="23" spans="3:4" x14ac:dyDescent="0.4">
      <c r="C23" t="str">
        <v>organizations_url</v>
      </c>
      <c r="D23" t="str">
        <v>https://api.github.com/users/defunkt/orgs</v>
      </c>
    </row>
    <row r="24" spans="3:4" x14ac:dyDescent="0.4">
      <c r="C24" t="str">
        <v>repos_url</v>
      </c>
      <c r="D24" t="str">
        <v>https://api.github.com/users/defunkt/repos</v>
      </c>
    </row>
    <row r="25" spans="3:4" x14ac:dyDescent="0.4">
      <c r="C25" t="str">
        <v>events_url</v>
      </c>
      <c r="D25" t="str">
        <v>https://api.github.com/users/defunkt/events{/privacy}</v>
      </c>
    </row>
    <row r="26" spans="3:4" x14ac:dyDescent="0.4">
      <c r="C26" t="str">
        <v>received_events_url</v>
      </c>
      <c r="D26" t="str">
        <v>https://api.github.com/users/defunkt/received_events</v>
      </c>
    </row>
    <row r="27" spans="3:4" x14ac:dyDescent="0.4">
      <c r="C27" t="str">
        <v>type</v>
      </c>
      <c r="D27" t="str">
        <v>User</v>
      </c>
    </row>
    <row r="28" spans="3:4" x14ac:dyDescent="0.4">
      <c r="C28" t="str">
        <v>site_admin</v>
      </c>
      <c r="D28" t="b">
        <v>0</v>
      </c>
    </row>
    <row r="29" spans="3:4" x14ac:dyDescent="0.4">
      <c r="C29" t="str">
        <v>name</v>
      </c>
      <c r="D29" t="str">
        <v>Chris Wanstrath</v>
      </c>
    </row>
    <row r="30" spans="3:4" x14ac:dyDescent="0.4">
      <c r="C30" t="str">
        <v>company</v>
      </c>
      <c r="D30">
        <v>0</v>
      </c>
    </row>
    <row r="31" spans="3:4" x14ac:dyDescent="0.4">
      <c r="C31" t="str">
        <v>blog</v>
      </c>
      <c r="D31" t="str">
        <v>http://chriswanstrath.com/</v>
      </c>
    </row>
    <row r="32" spans="3:4" x14ac:dyDescent="0.4">
      <c r="C32" t="str">
        <v>location</v>
      </c>
      <c r="D32">
        <v>0</v>
      </c>
    </row>
    <row r="33" spans="3:4" x14ac:dyDescent="0.4">
      <c r="C33" t="str">
        <v>email</v>
      </c>
      <c r="D33">
        <v>0</v>
      </c>
    </row>
    <row r="34" spans="3:4" x14ac:dyDescent="0.4">
      <c r="C34" t="str">
        <v>hireable</v>
      </c>
      <c r="D34">
        <v>0</v>
      </c>
    </row>
    <row r="35" spans="3:4" x14ac:dyDescent="0.4">
      <c r="C35" t="str">
        <v>bio</v>
      </c>
      <c r="D35" t="str">
        <v>🍔</v>
      </c>
    </row>
    <row r="36" spans="3:4" x14ac:dyDescent="0.4">
      <c r="C36" t="str">
        <v>twitter_username</v>
      </c>
      <c r="D36">
        <v>0</v>
      </c>
    </row>
    <row r="37" spans="3:4" x14ac:dyDescent="0.4">
      <c r="C37" t="str">
        <v>public_repos</v>
      </c>
      <c r="D37">
        <v>107</v>
      </c>
    </row>
    <row r="38" spans="3:4" x14ac:dyDescent="0.4">
      <c r="C38" t="str">
        <v>public_gists</v>
      </c>
      <c r="D38">
        <v>273</v>
      </c>
    </row>
    <row r="39" spans="3:4" x14ac:dyDescent="0.4">
      <c r="C39" t="str">
        <v>followers</v>
      </c>
      <c r="D39">
        <v>21402</v>
      </c>
    </row>
    <row r="40" spans="3:4" x14ac:dyDescent="0.4">
      <c r="C40" t="str">
        <v>following</v>
      </c>
      <c r="D40">
        <v>210</v>
      </c>
    </row>
    <row r="41" spans="3:4" x14ac:dyDescent="0.4">
      <c r="C41" t="str">
        <v>created_at</v>
      </c>
      <c r="D41" t="str">
        <v>2007-10-20T05:24:19Z</v>
      </c>
    </row>
    <row r="42" spans="3:4" x14ac:dyDescent="0.4">
      <c r="C42" t="str">
        <v>updated_at</v>
      </c>
      <c r="D42" t="str">
        <v>2022-03-29T01:48:36Z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1</vt:i4>
      </vt:variant>
    </vt:vector>
  </HeadingPairs>
  <TitlesOfParts>
    <vt:vector size="8" baseType="lpstr">
      <vt:lpstr>json_test</vt:lpstr>
      <vt:lpstr>json_test_async</vt:lpstr>
      <vt:lpstr>json_w_conf_test_async</vt:lpstr>
      <vt:lpstr>configuration</vt:lpstr>
      <vt:lpstr>websocket</vt:lpstr>
      <vt:lpstr>webapi</vt:lpstr>
      <vt:lpstr>webapi github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2022-05-01T08:20:53Z</dcterms:modified>
</cp:coreProperties>
</file>